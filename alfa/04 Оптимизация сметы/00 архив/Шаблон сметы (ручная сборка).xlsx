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D203FE7E-859A-4D3D-9CC0-48860BCDFD59}" xr6:coauthVersionLast="45" xr6:coauthVersionMax="45" xr10:uidLastSave="{00000000-0000-0000-0000-000000000000}"/>
  <bookViews>
    <workbookView xWindow="5760" yWindow="3396" windowWidth="17280" windowHeight="8964" activeTab="1" xr2:uid="{00000000-000D-0000-FFFF-FFFF00000000}"/>
  </bookViews>
  <sheets>
    <sheet name="О шаблоне" sheetId="1" r:id="rId1"/>
    <sheet name="Сборка" sheetId="2" r:id="rId2"/>
    <sheet name="Смета" sheetId="3" r:id="rId3"/>
    <sheet name="Работы" sheetId="4" r:id="rId4"/>
    <sheet name="Материалы" sheetId="5" r:id="rId5"/>
    <sheet name="Группы" sheetId="6" r:id="rId6"/>
    <sheet name="Документация" sheetId="7" r:id="rId7"/>
  </sheets>
  <definedNames>
    <definedName name="_FilterDatabase" localSheetId="5" hidden="1">Группы!$A$4:$E$64</definedName>
    <definedName name="_FilterDatabase" localSheetId="6" hidden="1">Документация!$A$1:$G$57</definedName>
    <definedName name="_FilterDatabase" localSheetId="4" hidden="1">Материалы!$A$1:$L$1219</definedName>
    <definedName name="_FilterDatabase" localSheetId="3" hidden="1">Работы!$A$1:$N$858</definedName>
    <definedName name="_FilterDatabase" localSheetId="1" hidden="1">Сборка!$A$1:$S$501</definedName>
    <definedName name="_FilterDatabase" localSheetId="2" hidden="1">Смета!$A$20:$M$545</definedName>
    <definedName name="ДисконтТендер">Смета!$C$17</definedName>
    <definedName name="КурсEUR">Смета!$C$16</definedName>
    <definedName name="КурсUSD">Смета!$C$15</definedName>
    <definedName name="мат_VRF_ВНУТ">Материалы!$M$2:$M$259</definedName>
    <definedName name="мат_VRF_НАР">Материалы!$M$260:$M$360</definedName>
    <definedName name="мат_БРОНЯ">Материалы!$M$361:$M$382</definedName>
    <definedName name="мат_ДВ">Материалы!$M$383:$M$393</definedName>
    <definedName name="мат_ДВ_АЛ">Материалы!$M$394:$M$399</definedName>
    <definedName name="мат_ДВ_ДЕР">Материалы!$M$400:$M$405</definedName>
    <definedName name="мат_ДВ_СТ">Материалы!$M$406:$M$410</definedName>
    <definedName name="мат_ДОК_ИД">Документация!$F$38:$F$57</definedName>
    <definedName name="мат_ДОК_РД">Документация!$F$2:$F$37</definedName>
    <definedName name="мат_ЗАВЕСА">Материалы!$M$411:$M$414</definedName>
    <definedName name="мат_ЛЮЧОК">Материалы!$M$415:$M$415</definedName>
    <definedName name="мат_ПВУ">Материалы!$M$416:$M$431</definedName>
    <definedName name="мат_ПЕРЕГ_СТ">Материалы!$M$432:$M$432</definedName>
    <definedName name="мат_ПЕРЕГ_ТР">Материалы!$M$433:$M$442</definedName>
    <definedName name="мат_ПОЛ_КГ">Материалы!$M$443:$M$450</definedName>
    <definedName name="мат_ПОЛ_МОД">Материалы!$M$451:$M$455</definedName>
    <definedName name="мат_ПОТОЛОК">Материалы!$M$456:$M$460</definedName>
    <definedName name="мат_РАД">Материалы!$M$461:$M$597</definedName>
    <definedName name="мат_РАД_КОМПЛ">Материалы!$M$598:$M$612</definedName>
    <definedName name="мат_СВЕТ">Материалы!$M$613:$M$925</definedName>
    <definedName name="мат_СВЕТ_АВАР">Материалы!$M$926:$M$1035</definedName>
    <definedName name="мат_СПЛИТ">Материалы!$M$1036:$M$1151</definedName>
    <definedName name="мат_СТЕН_ПЛ">Материалы!$M$1152:$M$1154</definedName>
    <definedName name="мат_СТП_РАК">Материалы!$M$1155:$M$1167</definedName>
    <definedName name="мат_СТП_СМЕС">Материалы!$M$1168:$M$1180</definedName>
    <definedName name="мат_СТП_УНИТ">Материалы!$M$1181:$M$1188</definedName>
    <definedName name="мат_ФАЛЬШПОЛ">Материалы!$M$1189:$M$1197</definedName>
    <definedName name="мат_ЭУИ_ВЫКЛ">Материалы!$M$1198:$M$1199</definedName>
    <definedName name="мат_ЭУИ_РОЗ">Материалы!$M$1200:$M$1208</definedName>
    <definedName name="мат_ЭЩ">Материалы!$M$1209:$M$1219</definedName>
    <definedName name="раб_Р1">Работы!$N$2:$N$39</definedName>
    <definedName name="раб_Р10">Работы!$N$821:$N$832</definedName>
    <definedName name="раб_Р11">Работы!$N$833:$N$841</definedName>
    <definedName name="раб_Р12">Работы!$N$842:$N$858</definedName>
    <definedName name="раб_Р2">Работы!$N$40:$N$161</definedName>
    <definedName name="раб_Р3">Работы!$N$162:$N$371</definedName>
    <definedName name="раб_Р4">Работы!$N$372:$N$429</definedName>
    <definedName name="раб_Р5">Работы!$N$430:$N$475</definedName>
    <definedName name="раб_Р6">Работы!$N$476:$N$522</definedName>
    <definedName name="раб_Р7">Работы!$N$523:$N$556</definedName>
    <definedName name="раб_Р8">Работы!$N$557:$N$581</definedName>
    <definedName name="раб_Р9">Работы!$N$582:$N$820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019" i="5" l="1"/>
  <c r="M2018" i="5"/>
  <c r="M2017" i="5"/>
  <c r="M2016" i="5"/>
  <c r="M2015" i="5"/>
  <c r="M2014" i="5"/>
  <c r="M2013" i="5"/>
  <c r="M2012" i="5"/>
  <c r="M2011" i="5"/>
  <c r="M2010" i="5"/>
  <c r="M2009" i="5"/>
  <c r="M2008" i="5"/>
  <c r="M2007" i="5"/>
  <c r="M2006" i="5"/>
  <c r="M2005" i="5"/>
  <c r="M2004" i="5"/>
  <c r="M2003" i="5"/>
  <c r="M2002" i="5"/>
  <c r="M2001" i="5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501" i="2"/>
  <c r="L501" i="2"/>
  <c r="C501" i="2"/>
  <c r="N500" i="2"/>
  <c r="O500" i="2" s="1"/>
  <c r="R500" i="2" s="1"/>
  <c r="M500" i="2"/>
  <c r="L500" i="2"/>
  <c r="C500" i="2"/>
  <c r="E500" i="2" s="1"/>
  <c r="P499" i="2"/>
  <c r="S499" i="2" s="1"/>
  <c r="M499" i="2"/>
  <c r="L499" i="2"/>
  <c r="C499" i="2"/>
  <c r="E499" i="2" s="1"/>
  <c r="N498" i="2"/>
  <c r="O498" i="2" s="1"/>
  <c r="R498" i="2" s="1"/>
  <c r="M498" i="2"/>
  <c r="L498" i="2"/>
  <c r="C498" i="2"/>
  <c r="F498" i="2" s="1"/>
  <c r="N497" i="2"/>
  <c r="O497" i="2" s="1"/>
  <c r="M497" i="2"/>
  <c r="L497" i="2"/>
  <c r="C497" i="2"/>
  <c r="E497" i="2" s="1"/>
  <c r="N496" i="2"/>
  <c r="O496" i="2" s="1"/>
  <c r="M496" i="2"/>
  <c r="L496" i="2"/>
  <c r="C496" i="2"/>
  <c r="E496" i="2" s="1"/>
  <c r="M495" i="2"/>
  <c r="L495" i="2"/>
  <c r="C495" i="2"/>
  <c r="M494" i="2"/>
  <c r="L494" i="2"/>
  <c r="N494" i="2" s="1"/>
  <c r="O494" i="2" s="1"/>
  <c r="R494" i="2" s="1"/>
  <c r="E494" i="2"/>
  <c r="C494" i="2"/>
  <c r="M493" i="2"/>
  <c r="L493" i="2"/>
  <c r="N493" i="2" s="1"/>
  <c r="O493" i="2" s="1"/>
  <c r="R493" i="2" s="1"/>
  <c r="F493" i="2"/>
  <c r="C493" i="2"/>
  <c r="E493" i="2" s="1"/>
  <c r="N492" i="2"/>
  <c r="O492" i="2" s="1"/>
  <c r="R492" i="2" s="1"/>
  <c r="M492" i="2"/>
  <c r="L492" i="2"/>
  <c r="E492" i="2"/>
  <c r="C492" i="2"/>
  <c r="F492" i="2" s="1"/>
  <c r="N491" i="2"/>
  <c r="O491" i="2" s="1"/>
  <c r="M491" i="2"/>
  <c r="L491" i="2"/>
  <c r="D491" i="2"/>
  <c r="C491" i="2"/>
  <c r="E491" i="2" s="1"/>
  <c r="M490" i="2"/>
  <c r="N490" i="2" s="1"/>
  <c r="O490" i="2" s="1"/>
  <c r="L490" i="2"/>
  <c r="C490" i="2"/>
  <c r="M489" i="2"/>
  <c r="L489" i="2"/>
  <c r="N489" i="2" s="1"/>
  <c r="O489" i="2" s="1"/>
  <c r="C489" i="2"/>
  <c r="N488" i="2"/>
  <c r="O488" i="2" s="1"/>
  <c r="M488" i="2"/>
  <c r="L488" i="2"/>
  <c r="C488" i="2"/>
  <c r="E488" i="2" s="1"/>
  <c r="R487" i="2"/>
  <c r="M487" i="2"/>
  <c r="L487" i="2"/>
  <c r="N487" i="2" s="1"/>
  <c r="O487" i="2" s="1"/>
  <c r="Q487" i="2" s="1"/>
  <c r="K487" i="2"/>
  <c r="J487" i="2"/>
  <c r="F487" i="2"/>
  <c r="I487" i="2" s="1"/>
  <c r="C487" i="2"/>
  <c r="E487" i="2" s="1"/>
  <c r="M486" i="2"/>
  <c r="L486" i="2"/>
  <c r="N486" i="2" s="1"/>
  <c r="O486" i="2" s="1"/>
  <c r="F486" i="2"/>
  <c r="E486" i="2"/>
  <c r="C486" i="2"/>
  <c r="M485" i="2"/>
  <c r="L485" i="2"/>
  <c r="N485" i="2" s="1"/>
  <c r="O485" i="2" s="1"/>
  <c r="C485" i="2"/>
  <c r="P485" i="2" s="1"/>
  <c r="S485" i="2" s="1"/>
  <c r="N484" i="2"/>
  <c r="O484" i="2" s="1"/>
  <c r="M484" i="2"/>
  <c r="L484" i="2"/>
  <c r="C484" i="2"/>
  <c r="M483" i="2"/>
  <c r="L483" i="2"/>
  <c r="C483" i="2"/>
  <c r="M482" i="2"/>
  <c r="L482" i="2"/>
  <c r="N482" i="2" s="1"/>
  <c r="O482" i="2" s="1"/>
  <c r="E482" i="2"/>
  <c r="C482" i="2"/>
  <c r="P481" i="2"/>
  <c r="S481" i="2" s="1"/>
  <c r="M481" i="2"/>
  <c r="L481" i="2"/>
  <c r="N481" i="2" s="1"/>
  <c r="O481" i="2" s="1"/>
  <c r="K481" i="2"/>
  <c r="F481" i="2"/>
  <c r="I481" i="2" s="1"/>
  <c r="C481" i="2"/>
  <c r="E481" i="2" s="1"/>
  <c r="M480" i="2"/>
  <c r="L480" i="2"/>
  <c r="N480" i="2" s="1"/>
  <c r="O480" i="2" s="1"/>
  <c r="R480" i="2" s="1"/>
  <c r="F480" i="2"/>
  <c r="C480" i="2"/>
  <c r="E480" i="2" s="1"/>
  <c r="M479" i="2"/>
  <c r="L479" i="2"/>
  <c r="N479" i="2" s="1"/>
  <c r="O479" i="2" s="1"/>
  <c r="F479" i="2"/>
  <c r="C479" i="2"/>
  <c r="E479" i="2" s="1"/>
  <c r="M478" i="2"/>
  <c r="L478" i="2"/>
  <c r="N478" i="2" s="1"/>
  <c r="O478" i="2" s="1"/>
  <c r="E478" i="2"/>
  <c r="C478" i="2"/>
  <c r="M477" i="2"/>
  <c r="L477" i="2"/>
  <c r="N477" i="2" s="1"/>
  <c r="O477" i="2" s="1"/>
  <c r="Q477" i="2" s="1"/>
  <c r="C477" i="2"/>
  <c r="N476" i="2"/>
  <c r="O476" i="2" s="1"/>
  <c r="R476" i="2" s="1"/>
  <c r="M476" i="2"/>
  <c r="L476" i="2"/>
  <c r="C476" i="2"/>
  <c r="E476" i="2" s="1"/>
  <c r="Q475" i="2"/>
  <c r="M475" i="2"/>
  <c r="L475" i="2"/>
  <c r="N475" i="2" s="1"/>
  <c r="O475" i="2" s="1"/>
  <c r="R475" i="2" s="1"/>
  <c r="C475" i="2"/>
  <c r="E475" i="2" s="1"/>
  <c r="N474" i="2"/>
  <c r="O474" i="2" s="1"/>
  <c r="R474" i="2" s="1"/>
  <c r="M474" i="2"/>
  <c r="L474" i="2"/>
  <c r="C474" i="2"/>
  <c r="E474" i="2" s="1"/>
  <c r="N473" i="2"/>
  <c r="O473" i="2" s="1"/>
  <c r="M473" i="2"/>
  <c r="L473" i="2"/>
  <c r="C473" i="2"/>
  <c r="E473" i="2" s="1"/>
  <c r="M472" i="2"/>
  <c r="N472" i="2" s="1"/>
  <c r="O472" i="2" s="1"/>
  <c r="L472" i="2"/>
  <c r="C472" i="2"/>
  <c r="M471" i="2"/>
  <c r="L471" i="2"/>
  <c r="N471" i="2" s="1"/>
  <c r="O471" i="2" s="1"/>
  <c r="C471" i="2"/>
  <c r="N470" i="2"/>
  <c r="O470" i="2" s="1"/>
  <c r="M470" i="2"/>
  <c r="L470" i="2"/>
  <c r="C470" i="2"/>
  <c r="E470" i="2" s="1"/>
  <c r="R469" i="2"/>
  <c r="Q469" i="2"/>
  <c r="M469" i="2"/>
  <c r="L469" i="2"/>
  <c r="N469" i="2" s="1"/>
  <c r="O469" i="2" s="1"/>
  <c r="F469" i="2"/>
  <c r="I469" i="2" s="1"/>
  <c r="C469" i="2"/>
  <c r="E469" i="2" s="1"/>
  <c r="M468" i="2"/>
  <c r="L468" i="2"/>
  <c r="N468" i="2" s="1"/>
  <c r="O468" i="2" s="1"/>
  <c r="F468" i="2"/>
  <c r="E468" i="2"/>
  <c r="C468" i="2"/>
  <c r="M467" i="2"/>
  <c r="L467" i="2"/>
  <c r="N467" i="2" s="1"/>
  <c r="O467" i="2" s="1"/>
  <c r="C467" i="2"/>
  <c r="P467" i="2" s="1"/>
  <c r="S467" i="2" s="1"/>
  <c r="N466" i="2"/>
  <c r="O466" i="2" s="1"/>
  <c r="M466" i="2"/>
  <c r="L466" i="2"/>
  <c r="C466" i="2"/>
  <c r="M465" i="2"/>
  <c r="L465" i="2"/>
  <c r="N465" i="2" s="1"/>
  <c r="O465" i="2" s="1"/>
  <c r="Q465" i="2" s="1"/>
  <c r="C465" i="2"/>
  <c r="M464" i="2"/>
  <c r="L464" i="2"/>
  <c r="N464" i="2" s="1"/>
  <c r="O464" i="2" s="1"/>
  <c r="E464" i="2"/>
  <c r="C464" i="2"/>
  <c r="M463" i="2"/>
  <c r="L463" i="2"/>
  <c r="N463" i="2" s="1"/>
  <c r="O463" i="2" s="1"/>
  <c r="F463" i="2"/>
  <c r="I463" i="2" s="1"/>
  <c r="C463" i="2"/>
  <c r="E463" i="2" s="1"/>
  <c r="M462" i="2"/>
  <c r="L462" i="2"/>
  <c r="N462" i="2" s="1"/>
  <c r="O462" i="2" s="1"/>
  <c r="R462" i="2" s="1"/>
  <c r="F462" i="2"/>
  <c r="E462" i="2"/>
  <c r="C462" i="2"/>
  <c r="M461" i="2"/>
  <c r="L461" i="2"/>
  <c r="N461" i="2" s="1"/>
  <c r="O461" i="2" s="1"/>
  <c r="F461" i="2"/>
  <c r="D461" i="2"/>
  <c r="C461" i="2"/>
  <c r="E461" i="2" s="1"/>
  <c r="M460" i="2"/>
  <c r="L460" i="2"/>
  <c r="N460" i="2" s="1"/>
  <c r="O460" i="2" s="1"/>
  <c r="E460" i="2"/>
  <c r="C460" i="2"/>
  <c r="M459" i="2"/>
  <c r="L459" i="2"/>
  <c r="N459" i="2" s="1"/>
  <c r="O459" i="2" s="1"/>
  <c r="Q459" i="2" s="1"/>
  <c r="C459" i="2"/>
  <c r="N458" i="2"/>
  <c r="O458" i="2" s="1"/>
  <c r="R458" i="2" s="1"/>
  <c r="M458" i="2"/>
  <c r="L458" i="2"/>
  <c r="C458" i="2"/>
  <c r="E458" i="2" s="1"/>
  <c r="P457" i="2"/>
  <c r="S457" i="2" s="1"/>
  <c r="M457" i="2"/>
  <c r="L457" i="2"/>
  <c r="C457" i="2"/>
  <c r="E457" i="2" s="1"/>
  <c r="M456" i="2"/>
  <c r="N456" i="2" s="1"/>
  <c r="O456" i="2" s="1"/>
  <c r="R456" i="2" s="1"/>
  <c r="L456" i="2"/>
  <c r="C456" i="2"/>
  <c r="F456" i="2" s="1"/>
  <c r="M455" i="2"/>
  <c r="N455" i="2" s="1"/>
  <c r="O455" i="2" s="1"/>
  <c r="L455" i="2"/>
  <c r="C455" i="2"/>
  <c r="E455" i="2" s="1"/>
  <c r="M454" i="2"/>
  <c r="L454" i="2"/>
  <c r="C454" i="2"/>
  <c r="M453" i="2"/>
  <c r="L453" i="2"/>
  <c r="N453" i="2" s="1"/>
  <c r="O453" i="2" s="1"/>
  <c r="C453" i="2"/>
  <c r="F453" i="2" s="1"/>
  <c r="M452" i="2"/>
  <c r="N452" i="2" s="1"/>
  <c r="O452" i="2" s="1"/>
  <c r="L452" i="2"/>
  <c r="C452" i="2"/>
  <c r="P452" i="2" s="1"/>
  <c r="S452" i="2" s="1"/>
  <c r="P451" i="2"/>
  <c r="S451" i="2" s="1"/>
  <c r="M451" i="2"/>
  <c r="L451" i="2"/>
  <c r="N451" i="2" s="1"/>
  <c r="O451" i="2" s="1"/>
  <c r="J451" i="2"/>
  <c r="I451" i="2"/>
  <c r="F451" i="2"/>
  <c r="K451" i="2" s="1"/>
  <c r="C451" i="2"/>
  <c r="E451" i="2" s="1"/>
  <c r="M450" i="2"/>
  <c r="L450" i="2"/>
  <c r="N450" i="2" s="1"/>
  <c r="O450" i="2" s="1"/>
  <c r="R450" i="2" s="1"/>
  <c r="F450" i="2"/>
  <c r="D450" i="2"/>
  <c r="C450" i="2"/>
  <c r="P450" i="2" s="1"/>
  <c r="S450" i="2" s="1"/>
  <c r="M449" i="2"/>
  <c r="L449" i="2"/>
  <c r="N449" i="2" s="1"/>
  <c r="O449" i="2" s="1"/>
  <c r="C449" i="2"/>
  <c r="P449" i="2" s="1"/>
  <c r="S449" i="2" s="1"/>
  <c r="M448" i="2"/>
  <c r="L448" i="2"/>
  <c r="C448" i="2"/>
  <c r="D448" i="2" s="1"/>
  <c r="N447" i="2"/>
  <c r="O447" i="2" s="1"/>
  <c r="M447" i="2"/>
  <c r="L447" i="2"/>
  <c r="C447" i="2"/>
  <c r="M446" i="2"/>
  <c r="L446" i="2"/>
  <c r="N446" i="2" s="1"/>
  <c r="O446" i="2" s="1"/>
  <c r="F446" i="2"/>
  <c r="E446" i="2"/>
  <c r="C446" i="2"/>
  <c r="P446" i="2" s="1"/>
  <c r="S446" i="2" s="1"/>
  <c r="O445" i="2"/>
  <c r="N445" i="2"/>
  <c r="M445" i="2"/>
  <c r="L445" i="2"/>
  <c r="C445" i="2"/>
  <c r="M444" i="2"/>
  <c r="L444" i="2"/>
  <c r="C444" i="2"/>
  <c r="P443" i="2"/>
  <c r="S443" i="2" s="1"/>
  <c r="M443" i="2"/>
  <c r="L443" i="2"/>
  <c r="C443" i="2"/>
  <c r="M442" i="2"/>
  <c r="L442" i="2"/>
  <c r="C442" i="2"/>
  <c r="M441" i="2"/>
  <c r="L441" i="2"/>
  <c r="N441" i="2" s="1"/>
  <c r="O441" i="2" s="1"/>
  <c r="D441" i="2"/>
  <c r="C441" i="2"/>
  <c r="M440" i="2"/>
  <c r="N440" i="2" s="1"/>
  <c r="O440" i="2" s="1"/>
  <c r="L440" i="2"/>
  <c r="D440" i="2"/>
  <c r="C440" i="2"/>
  <c r="P440" i="2" s="1"/>
  <c r="S440" i="2" s="1"/>
  <c r="P439" i="2"/>
  <c r="S439" i="2" s="1"/>
  <c r="M439" i="2"/>
  <c r="L439" i="2"/>
  <c r="N439" i="2" s="1"/>
  <c r="O439" i="2" s="1"/>
  <c r="J439" i="2"/>
  <c r="I439" i="2"/>
  <c r="F439" i="2"/>
  <c r="K439" i="2" s="1"/>
  <c r="C439" i="2"/>
  <c r="E439" i="2" s="1"/>
  <c r="M438" i="2"/>
  <c r="L438" i="2"/>
  <c r="C438" i="2"/>
  <c r="Q437" i="2"/>
  <c r="P437" i="2"/>
  <c r="S437" i="2" s="1"/>
  <c r="M437" i="2"/>
  <c r="L437" i="2"/>
  <c r="N437" i="2" s="1"/>
  <c r="O437" i="2" s="1"/>
  <c r="R437" i="2" s="1"/>
  <c r="C437" i="2"/>
  <c r="M436" i="2"/>
  <c r="L436" i="2"/>
  <c r="D436" i="2"/>
  <c r="C436" i="2"/>
  <c r="M435" i="2"/>
  <c r="L435" i="2"/>
  <c r="N435" i="2" s="1"/>
  <c r="O435" i="2" s="1"/>
  <c r="F435" i="2"/>
  <c r="C435" i="2"/>
  <c r="M434" i="2"/>
  <c r="L434" i="2"/>
  <c r="N434" i="2" s="1"/>
  <c r="O434" i="2" s="1"/>
  <c r="F434" i="2"/>
  <c r="E434" i="2"/>
  <c r="C434" i="2"/>
  <c r="P434" i="2" s="1"/>
  <c r="S434" i="2" s="1"/>
  <c r="M433" i="2"/>
  <c r="N433" i="2" s="1"/>
  <c r="O433" i="2" s="1"/>
  <c r="L433" i="2"/>
  <c r="C433" i="2"/>
  <c r="R432" i="2"/>
  <c r="M432" i="2"/>
  <c r="L432" i="2"/>
  <c r="N432" i="2" s="1"/>
  <c r="O432" i="2" s="1"/>
  <c r="Q432" i="2" s="1"/>
  <c r="F432" i="2"/>
  <c r="D432" i="2"/>
  <c r="C432" i="2"/>
  <c r="P432" i="2" s="1"/>
  <c r="S432" i="2" s="1"/>
  <c r="M431" i="2"/>
  <c r="L431" i="2"/>
  <c r="C431" i="2"/>
  <c r="P431" i="2" s="1"/>
  <c r="S431" i="2" s="1"/>
  <c r="M430" i="2"/>
  <c r="L430" i="2"/>
  <c r="C430" i="2"/>
  <c r="M429" i="2"/>
  <c r="L429" i="2"/>
  <c r="F429" i="2"/>
  <c r="D429" i="2"/>
  <c r="C429" i="2"/>
  <c r="M428" i="2"/>
  <c r="L428" i="2"/>
  <c r="F428" i="2"/>
  <c r="E428" i="2"/>
  <c r="D428" i="2"/>
  <c r="C428" i="2"/>
  <c r="P428" i="2" s="1"/>
  <c r="S428" i="2" s="1"/>
  <c r="P427" i="2"/>
  <c r="S427" i="2" s="1"/>
  <c r="N427" i="2"/>
  <c r="O427" i="2" s="1"/>
  <c r="M427" i="2"/>
  <c r="L427" i="2"/>
  <c r="F427" i="2"/>
  <c r="C427" i="2"/>
  <c r="E427" i="2" s="1"/>
  <c r="M426" i="2"/>
  <c r="L426" i="2"/>
  <c r="N426" i="2" s="1"/>
  <c r="O426" i="2" s="1"/>
  <c r="F426" i="2"/>
  <c r="C426" i="2"/>
  <c r="P426" i="2" s="1"/>
  <c r="S426" i="2" s="1"/>
  <c r="R425" i="2"/>
  <c r="Q425" i="2"/>
  <c r="M425" i="2"/>
  <c r="L425" i="2"/>
  <c r="N425" i="2" s="1"/>
  <c r="O425" i="2" s="1"/>
  <c r="C425" i="2"/>
  <c r="D425" i="2" s="1"/>
  <c r="M424" i="2"/>
  <c r="L424" i="2"/>
  <c r="F424" i="2"/>
  <c r="I424" i="2" s="1"/>
  <c r="C424" i="2"/>
  <c r="D424" i="2" s="1"/>
  <c r="M423" i="2"/>
  <c r="L423" i="2"/>
  <c r="N423" i="2" s="1"/>
  <c r="O423" i="2" s="1"/>
  <c r="C423" i="2"/>
  <c r="D423" i="2" s="1"/>
  <c r="M422" i="2"/>
  <c r="N422" i="2" s="1"/>
  <c r="O422" i="2" s="1"/>
  <c r="L422" i="2"/>
  <c r="F422" i="2"/>
  <c r="I422" i="2" s="1"/>
  <c r="C422" i="2"/>
  <c r="D422" i="2" s="1"/>
  <c r="R421" i="2"/>
  <c r="Q421" i="2"/>
  <c r="M421" i="2"/>
  <c r="L421" i="2"/>
  <c r="N421" i="2" s="1"/>
  <c r="O421" i="2" s="1"/>
  <c r="C421" i="2"/>
  <c r="D421" i="2" s="1"/>
  <c r="M420" i="2"/>
  <c r="L420" i="2"/>
  <c r="F420" i="2"/>
  <c r="I420" i="2" s="1"/>
  <c r="C420" i="2"/>
  <c r="D420" i="2" s="1"/>
  <c r="M419" i="2"/>
  <c r="L419" i="2"/>
  <c r="N419" i="2" s="1"/>
  <c r="O419" i="2" s="1"/>
  <c r="C419" i="2"/>
  <c r="D419" i="2" s="1"/>
  <c r="M418" i="2"/>
  <c r="N418" i="2" s="1"/>
  <c r="O418" i="2" s="1"/>
  <c r="L418" i="2"/>
  <c r="F418" i="2"/>
  <c r="I418" i="2" s="1"/>
  <c r="C418" i="2"/>
  <c r="D418" i="2" s="1"/>
  <c r="R417" i="2"/>
  <c r="Q417" i="2"/>
  <c r="M417" i="2"/>
  <c r="L417" i="2"/>
  <c r="N417" i="2" s="1"/>
  <c r="O417" i="2" s="1"/>
  <c r="C417" i="2"/>
  <c r="D417" i="2" s="1"/>
  <c r="M416" i="2"/>
  <c r="L416" i="2"/>
  <c r="F416" i="2"/>
  <c r="I416" i="2" s="1"/>
  <c r="C416" i="2"/>
  <c r="D416" i="2" s="1"/>
  <c r="M415" i="2"/>
  <c r="L415" i="2"/>
  <c r="N415" i="2" s="1"/>
  <c r="O415" i="2" s="1"/>
  <c r="C415" i="2"/>
  <c r="D415" i="2" s="1"/>
  <c r="M414" i="2"/>
  <c r="N414" i="2" s="1"/>
  <c r="O414" i="2" s="1"/>
  <c r="L414" i="2"/>
  <c r="F414" i="2"/>
  <c r="I414" i="2" s="1"/>
  <c r="C414" i="2"/>
  <c r="D414" i="2" s="1"/>
  <c r="R413" i="2"/>
  <c r="Q413" i="2"/>
  <c r="M413" i="2"/>
  <c r="L413" i="2"/>
  <c r="N413" i="2" s="1"/>
  <c r="O413" i="2" s="1"/>
  <c r="C413" i="2"/>
  <c r="D413" i="2" s="1"/>
  <c r="M412" i="2"/>
  <c r="N412" i="2" s="1"/>
  <c r="O412" i="2" s="1"/>
  <c r="L412" i="2"/>
  <c r="F412" i="2"/>
  <c r="I412" i="2" s="1"/>
  <c r="C412" i="2"/>
  <c r="D412" i="2" s="1"/>
  <c r="M411" i="2"/>
  <c r="L411" i="2"/>
  <c r="N411" i="2" s="1"/>
  <c r="O411" i="2" s="1"/>
  <c r="C411" i="2"/>
  <c r="D411" i="2" s="1"/>
  <c r="M410" i="2"/>
  <c r="N410" i="2" s="1"/>
  <c r="O410" i="2" s="1"/>
  <c r="L410" i="2"/>
  <c r="F410" i="2"/>
  <c r="I410" i="2" s="1"/>
  <c r="C410" i="2"/>
  <c r="D410" i="2" s="1"/>
  <c r="R409" i="2"/>
  <c r="Q409" i="2"/>
  <c r="M409" i="2"/>
  <c r="L409" i="2"/>
  <c r="N409" i="2" s="1"/>
  <c r="O409" i="2" s="1"/>
  <c r="C409" i="2"/>
  <c r="D409" i="2" s="1"/>
  <c r="M408" i="2"/>
  <c r="L408" i="2"/>
  <c r="F408" i="2"/>
  <c r="I408" i="2" s="1"/>
  <c r="C408" i="2"/>
  <c r="D408" i="2" s="1"/>
  <c r="M407" i="2"/>
  <c r="L407" i="2"/>
  <c r="N407" i="2" s="1"/>
  <c r="O407" i="2" s="1"/>
  <c r="C407" i="2"/>
  <c r="D407" i="2" s="1"/>
  <c r="M406" i="2"/>
  <c r="N406" i="2" s="1"/>
  <c r="O406" i="2" s="1"/>
  <c r="L406" i="2"/>
  <c r="C406" i="2"/>
  <c r="N405" i="2"/>
  <c r="O405" i="2" s="1"/>
  <c r="M405" i="2"/>
  <c r="L405" i="2"/>
  <c r="D405" i="2"/>
  <c r="C405" i="2"/>
  <c r="M404" i="2"/>
  <c r="L404" i="2"/>
  <c r="C404" i="2"/>
  <c r="Q403" i="2"/>
  <c r="P403" i="2"/>
  <c r="S403" i="2" s="1"/>
  <c r="M403" i="2"/>
  <c r="L403" i="2"/>
  <c r="N403" i="2" s="1"/>
  <c r="O403" i="2" s="1"/>
  <c r="R403" i="2" s="1"/>
  <c r="F403" i="2"/>
  <c r="D403" i="2"/>
  <c r="C403" i="2"/>
  <c r="E403" i="2" s="1"/>
  <c r="M402" i="2"/>
  <c r="L402" i="2"/>
  <c r="N402" i="2" s="1"/>
  <c r="O402" i="2" s="1"/>
  <c r="R402" i="2" s="1"/>
  <c r="C402" i="2"/>
  <c r="E402" i="2" s="1"/>
  <c r="N401" i="2"/>
  <c r="O401" i="2" s="1"/>
  <c r="M401" i="2"/>
  <c r="L401" i="2"/>
  <c r="F401" i="2"/>
  <c r="C401" i="2"/>
  <c r="E401" i="2" s="1"/>
  <c r="M400" i="2"/>
  <c r="L400" i="2"/>
  <c r="C400" i="2"/>
  <c r="M399" i="2"/>
  <c r="L399" i="2"/>
  <c r="C399" i="2"/>
  <c r="M398" i="2"/>
  <c r="L398" i="2"/>
  <c r="C398" i="2"/>
  <c r="P397" i="2"/>
  <c r="S397" i="2" s="1"/>
  <c r="M397" i="2"/>
  <c r="L397" i="2"/>
  <c r="N397" i="2" s="1"/>
  <c r="O397" i="2" s="1"/>
  <c r="K397" i="2"/>
  <c r="J397" i="2"/>
  <c r="F397" i="2"/>
  <c r="I397" i="2" s="1"/>
  <c r="D397" i="2"/>
  <c r="C397" i="2"/>
  <c r="E397" i="2" s="1"/>
  <c r="M396" i="2"/>
  <c r="N396" i="2" s="1"/>
  <c r="O396" i="2" s="1"/>
  <c r="R396" i="2" s="1"/>
  <c r="L396" i="2"/>
  <c r="C396" i="2"/>
  <c r="N395" i="2"/>
  <c r="O395" i="2" s="1"/>
  <c r="M395" i="2"/>
  <c r="L395" i="2"/>
  <c r="F395" i="2"/>
  <c r="D395" i="2"/>
  <c r="C395" i="2"/>
  <c r="E395" i="2" s="1"/>
  <c r="M394" i="2"/>
  <c r="N394" i="2" s="1"/>
  <c r="O394" i="2" s="1"/>
  <c r="L394" i="2"/>
  <c r="C394" i="2"/>
  <c r="F394" i="2" s="1"/>
  <c r="M393" i="2"/>
  <c r="L393" i="2"/>
  <c r="D393" i="2"/>
  <c r="C393" i="2"/>
  <c r="M392" i="2"/>
  <c r="L392" i="2"/>
  <c r="C392" i="2"/>
  <c r="M391" i="2"/>
  <c r="L391" i="2"/>
  <c r="J391" i="2"/>
  <c r="F391" i="2"/>
  <c r="C391" i="2"/>
  <c r="N390" i="2"/>
  <c r="O390" i="2" s="1"/>
  <c r="M390" i="2"/>
  <c r="L390" i="2"/>
  <c r="K390" i="2"/>
  <c r="E390" i="2"/>
  <c r="C390" i="2"/>
  <c r="F390" i="2" s="1"/>
  <c r="N389" i="2"/>
  <c r="O389" i="2" s="1"/>
  <c r="M389" i="2"/>
  <c r="L389" i="2"/>
  <c r="F389" i="2"/>
  <c r="D389" i="2"/>
  <c r="C389" i="2"/>
  <c r="E389" i="2" s="1"/>
  <c r="N388" i="2"/>
  <c r="O388" i="2" s="1"/>
  <c r="M388" i="2"/>
  <c r="L388" i="2"/>
  <c r="F388" i="2"/>
  <c r="E388" i="2"/>
  <c r="C388" i="2"/>
  <c r="M387" i="2"/>
  <c r="L387" i="2"/>
  <c r="C387" i="2"/>
  <c r="D387" i="2" s="1"/>
  <c r="M386" i="2"/>
  <c r="N386" i="2" s="1"/>
  <c r="O386" i="2" s="1"/>
  <c r="L386" i="2"/>
  <c r="C386" i="2"/>
  <c r="M385" i="2"/>
  <c r="L385" i="2"/>
  <c r="C385" i="2"/>
  <c r="Q384" i="2"/>
  <c r="N384" i="2"/>
  <c r="O384" i="2" s="1"/>
  <c r="R384" i="2" s="1"/>
  <c r="M384" i="2"/>
  <c r="L384" i="2"/>
  <c r="F384" i="2"/>
  <c r="E384" i="2"/>
  <c r="C384" i="2"/>
  <c r="M383" i="2"/>
  <c r="L383" i="2"/>
  <c r="N383" i="2" s="1"/>
  <c r="O383" i="2" s="1"/>
  <c r="D383" i="2"/>
  <c r="C383" i="2"/>
  <c r="M382" i="2"/>
  <c r="L382" i="2"/>
  <c r="E382" i="2"/>
  <c r="C382" i="2"/>
  <c r="N381" i="2"/>
  <c r="O381" i="2" s="1"/>
  <c r="M381" i="2"/>
  <c r="L381" i="2"/>
  <c r="C381" i="2"/>
  <c r="M380" i="2"/>
  <c r="N380" i="2" s="1"/>
  <c r="O380" i="2" s="1"/>
  <c r="L380" i="2"/>
  <c r="C380" i="2"/>
  <c r="M379" i="2"/>
  <c r="L379" i="2"/>
  <c r="D379" i="2"/>
  <c r="C379" i="2"/>
  <c r="M378" i="2"/>
  <c r="N378" i="2" s="1"/>
  <c r="O378" i="2" s="1"/>
  <c r="L378" i="2"/>
  <c r="F378" i="2"/>
  <c r="E378" i="2"/>
  <c r="C378" i="2"/>
  <c r="P377" i="2"/>
  <c r="S377" i="2" s="1"/>
  <c r="N377" i="2"/>
  <c r="O377" i="2" s="1"/>
  <c r="R377" i="2" s="1"/>
  <c r="M377" i="2"/>
  <c r="L377" i="2"/>
  <c r="F377" i="2"/>
  <c r="C377" i="2"/>
  <c r="M376" i="2"/>
  <c r="L376" i="2"/>
  <c r="C376" i="2"/>
  <c r="M375" i="2"/>
  <c r="L375" i="2"/>
  <c r="N375" i="2" s="1"/>
  <c r="O375" i="2" s="1"/>
  <c r="C375" i="2"/>
  <c r="M374" i="2"/>
  <c r="N374" i="2" s="1"/>
  <c r="O374" i="2" s="1"/>
  <c r="L374" i="2"/>
  <c r="C374" i="2"/>
  <c r="M373" i="2"/>
  <c r="L373" i="2"/>
  <c r="C373" i="2"/>
  <c r="N372" i="2"/>
  <c r="O372" i="2" s="1"/>
  <c r="R372" i="2" s="1"/>
  <c r="M372" i="2"/>
  <c r="L372" i="2"/>
  <c r="C372" i="2"/>
  <c r="E372" i="2" s="1"/>
  <c r="N371" i="2"/>
  <c r="O371" i="2" s="1"/>
  <c r="R371" i="2" s="1"/>
  <c r="M371" i="2"/>
  <c r="L371" i="2"/>
  <c r="F371" i="2"/>
  <c r="D371" i="2"/>
  <c r="C371" i="2"/>
  <c r="E371" i="2" s="1"/>
  <c r="M370" i="2"/>
  <c r="N370" i="2" s="1"/>
  <c r="O370" i="2" s="1"/>
  <c r="L370" i="2"/>
  <c r="C370" i="2"/>
  <c r="F370" i="2" s="1"/>
  <c r="M369" i="2"/>
  <c r="L369" i="2"/>
  <c r="C369" i="2"/>
  <c r="D369" i="2" s="1"/>
  <c r="M368" i="2"/>
  <c r="N368" i="2" s="1"/>
  <c r="O368" i="2" s="1"/>
  <c r="L368" i="2"/>
  <c r="C368" i="2"/>
  <c r="M367" i="2"/>
  <c r="L367" i="2"/>
  <c r="D367" i="2"/>
  <c r="C367" i="2"/>
  <c r="M366" i="2"/>
  <c r="L366" i="2"/>
  <c r="N366" i="2" s="1"/>
  <c r="O366" i="2" s="1"/>
  <c r="E366" i="2"/>
  <c r="C366" i="2"/>
  <c r="F366" i="2" s="1"/>
  <c r="M365" i="2"/>
  <c r="L365" i="2"/>
  <c r="C365" i="2"/>
  <c r="E365" i="2" s="1"/>
  <c r="N364" i="2"/>
  <c r="O364" i="2" s="1"/>
  <c r="M364" i="2"/>
  <c r="L364" i="2"/>
  <c r="C364" i="2"/>
  <c r="M363" i="2"/>
  <c r="N363" i="2" s="1"/>
  <c r="O363" i="2" s="1"/>
  <c r="L363" i="2"/>
  <c r="C363" i="2"/>
  <c r="M362" i="2"/>
  <c r="L362" i="2"/>
  <c r="C362" i="2"/>
  <c r="M361" i="2"/>
  <c r="L361" i="2"/>
  <c r="N361" i="2" s="1"/>
  <c r="O361" i="2" s="1"/>
  <c r="C361" i="2"/>
  <c r="M360" i="2"/>
  <c r="L360" i="2"/>
  <c r="F360" i="2"/>
  <c r="E360" i="2"/>
  <c r="C360" i="2"/>
  <c r="P359" i="2"/>
  <c r="S359" i="2" s="1"/>
  <c r="M359" i="2"/>
  <c r="L359" i="2"/>
  <c r="C359" i="2"/>
  <c r="M358" i="2"/>
  <c r="L358" i="2"/>
  <c r="F358" i="2"/>
  <c r="C358" i="2"/>
  <c r="M357" i="2"/>
  <c r="L357" i="2"/>
  <c r="N357" i="2" s="1"/>
  <c r="O357" i="2" s="1"/>
  <c r="C357" i="2"/>
  <c r="D357" i="2" s="1"/>
  <c r="M356" i="2"/>
  <c r="L356" i="2"/>
  <c r="C356" i="2"/>
  <c r="P355" i="2"/>
  <c r="S355" i="2" s="1"/>
  <c r="M355" i="2"/>
  <c r="L355" i="2"/>
  <c r="N355" i="2" s="1"/>
  <c r="O355" i="2" s="1"/>
  <c r="F355" i="2"/>
  <c r="C355" i="2"/>
  <c r="M354" i="2"/>
  <c r="L354" i="2"/>
  <c r="N354" i="2" s="1"/>
  <c r="O354" i="2" s="1"/>
  <c r="F354" i="2"/>
  <c r="C354" i="2"/>
  <c r="E354" i="2" s="1"/>
  <c r="M353" i="2"/>
  <c r="L353" i="2"/>
  <c r="N353" i="2" s="1"/>
  <c r="O353" i="2" s="1"/>
  <c r="R353" i="2" s="1"/>
  <c r="C353" i="2"/>
  <c r="E353" i="2" s="1"/>
  <c r="N352" i="2"/>
  <c r="O352" i="2" s="1"/>
  <c r="M352" i="2"/>
  <c r="L352" i="2"/>
  <c r="C352" i="2"/>
  <c r="M351" i="2"/>
  <c r="L351" i="2"/>
  <c r="N351" i="2" s="1"/>
  <c r="O351" i="2" s="1"/>
  <c r="Q351" i="2" s="1"/>
  <c r="C351" i="2"/>
  <c r="M350" i="2"/>
  <c r="N350" i="2" s="1"/>
  <c r="O350" i="2" s="1"/>
  <c r="R350" i="2" s="1"/>
  <c r="L350" i="2"/>
  <c r="C350" i="2"/>
  <c r="P349" i="2"/>
  <c r="S349" i="2" s="1"/>
  <c r="M349" i="2"/>
  <c r="L349" i="2"/>
  <c r="N349" i="2" s="1"/>
  <c r="O349" i="2" s="1"/>
  <c r="F349" i="2"/>
  <c r="D349" i="2"/>
  <c r="C349" i="2"/>
  <c r="E349" i="2" s="1"/>
  <c r="M348" i="2"/>
  <c r="L348" i="2"/>
  <c r="N348" i="2" s="1"/>
  <c r="O348" i="2" s="1"/>
  <c r="R348" i="2" s="1"/>
  <c r="K348" i="2"/>
  <c r="E348" i="2"/>
  <c r="C348" i="2"/>
  <c r="F348" i="2" s="1"/>
  <c r="J348" i="2" s="1"/>
  <c r="M347" i="2"/>
  <c r="L347" i="2"/>
  <c r="N347" i="2" s="1"/>
  <c r="O347" i="2" s="1"/>
  <c r="F347" i="2"/>
  <c r="C347" i="2"/>
  <c r="P347" i="2" s="1"/>
  <c r="S347" i="2" s="1"/>
  <c r="M346" i="2"/>
  <c r="N346" i="2" s="1"/>
  <c r="O346" i="2" s="1"/>
  <c r="L346" i="2"/>
  <c r="C346" i="2"/>
  <c r="F346" i="2" s="1"/>
  <c r="M345" i="2"/>
  <c r="L345" i="2"/>
  <c r="N345" i="2" s="1"/>
  <c r="O345" i="2" s="1"/>
  <c r="D345" i="2"/>
  <c r="C345" i="2"/>
  <c r="M344" i="2"/>
  <c r="N344" i="2" s="1"/>
  <c r="O344" i="2" s="1"/>
  <c r="R344" i="2" s="1"/>
  <c r="L344" i="2"/>
  <c r="C344" i="2"/>
  <c r="P343" i="2"/>
  <c r="S343" i="2" s="1"/>
  <c r="M343" i="2"/>
  <c r="L343" i="2"/>
  <c r="F343" i="2"/>
  <c r="D343" i="2"/>
  <c r="C343" i="2"/>
  <c r="E343" i="2" s="1"/>
  <c r="M342" i="2"/>
  <c r="N342" i="2" s="1"/>
  <c r="O342" i="2" s="1"/>
  <c r="L342" i="2"/>
  <c r="F342" i="2"/>
  <c r="E342" i="2"/>
  <c r="C342" i="2"/>
  <c r="M341" i="2"/>
  <c r="N341" i="2" s="1"/>
  <c r="O341" i="2" s="1"/>
  <c r="R341" i="2" s="1"/>
  <c r="L341" i="2"/>
  <c r="C341" i="2"/>
  <c r="E341" i="2" s="1"/>
  <c r="O340" i="2"/>
  <c r="M340" i="2"/>
  <c r="L340" i="2"/>
  <c r="N340" i="2" s="1"/>
  <c r="C340" i="2"/>
  <c r="N339" i="2"/>
  <c r="O339" i="2" s="1"/>
  <c r="Q339" i="2" s="1"/>
  <c r="M339" i="2"/>
  <c r="L339" i="2"/>
  <c r="C339" i="2"/>
  <c r="M338" i="2"/>
  <c r="N338" i="2" s="1"/>
  <c r="O338" i="2" s="1"/>
  <c r="L338" i="2"/>
  <c r="C338" i="2"/>
  <c r="M337" i="2"/>
  <c r="L337" i="2"/>
  <c r="D337" i="2"/>
  <c r="C337" i="2"/>
  <c r="N336" i="2"/>
  <c r="O336" i="2" s="1"/>
  <c r="R336" i="2" s="1"/>
  <c r="M336" i="2"/>
  <c r="L336" i="2"/>
  <c r="K336" i="2"/>
  <c r="F336" i="2"/>
  <c r="J336" i="2" s="1"/>
  <c r="C336" i="2"/>
  <c r="E336" i="2" s="1"/>
  <c r="M335" i="2"/>
  <c r="N335" i="2" s="1"/>
  <c r="O335" i="2" s="1"/>
  <c r="L335" i="2"/>
  <c r="F335" i="2"/>
  <c r="D335" i="2"/>
  <c r="C335" i="2"/>
  <c r="E335" i="2" s="1"/>
  <c r="M334" i="2"/>
  <c r="L334" i="2"/>
  <c r="C334" i="2"/>
  <c r="F334" i="2" s="1"/>
  <c r="M333" i="2"/>
  <c r="L333" i="2"/>
  <c r="C333" i="2"/>
  <c r="D333" i="2" s="1"/>
  <c r="M332" i="2"/>
  <c r="N332" i="2" s="1"/>
  <c r="O332" i="2" s="1"/>
  <c r="L332" i="2"/>
  <c r="C332" i="2"/>
  <c r="M331" i="2"/>
  <c r="L331" i="2"/>
  <c r="N331" i="2" s="1"/>
  <c r="O331" i="2" s="1"/>
  <c r="F331" i="2"/>
  <c r="D331" i="2"/>
  <c r="C331" i="2"/>
  <c r="M330" i="2"/>
  <c r="L330" i="2"/>
  <c r="N330" i="2" s="1"/>
  <c r="O330" i="2" s="1"/>
  <c r="F330" i="2"/>
  <c r="E330" i="2"/>
  <c r="C330" i="2"/>
  <c r="M329" i="2"/>
  <c r="L329" i="2"/>
  <c r="C329" i="2"/>
  <c r="E329" i="2" s="1"/>
  <c r="N328" i="2"/>
  <c r="O328" i="2" s="1"/>
  <c r="M328" i="2"/>
  <c r="L328" i="2"/>
  <c r="C328" i="2"/>
  <c r="M327" i="2"/>
  <c r="N327" i="2" s="1"/>
  <c r="O327" i="2" s="1"/>
  <c r="L327" i="2"/>
  <c r="D327" i="2"/>
  <c r="C327" i="2"/>
  <c r="M326" i="2"/>
  <c r="L326" i="2"/>
  <c r="C326" i="2"/>
  <c r="M325" i="2"/>
  <c r="L325" i="2"/>
  <c r="N325" i="2" s="1"/>
  <c r="O325" i="2" s="1"/>
  <c r="D325" i="2"/>
  <c r="C325" i="2"/>
  <c r="M324" i="2"/>
  <c r="N324" i="2" s="1"/>
  <c r="O324" i="2" s="1"/>
  <c r="R324" i="2" s="1"/>
  <c r="L324" i="2"/>
  <c r="K324" i="2"/>
  <c r="F324" i="2"/>
  <c r="J324" i="2" s="1"/>
  <c r="C324" i="2"/>
  <c r="E324" i="2" s="1"/>
  <c r="M323" i="2"/>
  <c r="N323" i="2" s="1"/>
  <c r="O323" i="2" s="1"/>
  <c r="L323" i="2"/>
  <c r="F323" i="2"/>
  <c r="D323" i="2"/>
  <c r="C323" i="2"/>
  <c r="E323" i="2" s="1"/>
  <c r="M322" i="2"/>
  <c r="L322" i="2"/>
  <c r="F322" i="2"/>
  <c r="C322" i="2"/>
  <c r="M321" i="2"/>
  <c r="L321" i="2"/>
  <c r="C321" i="2"/>
  <c r="D321" i="2" s="1"/>
  <c r="M320" i="2"/>
  <c r="L320" i="2"/>
  <c r="C320" i="2"/>
  <c r="R319" i="2"/>
  <c r="Q319" i="2"/>
  <c r="M319" i="2"/>
  <c r="L319" i="2"/>
  <c r="N319" i="2" s="1"/>
  <c r="O319" i="2" s="1"/>
  <c r="D319" i="2"/>
  <c r="C319" i="2"/>
  <c r="O318" i="2"/>
  <c r="N318" i="2"/>
  <c r="M318" i="2"/>
  <c r="L318" i="2"/>
  <c r="F318" i="2"/>
  <c r="C318" i="2"/>
  <c r="E318" i="2" s="1"/>
  <c r="M317" i="2"/>
  <c r="L317" i="2"/>
  <c r="C317" i="2"/>
  <c r="E317" i="2" s="1"/>
  <c r="M316" i="2"/>
  <c r="L316" i="2"/>
  <c r="F316" i="2"/>
  <c r="E316" i="2"/>
  <c r="C316" i="2"/>
  <c r="M315" i="2"/>
  <c r="L315" i="2"/>
  <c r="C315" i="2"/>
  <c r="Q314" i="2"/>
  <c r="M314" i="2"/>
  <c r="N314" i="2" s="1"/>
  <c r="O314" i="2" s="1"/>
  <c r="R314" i="2" s="1"/>
  <c r="L314" i="2"/>
  <c r="C314" i="2"/>
  <c r="F314" i="2" s="1"/>
  <c r="I314" i="2" s="1"/>
  <c r="M313" i="2"/>
  <c r="L313" i="2"/>
  <c r="N313" i="2" s="1"/>
  <c r="O313" i="2" s="1"/>
  <c r="F313" i="2"/>
  <c r="I313" i="2" s="1"/>
  <c r="D313" i="2"/>
  <c r="C313" i="2"/>
  <c r="M312" i="2"/>
  <c r="N312" i="2" s="1"/>
  <c r="O312" i="2" s="1"/>
  <c r="L312" i="2"/>
  <c r="C312" i="2"/>
  <c r="M311" i="2"/>
  <c r="L311" i="2"/>
  <c r="N311" i="2" s="1"/>
  <c r="O311" i="2" s="1"/>
  <c r="R311" i="2" s="1"/>
  <c r="F311" i="2"/>
  <c r="C311" i="2"/>
  <c r="E311" i="2" s="1"/>
  <c r="M310" i="2"/>
  <c r="L310" i="2"/>
  <c r="N310" i="2" s="1"/>
  <c r="O310" i="2" s="1"/>
  <c r="C310" i="2"/>
  <c r="M309" i="2"/>
  <c r="L309" i="2"/>
  <c r="C309" i="2"/>
  <c r="M308" i="2"/>
  <c r="L308" i="2"/>
  <c r="C308" i="2"/>
  <c r="M307" i="2"/>
  <c r="L307" i="2"/>
  <c r="F307" i="2"/>
  <c r="D307" i="2"/>
  <c r="C307" i="2"/>
  <c r="E307" i="2" s="1"/>
  <c r="M306" i="2"/>
  <c r="L306" i="2"/>
  <c r="F306" i="2"/>
  <c r="E306" i="2"/>
  <c r="C306" i="2"/>
  <c r="P305" i="2"/>
  <c r="S305" i="2" s="1"/>
  <c r="M305" i="2"/>
  <c r="L305" i="2"/>
  <c r="N305" i="2" s="1"/>
  <c r="O305" i="2" s="1"/>
  <c r="D305" i="2"/>
  <c r="C305" i="2"/>
  <c r="M304" i="2"/>
  <c r="N304" i="2" s="1"/>
  <c r="O304" i="2" s="1"/>
  <c r="L304" i="2"/>
  <c r="F304" i="2"/>
  <c r="K304" i="2" s="1"/>
  <c r="E304" i="2"/>
  <c r="C304" i="2"/>
  <c r="N303" i="2"/>
  <c r="O303" i="2" s="1"/>
  <c r="M303" i="2"/>
  <c r="L303" i="2"/>
  <c r="D303" i="2"/>
  <c r="C303" i="2"/>
  <c r="M302" i="2"/>
  <c r="L302" i="2"/>
  <c r="F302" i="2"/>
  <c r="C302" i="2"/>
  <c r="M301" i="2"/>
  <c r="L301" i="2"/>
  <c r="F301" i="2"/>
  <c r="D301" i="2"/>
  <c r="C301" i="2"/>
  <c r="E301" i="2" s="1"/>
  <c r="M300" i="2"/>
  <c r="L300" i="2"/>
  <c r="N300" i="2" s="1"/>
  <c r="O300" i="2" s="1"/>
  <c r="F300" i="2"/>
  <c r="E300" i="2"/>
  <c r="C300" i="2"/>
  <c r="M299" i="2"/>
  <c r="L299" i="2"/>
  <c r="N299" i="2" s="1"/>
  <c r="O299" i="2" s="1"/>
  <c r="C299" i="2"/>
  <c r="E299" i="2" s="1"/>
  <c r="M298" i="2"/>
  <c r="N298" i="2" s="1"/>
  <c r="O298" i="2" s="1"/>
  <c r="L298" i="2"/>
  <c r="C298" i="2"/>
  <c r="F298" i="2" s="1"/>
  <c r="M297" i="2"/>
  <c r="L297" i="2"/>
  <c r="N297" i="2" s="1"/>
  <c r="O297" i="2" s="1"/>
  <c r="C297" i="2"/>
  <c r="M296" i="2"/>
  <c r="N296" i="2" s="1"/>
  <c r="O296" i="2" s="1"/>
  <c r="L296" i="2"/>
  <c r="F296" i="2"/>
  <c r="I296" i="2" s="1"/>
  <c r="C296" i="2"/>
  <c r="N295" i="2"/>
  <c r="O295" i="2" s="1"/>
  <c r="M295" i="2"/>
  <c r="L295" i="2"/>
  <c r="F295" i="2"/>
  <c r="I295" i="2" s="1"/>
  <c r="C295" i="2"/>
  <c r="P295" i="2" s="1"/>
  <c r="S295" i="2" s="1"/>
  <c r="M294" i="2"/>
  <c r="L294" i="2"/>
  <c r="C294" i="2"/>
  <c r="M293" i="2"/>
  <c r="L293" i="2"/>
  <c r="C293" i="2"/>
  <c r="E293" i="2" s="1"/>
  <c r="M292" i="2"/>
  <c r="N292" i="2" s="1"/>
  <c r="O292" i="2" s="1"/>
  <c r="L292" i="2"/>
  <c r="C292" i="2"/>
  <c r="M291" i="2"/>
  <c r="L291" i="2"/>
  <c r="N291" i="2" s="1"/>
  <c r="O291" i="2" s="1"/>
  <c r="C291" i="2"/>
  <c r="M290" i="2"/>
  <c r="L290" i="2"/>
  <c r="C290" i="2"/>
  <c r="P289" i="2"/>
  <c r="S289" i="2" s="1"/>
  <c r="M289" i="2"/>
  <c r="L289" i="2"/>
  <c r="N289" i="2" s="1"/>
  <c r="O289" i="2" s="1"/>
  <c r="Q289" i="2" s="1"/>
  <c r="F289" i="2"/>
  <c r="C289" i="2"/>
  <c r="E289" i="2" s="1"/>
  <c r="M288" i="2"/>
  <c r="L288" i="2"/>
  <c r="N288" i="2" s="1"/>
  <c r="O288" i="2" s="1"/>
  <c r="F288" i="2"/>
  <c r="E288" i="2"/>
  <c r="C288" i="2"/>
  <c r="P287" i="2"/>
  <c r="S287" i="2" s="1"/>
  <c r="M287" i="2"/>
  <c r="L287" i="2"/>
  <c r="N287" i="2" s="1"/>
  <c r="O287" i="2" s="1"/>
  <c r="D287" i="2"/>
  <c r="C287" i="2"/>
  <c r="M286" i="2"/>
  <c r="N286" i="2" s="1"/>
  <c r="O286" i="2" s="1"/>
  <c r="L286" i="2"/>
  <c r="F286" i="2"/>
  <c r="K286" i="2" s="1"/>
  <c r="E286" i="2"/>
  <c r="C286" i="2"/>
  <c r="M285" i="2"/>
  <c r="L285" i="2"/>
  <c r="N285" i="2" s="1"/>
  <c r="O285" i="2" s="1"/>
  <c r="D285" i="2"/>
  <c r="C285" i="2"/>
  <c r="M284" i="2"/>
  <c r="N284" i="2" s="1"/>
  <c r="O284" i="2" s="1"/>
  <c r="L284" i="2"/>
  <c r="C284" i="2"/>
  <c r="F284" i="2" s="1"/>
  <c r="Q283" i="2"/>
  <c r="M283" i="2"/>
  <c r="L283" i="2"/>
  <c r="N283" i="2" s="1"/>
  <c r="O283" i="2" s="1"/>
  <c r="R283" i="2" s="1"/>
  <c r="C283" i="2"/>
  <c r="O282" i="2"/>
  <c r="N282" i="2"/>
  <c r="M282" i="2"/>
  <c r="L282" i="2"/>
  <c r="E282" i="2"/>
  <c r="C282" i="2"/>
  <c r="F282" i="2" s="1"/>
  <c r="M281" i="2"/>
  <c r="L281" i="2"/>
  <c r="N281" i="2" s="1"/>
  <c r="O281" i="2" s="1"/>
  <c r="C281" i="2"/>
  <c r="M280" i="2"/>
  <c r="L280" i="2"/>
  <c r="C280" i="2"/>
  <c r="E280" i="2" s="1"/>
  <c r="M279" i="2"/>
  <c r="L279" i="2"/>
  <c r="C279" i="2"/>
  <c r="M278" i="2"/>
  <c r="N278" i="2" s="1"/>
  <c r="O278" i="2" s="1"/>
  <c r="L278" i="2"/>
  <c r="F278" i="2"/>
  <c r="I278" i="2" s="1"/>
  <c r="C278" i="2"/>
  <c r="N277" i="2"/>
  <c r="O277" i="2" s="1"/>
  <c r="M277" i="2"/>
  <c r="L277" i="2"/>
  <c r="C277" i="2"/>
  <c r="E277" i="2" s="1"/>
  <c r="M276" i="2"/>
  <c r="L276" i="2"/>
  <c r="C276" i="2"/>
  <c r="M275" i="2"/>
  <c r="N275" i="2" s="1"/>
  <c r="O275" i="2" s="1"/>
  <c r="L275" i="2"/>
  <c r="F275" i="2"/>
  <c r="J275" i="2" s="1"/>
  <c r="C275" i="2"/>
  <c r="E275" i="2" s="1"/>
  <c r="M274" i="2"/>
  <c r="N274" i="2" s="1"/>
  <c r="O274" i="2" s="1"/>
  <c r="L274" i="2"/>
  <c r="C274" i="2"/>
  <c r="N273" i="2"/>
  <c r="O273" i="2" s="1"/>
  <c r="M273" i="2"/>
  <c r="L273" i="2"/>
  <c r="C273" i="2"/>
  <c r="M272" i="2"/>
  <c r="L272" i="2"/>
  <c r="C272" i="2"/>
  <c r="R271" i="2"/>
  <c r="M271" i="2"/>
  <c r="L271" i="2"/>
  <c r="N271" i="2" s="1"/>
  <c r="O271" i="2" s="1"/>
  <c r="Q271" i="2" s="1"/>
  <c r="C271" i="2"/>
  <c r="F271" i="2" s="1"/>
  <c r="M270" i="2"/>
  <c r="L270" i="2"/>
  <c r="N270" i="2" s="1"/>
  <c r="O270" i="2" s="1"/>
  <c r="F270" i="2"/>
  <c r="C270" i="2"/>
  <c r="E270" i="2" s="1"/>
  <c r="M269" i="2"/>
  <c r="L269" i="2"/>
  <c r="N269" i="2" s="1"/>
  <c r="O269" i="2" s="1"/>
  <c r="D269" i="2"/>
  <c r="C269" i="2"/>
  <c r="P269" i="2" s="1"/>
  <c r="S269" i="2" s="1"/>
  <c r="M268" i="2"/>
  <c r="L268" i="2"/>
  <c r="F268" i="2"/>
  <c r="K268" i="2" s="1"/>
  <c r="E268" i="2"/>
  <c r="C268" i="2"/>
  <c r="N267" i="2"/>
  <c r="O267" i="2" s="1"/>
  <c r="M267" i="2"/>
  <c r="L267" i="2"/>
  <c r="D267" i="2"/>
  <c r="C267" i="2"/>
  <c r="M266" i="2"/>
  <c r="L266" i="2"/>
  <c r="C266" i="2"/>
  <c r="F266" i="2" s="1"/>
  <c r="P265" i="2"/>
  <c r="S265" i="2" s="1"/>
  <c r="N265" i="2"/>
  <c r="O265" i="2" s="1"/>
  <c r="M265" i="2"/>
  <c r="L265" i="2"/>
  <c r="C265" i="2"/>
  <c r="M264" i="2"/>
  <c r="N264" i="2" s="1"/>
  <c r="O264" i="2" s="1"/>
  <c r="L264" i="2"/>
  <c r="E264" i="2"/>
  <c r="C264" i="2"/>
  <c r="F264" i="2" s="1"/>
  <c r="M263" i="2"/>
  <c r="L263" i="2"/>
  <c r="N263" i="2" s="1"/>
  <c r="O263" i="2" s="1"/>
  <c r="C263" i="2"/>
  <c r="E263" i="2" s="1"/>
  <c r="M262" i="2"/>
  <c r="N262" i="2" s="1"/>
  <c r="O262" i="2" s="1"/>
  <c r="L262" i="2"/>
  <c r="F262" i="2"/>
  <c r="E262" i="2"/>
  <c r="C262" i="2"/>
  <c r="M261" i="2"/>
  <c r="L261" i="2"/>
  <c r="N261" i="2" s="1"/>
  <c r="O261" i="2" s="1"/>
  <c r="C261" i="2"/>
  <c r="M260" i="2"/>
  <c r="L260" i="2"/>
  <c r="C260" i="2"/>
  <c r="F260" i="2" s="1"/>
  <c r="I260" i="2" s="1"/>
  <c r="P259" i="2"/>
  <c r="S259" i="2" s="1"/>
  <c r="N259" i="2"/>
  <c r="O259" i="2" s="1"/>
  <c r="M259" i="2"/>
  <c r="L259" i="2"/>
  <c r="C259" i="2"/>
  <c r="M258" i="2"/>
  <c r="N258" i="2" s="1"/>
  <c r="O258" i="2" s="1"/>
  <c r="L258" i="2"/>
  <c r="C258" i="2"/>
  <c r="M257" i="2"/>
  <c r="L257" i="2"/>
  <c r="N257" i="2" s="1"/>
  <c r="O257" i="2" s="1"/>
  <c r="C257" i="2"/>
  <c r="M256" i="2"/>
  <c r="L256" i="2"/>
  <c r="C256" i="2"/>
  <c r="M255" i="2"/>
  <c r="L255" i="2"/>
  <c r="N255" i="2" s="1"/>
  <c r="O255" i="2" s="1"/>
  <c r="C255" i="2"/>
  <c r="O254" i="2"/>
  <c r="M254" i="2"/>
  <c r="N254" i="2" s="1"/>
  <c r="L254" i="2"/>
  <c r="C254" i="2"/>
  <c r="M253" i="2"/>
  <c r="L253" i="2"/>
  <c r="C253" i="2"/>
  <c r="N252" i="2"/>
  <c r="O252" i="2" s="1"/>
  <c r="R252" i="2" s="1"/>
  <c r="M252" i="2"/>
  <c r="L252" i="2"/>
  <c r="F252" i="2"/>
  <c r="J252" i="2" s="1"/>
  <c r="E252" i="2"/>
  <c r="C252" i="2"/>
  <c r="M251" i="2"/>
  <c r="L251" i="2"/>
  <c r="D251" i="2"/>
  <c r="C251" i="2"/>
  <c r="P251" i="2" s="1"/>
  <c r="S251" i="2" s="1"/>
  <c r="M250" i="2"/>
  <c r="L250" i="2"/>
  <c r="K250" i="2"/>
  <c r="F250" i="2"/>
  <c r="E250" i="2"/>
  <c r="C250" i="2"/>
  <c r="M249" i="2"/>
  <c r="L249" i="2"/>
  <c r="N249" i="2" s="1"/>
  <c r="O249" i="2" s="1"/>
  <c r="D249" i="2"/>
  <c r="C249" i="2"/>
  <c r="M248" i="2"/>
  <c r="L248" i="2"/>
  <c r="C248" i="2"/>
  <c r="F248" i="2" s="1"/>
  <c r="P247" i="2"/>
  <c r="S247" i="2" s="1"/>
  <c r="M247" i="2"/>
  <c r="L247" i="2"/>
  <c r="N247" i="2" s="1"/>
  <c r="O247" i="2" s="1"/>
  <c r="C247" i="2"/>
  <c r="M246" i="2"/>
  <c r="N246" i="2" s="1"/>
  <c r="O246" i="2" s="1"/>
  <c r="L246" i="2"/>
  <c r="C246" i="2"/>
  <c r="M245" i="2"/>
  <c r="L245" i="2"/>
  <c r="N245" i="2" s="1"/>
  <c r="O245" i="2" s="1"/>
  <c r="F245" i="2"/>
  <c r="C245" i="2"/>
  <c r="E245" i="2" s="1"/>
  <c r="M244" i="2"/>
  <c r="L244" i="2"/>
  <c r="C244" i="2"/>
  <c r="F244" i="2" s="1"/>
  <c r="M243" i="2"/>
  <c r="L243" i="2"/>
  <c r="N243" i="2" s="1"/>
  <c r="O243" i="2" s="1"/>
  <c r="C243" i="2"/>
  <c r="M242" i="2"/>
  <c r="L242" i="2"/>
  <c r="C242" i="2"/>
  <c r="F242" i="2" s="1"/>
  <c r="I242" i="2" s="1"/>
  <c r="M241" i="2"/>
  <c r="N241" i="2" s="1"/>
  <c r="O241" i="2" s="1"/>
  <c r="L241" i="2"/>
  <c r="F241" i="2"/>
  <c r="D241" i="2"/>
  <c r="C241" i="2"/>
  <c r="E241" i="2" s="1"/>
  <c r="M240" i="2"/>
  <c r="N240" i="2" s="1"/>
  <c r="O240" i="2" s="1"/>
  <c r="L240" i="2"/>
  <c r="F240" i="2"/>
  <c r="E240" i="2"/>
  <c r="C240" i="2"/>
  <c r="P239" i="2"/>
  <c r="S239" i="2" s="1"/>
  <c r="M239" i="2"/>
  <c r="L239" i="2"/>
  <c r="K239" i="2"/>
  <c r="I239" i="2"/>
  <c r="E239" i="2"/>
  <c r="D239" i="2"/>
  <c r="C239" i="2"/>
  <c r="F239" i="2" s="1"/>
  <c r="J239" i="2" s="1"/>
  <c r="M238" i="2"/>
  <c r="N238" i="2" s="1"/>
  <c r="O238" i="2" s="1"/>
  <c r="L238" i="2"/>
  <c r="C238" i="2"/>
  <c r="P237" i="2"/>
  <c r="S237" i="2" s="1"/>
  <c r="M237" i="2"/>
  <c r="L237" i="2"/>
  <c r="K237" i="2"/>
  <c r="J237" i="2"/>
  <c r="I237" i="2"/>
  <c r="E237" i="2"/>
  <c r="D237" i="2"/>
  <c r="C237" i="2"/>
  <c r="F237" i="2" s="1"/>
  <c r="M236" i="2"/>
  <c r="L236" i="2"/>
  <c r="C236" i="2"/>
  <c r="M235" i="2"/>
  <c r="L235" i="2"/>
  <c r="C235" i="2"/>
  <c r="M234" i="2"/>
  <c r="L234" i="2"/>
  <c r="N234" i="2" s="1"/>
  <c r="O234" i="2" s="1"/>
  <c r="C234" i="2"/>
  <c r="M233" i="2"/>
  <c r="L233" i="2"/>
  <c r="C233" i="2"/>
  <c r="P232" i="2"/>
  <c r="S232" i="2" s="1"/>
  <c r="M232" i="2"/>
  <c r="L232" i="2"/>
  <c r="N232" i="2" s="1"/>
  <c r="O232" i="2" s="1"/>
  <c r="F232" i="2"/>
  <c r="E232" i="2"/>
  <c r="C232" i="2"/>
  <c r="D232" i="2" s="1"/>
  <c r="M231" i="2"/>
  <c r="L231" i="2"/>
  <c r="C231" i="2"/>
  <c r="P230" i="2"/>
  <c r="S230" i="2" s="1"/>
  <c r="M230" i="2"/>
  <c r="N230" i="2" s="1"/>
  <c r="O230" i="2" s="1"/>
  <c r="L230" i="2"/>
  <c r="F230" i="2"/>
  <c r="E230" i="2"/>
  <c r="D230" i="2"/>
  <c r="C230" i="2"/>
  <c r="M229" i="2"/>
  <c r="L229" i="2"/>
  <c r="N229" i="2" s="1"/>
  <c r="O229" i="2" s="1"/>
  <c r="C229" i="2"/>
  <c r="P228" i="2"/>
  <c r="S228" i="2" s="1"/>
  <c r="M228" i="2"/>
  <c r="L228" i="2"/>
  <c r="N228" i="2" s="1"/>
  <c r="O228" i="2" s="1"/>
  <c r="F228" i="2"/>
  <c r="E228" i="2"/>
  <c r="C228" i="2"/>
  <c r="D228" i="2" s="1"/>
  <c r="M227" i="2"/>
  <c r="L227" i="2"/>
  <c r="K227" i="2"/>
  <c r="E227" i="2"/>
  <c r="C227" i="2"/>
  <c r="F227" i="2" s="1"/>
  <c r="M226" i="2"/>
  <c r="N226" i="2" s="1"/>
  <c r="O226" i="2" s="1"/>
  <c r="L226" i="2"/>
  <c r="C226" i="2"/>
  <c r="M225" i="2"/>
  <c r="L225" i="2"/>
  <c r="E225" i="2"/>
  <c r="D225" i="2"/>
  <c r="C225" i="2"/>
  <c r="M224" i="2"/>
  <c r="L224" i="2"/>
  <c r="N224" i="2" s="1"/>
  <c r="O224" i="2" s="1"/>
  <c r="C224" i="2"/>
  <c r="M223" i="2"/>
  <c r="L223" i="2"/>
  <c r="C223" i="2"/>
  <c r="P222" i="2"/>
  <c r="S222" i="2" s="1"/>
  <c r="M222" i="2"/>
  <c r="L222" i="2"/>
  <c r="C222" i="2"/>
  <c r="M221" i="2"/>
  <c r="L221" i="2"/>
  <c r="E221" i="2"/>
  <c r="C221" i="2"/>
  <c r="P220" i="2"/>
  <c r="S220" i="2" s="1"/>
  <c r="M220" i="2"/>
  <c r="N220" i="2" s="1"/>
  <c r="O220" i="2" s="1"/>
  <c r="L220" i="2"/>
  <c r="F220" i="2"/>
  <c r="E220" i="2"/>
  <c r="D220" i="2"/>
  <c r="C220" i="2"/>
  <c r="M219" i="2"/>
  <c r="L219" i="2"/>
  <c r="C219" i="2"/>
  <c r="P218" i="2"/>
  <c r="S218" i="2" s="1"/>
  <c r="N218" i="2"/>
  <c r="O218" i="2" s="1"/>
  <c r="Q218" i="2" s="1"/>
  <c r="M218" i="2"/>
  <c r="L218" i="2"/>
  <c r="F218" i="2"/>
  <c r="E218" i="2"/>
  <c r="D218" i="2"/>
  <c r="C218" i="2"/>
  <c r="M217" i="2"/>
  <c r="L217" i="2"/>
  <c r="N217" i="2" s="1"/>
  <c r="O217" i="2" s="1"/>
  <c r="Q217" i="2" s="1"/>
  <c r="C217" i="2"/>
  <c r="P216" i="2"/>
  <c r="S216" i="2" s="1"/>
  <c r="M216" i="2"/>
  <c r="L216" i="2"/>
  <c r="F216" i="2"/>
  <c r="K216" i="2" s="1"/>
  <c r="E216" i="2"/>
  <c r="C216" i="2"/>
  <c r="D216" i="2" s="1"/>
  <c r="P215" i="2"/>
  <c r="S215" i="2" s="1"/>
  <c r="M215" i="2"/>
  <c r="L215" i="2"/>
  <c r="C215" i="2"/>
  <c r="S214" i="2"/>
  <c r="P214" i="2"/>
  <c r="M214" i="2"/>
  <c r="L214" i="2"/>
  <c r="N214" i="2" s="1"/>
  <c r="O214" i="2" s="1"/>
  <c r="F214" i="2"/>
  <c r="E214" i="2"/>
  <c r="D214" i="2"/>
  <c r="C214" i="2"/>
  <c r="M213" i="2"/>
  <c r="L213" i="2"/>
  <c r="D213" i="2"/>
  <c r="C213" i="2"/>
  <c r="P212" i="2"/>
  <c r="S212" i="2" s="1"/>
  <c r="N212" i="2"/>
  <c r="O212" i="2" s="1"/>
  <c r="M212" i="2"/>
  <c r="L212" i="2"/>
  <c r="J212" i="2"/>
  <c r="F212" i="2"/>
  <c r="K212" i="2" s="1"/>
  <c r="E212" i="2"/>
  <c r="C212" i="2"/>
  <c r="D212" i="2" s="1"/>
  <c r="M211" i="2"/>
  <c r="L211" i="2"/>
  <c r="N211" i="2" s="1"/>
  <c r="O211" i="2" s="1"/>
  <c r="C211" i="2"/>
  <c r="M210" i="2"/>
  <c r="L210" i="2"/>
  <c r="N210" i="2" s="1"/>
  <c r="O210" i="2" s="1"/>
  <c r="C210" i="2"/>
  <c r="P209" i="2"/>
  <c r="S209" i="2" s="1"/>
  <c r="M209" i="2"/>
  <c r="L209" i="2"/>
  <c r="E209" i="2"/>
  <c r="C209" i="2"/>
  <c r="F209" i="2" s="1"/>
  <c r="M208" i="2"/>
  <c r="L208" i="2"/>
  <c r="N208" i="2" s="1"/>
  <c r="O208" i="2" s="1"/>
  <c r="C208" i="2"/>
  <c r="M207" i="2"/>
  <c r="L207" i="2"/>
  <c r="I207" i="2"/>
  <c r="C207" i="2"/>
  <c r="F207" i="2" s="1"/>
  <c r="M206" i="2"/>
  <c r="N206" i="2" s="1"/>
  <c r="O206" i="2" s="1"/>
  <c r="L206" i="2"/>
  <c r="C206" i="2"/>
  <c r="R205" i="2"/>
  <c r="M205" i="2"/>
  <c r="L205" i="2"/>
  <c r="N205" i="2" s="1"/>
  <c r="O205" i="2" s="1"/>
  <c r="Q205" i="2" s="1"/>
  <c r="C205" i="2"/>
  <c r="P204" i="2"/>
  <c r="S204" i="2" s="1"/>
  <c r="M204" i="2"/>
  <c r="L204" i="2"/>
  <c r="F204" i="2"/>
  <c r="E204" i="2"/>
  <c r="D204" i="2"/>
  <c r="C204" i="2"/>
  <c r="M203" i="2"/>
  <c r="L203" i="2"/>
  <c r="C203" i="2"/>
  <c r="P202" i="2"/>
  <c r="S202" i="2" s="1"/>
  <c r="N202" i="2"/>
  <c r="O202" i="2" s="1"/>
  <c r="M202" i="2"/>
  <c r="L202" i="2"/>
  <c r="F202" i="2"/>
  <c r="E202" i="2"/>
  <c r="D202" i="2"/>
  <c r="C202" i="2"/>
  <c r="M201" i="2"/>
  <c r="L201" i="2"/>
  <c r="C201" i="2"/>
  <c r="P200" i="2"/>
  <c r="S200" i="2" s="1"/>
  <c r="M200" i="2"/>
  <c r="N200" i="2" s="1"/>
  <c r="O200" i="2" s="1"/>
  <c r="Q200" i="2" s="1"/>
  <c r="L200" i="2"/>
  <c r="I200" i="2"/>
  <c r="F200" i="2"/>
  <c r="E200" i="2"/>
  <c r="D200" i="2"/>
  <c r="C200" i="2"/>
  <c r="M199" i="2"/>
  <c r="L199" i="2"/>
  <c r="N199" i="2" s="1"/>
  <c r="O199" i="2" s="1"/>
  <c r="Q199" i="2" s="1"/>
  <c r="C199" i="2"/>
  <c r="P198" i="2"/>
  <c r="S198" i="2" s="1"/>
  <c r="M198" i="2"/>
  <c r="L198" i="2"/>
  <c r="J198" i="2"/>
  <c r="F198" i="2"/>
  <c r="K198" i="2" s="1"/>
  <c r="E198" i="2"/>
  <c r="C198" i="2"/>
  <c r="D198" i="2" s="1"/>
  <c r="M197" i="2"/>
  <c r="L197" i="2"/>
  <c r="C197" i="2"/>
  <c r="P197" i="2" s="1"/>
  <c r="S197" i="2" s="1"/>
  <c r="S196" i="2"/>
  <c r="P196" i="2"/>
  <c r="M196" i="2"/>
  <c r="L196" i="2"/>
  <c r="N196" i="2" s="1"/>
  <c r="O196" i="2" s="1"/>
  <c r="F196" i="2"/>
  <c r="E196" i="2"/>
  <c r="D196" i="2"/>
  <c r="C196" i="2"/>
  <c r="M195" i="2"/>
  <c r="L195" i="2"/>
  <c r="C195" i="2"/>
  <c r="P194" i="2"/>
  <c r="S194" i="2" s="1"/>
  <c r="N194" i="2"/>
  <c r="O194" i="2" s="1"/>
  <c r="M194" i="2"/>
  <c r="L194" i="2"/>
  <c r="J194" i="2"/>
  <c r="I194" i="2"/>
  <c r="F194" i="2"/>
  <c r="K194" i="2" s="1"/>
  <c r="E194" i="2"/>
  <c r="C194" i="2"/>
  <c r="D194" i="2" s="1"/>
  <c r="M193" i="2"/>
  <c r="L193" i="2"/>
  <c r="N193" i="2" s="1"/>
  <c r="O193" i="2" s="1"/>
  <c r="C193" i="2"/>
  <c r="M192" i="2"/>
  <c r="L192" i="2"/>
  <c r="N192" i="2" s="1"/>
  <c r="O192" i="2" s="1"/>
  <c r="F192" i="2"/>
  <c r="K192" i="2" s="1"/>
  <c r="C192" i="2"/>
  <c r="P191" i="2"/>
  <c r="S191" i="2" s="1"/>
  <c r="M191" i="2"/>
  <c r="L191" i="2"/>
  <c r="E191" i="2"/>
  <c r="D191" i="2"/>
  <c r="C191" i="2"/>
  <c r="F191" i="2" s="1"/>
  <c r="M190" i="2"/>
  <c r="L190" i="2"/>
  <c r="F190" i="2"/>
  <c r="C190" i="2"/>
  <c r="M189" i="2"/>
  <c r="L189" i="2"/>
  <c r="I189" i="2"/>
  <c r="E189" i="2"/>
  <c r="C189" i="2"/>
  <c r="F189" i="2" s="1"/>
  <c r="M188" i="2"/>
  <c r="L188" i="2"/>
  <c r="N188" i="2" s="1"/>
  <c r="O188" i="2" s="1"/>
  <c r="C188" i="2"/>
  <c r="R187" i="2"/>
  <c r="M187" i="2"/>
  <c r="L187" i="2"/>
  <c r="N187" i="2" s="1"/>
  <c r="O187" i="2" s="1"/>
  <c r="Q187" i="2" s="1"/>
  <c r="C187" i="2"/>
  <c r="P186" i="2"/>
  <c r="S186" i="2" s="1"/>
  <c r="M186" i="2"/>
  <c r="L186" i="2"/>
  <c r="I186" i="2"/>
  <c r="F186" i="2"/>
  <c r="E186" i="2"/>
  <c r="D186" i="2"/>
  <c r="C186" i="2"/>
  <c r="M185" i="2"/>
  <c r="L185" i="2"/>
  <c r="C185" i="2"/>
  <c r="N184" i="2"/>
  <c r="O184" i="2" s="1"/>
  <c r="M184" i="2"/>
  <c r="L184" i="2"/>
  <c r="C184" i="2"/>
  <c r="F184" i="2" s="1"/>
  <c r="M183" i="2"/>
  <c r="L183" i="2"/>
  <c r="C183" i="2"/>
  <c r="P182" i="2"/>
  <c r="S182" i="2" s="1"/>
  <c r="M182" i="2"/>
  <c r="N182" i="2" s="1"/>
  <c r="O182" i="2" s="1"/>
  <c r="Q182" i="2" s="1"/>
  <c r="L182" i="2"/>
  <c r="F182" i="2"/>
  <c r="I182" i="2" s="1"/>
  <c r="E182" i="2"/>
  <c r="D182" i="2"/>
  <c r="C182" i="2"/>
  <c r="M181" i="2"/>
  <c r="L181" i="2"/>
  <c r="N181" i="2" s="1"/>
  <c r="O181" i="2" s="1"/>
  <c r="Q181" i="2" s="1"/>
  <c r="C181" i="2"/>
  <c r="P180" i="2"/>
  <c r="S180" i="2" s="1"/>
  <c r="M180" i="2"/>
  <c r="L180" i="2"/>
  <c r="J180" i="2"/>
  <c r="I180" i="2"/>
  <c r="F180" i="2"/>
  <c r="K180" i="2" s="1"/>
  <c r="E180" i="2"/>
  <c r="C180" i="2"/>
  <c r="D180" i="2" s="1"/>
  <c r="P179" i="2"/>
  <c r="S179" i="2" s="1"/>
  <c r="M179" i="2"/>
  <c r="L179" i="2"/>
  <c r="C179" i="2"/>
  <c r="P178" i="2"/>
  <c r="S178" i="2" s="1"/>
  <c r="M178" i="2"/>
  <c r="L178" i="2"/>
  <c r="N178" i="2" s="1"/>
  <c r="O178" i="2" s="1"/>
  <c r="F178" i="2"/>
  <c r="E178" i="2"/>
  <c r="D178" i="2"/>
  <c r="C178" i="2"/>
  <c r="M177" i="2"/>
  <c r="L177" i="2"/>
  <c r="C177" i="2"/>
  <c r="D177" i="2" s="1"/>
  <c r="P176" i="2"/>
  <c r="S176" i="2" s="1"/>
  <c r="N176" i="2"/>
  <c r="O176" i="2" s="1"/>
  <c r="M176" i="2"/>
  <c r="L176" i="2"/>
  <c r="F176" i="2"/>
  <c r="K176" i="2" s="1"/>
  <c r="E176" i="2"/>
  <c r="C176" i="2"/>
  <c r="D176" i="2" s="1"/>
  <c r="M175" i="2"/>
  <c r="L175" i="2"/>
  <c r="N175" i="2" s="1"/>
  <c r="O175" i="2" s="1"/>
  <c r="C175" i="2"/>
  <c r="M174" i="2"/>
  <c r="L174" i="2"/>
  <c r="C174" i="2"/>
  <c r="F174" i="2" s="1"/>
  <c r="M173" i="2"/>
  <c r="L173" i="2"/>
  <c r="C173" i="2"/>
  <c r="M172" i="2"/>
  <c r="L172" i="2"/>
  <c r="N172" i="2" s="1"/>
  <c r="O172" i="2" s="1"/>
  <c r="F172" i="2"/>
  <c r="C172" i="2"/>
  <c r="M171" i="2"/>
  <c r="L171" i="2"/>
  <c r="I171" i="2"/>
  <c r="E171" i="2"/>
  <c r="D171" i="2"/>
  <c r="C171" i="2"/>
  <c r="F171" i="2" s="1"/>
  <c r="M170" i="2"/>
  <c r="L170" i="2"/>
  <c r="N170" i="2" s="1"/>
  <c r="O170" i="2" s="1"/>
  <c r="E170" i="2"/>
  <c r="C170" i="2"/>
  <c r="R169" i="2"/>
  <c r="M169" i="2"/>
  <c r="L169" i="2"/>
  <c r="N169" i="2" s="1"/>
  <c r="O169" i="2" s="1"/>
  <c r="Q169" i="2" s="1"/>
  <c r="C169" i="2"/>
  <c r="P168" i="2"/>
  <c r="S168" i="2" s="1"/>
  <c r="M168" i="2"/>
  <c r="L168" i="2"/>
  <c r="J168" i="2"/>
  <c r="I168" i="2"/>
  <c r="F168" i="2"/>
  <c r="K168" i="2" s="1"/>
  <c r="E168" i="2"/>
  <c r="D168" i="2"/>
  <c r="C168" i="2"/>
  <c r="M167" i="2"/>
  <c r="L167" i="2"/>
  <c r="C167" i="2"/>
  <c r="D167" i="2" s="1"/>
  <c r="M166" i="2"/>
  <c r="L166" i="2"/>
  <c r="N166" i="2" s="1"/>
  <c r="O166" i="2" s="1"/>
  <c r="F166" i="2"/>
  <c r="E166" i="2"/>
  <c r="C166" i="2"/>
  <c r="P166" i="2" s="1"/>
  <c r="S166" i="2" s="1"/>
  <c r="M165" i="2"/>
  <c r="L165" i="2"/>
  <c r="C165" i="2"/>
  <c r="P164" i="2"/>
  <c r="S164" i="2" s="1"/>
  <c r="M164" i="2"/>
  <c r="N164" i="2" s="1"/>
  <c r="O164" i="2" s="1"/>
  <c r="Q164" i="2" s="1"/>
  <c r="L164" i="2"/>
  <c r="F164" i="2"/>
  <c r="E164" i="2"/>
  <c r="D164" i="2"/>
  <c r="C164" i="2"/>
  <c r="M163" i="2"/>
  <c r="L163" i="2"/>
  <c r="N163" i="2" s="1"/>
  <c r="O163" i="2" s="1"/>
  <c r="Q163" i="2" s="1"/>
  <c r="C163" i="2"/>
  <c r="P162" i="2"/>
  <c r="S162" i="2" s="1"/>
  <c r="M162" i="2"/>
  <c r="L162" i="2"/>
  <c r="F162" i="2"/>
  <c r="I162" i="2" s="1"/>
  <c r="E162" i="2"/>
  <c r="C162" i="2"/>
  <c r="D162" i="2" s="1"/>
  <c r="M161" i="2"/>
  <c r="L161" i="2"/>
  <c r="K161" i="2"/>
  <c r="E161" i="2"/>
  <c r="C161" i="2"/>
  <c r="F161" i="2" s="1"/>
  <c r="P160" i="2"/>
  <c r="S160" i="2" s="1"/>
  <c r="M160" i="2"/>
  <c r="L160" i="2"/>
  <c r="N160" i="2" s="1"/>
  <c r="O160" i="2" s="1"/>
  <c r="F160" i="2"/>
  <c r="E160" i="2"/>
  <c r="D160" i="2"/>
  <c r="C160" i="2"/>
  <c r="M159" i="2"/>
  <c r="L159" i="2"/>
  <c r="C159" i="2"/>
  <c r="F159" i="2" s="1"/>
  <c r="M158" i="2"/>
  <c r="L158" i="2"/>
  <c r="N158" i="2" s="1"/>
  <c r="O158" i="2" s="1"/>
  <c r="C158" i="2"/>
  <c r="D158" i="2" s="1"/>
  <c r="S157" i="2"/>
  <c r="P157" i="2"/>
  <c r="M157" i="2"/>
  <c r="L157" i="2"/>
  <c r="C157" i="2"/>
  <c r="P156" i="2"/>
  <c r="S156" i="2" s="1"/>
  <c r="M156" i="2"/>
  <c r="L156" i="2"/>
  <c r="D156" i="2"/>
  <c r="C156" i="2"/>
  <c r="M155" i="2"/>
  <c r="L155" i="2"/>
  <c r="D155" i="2"/>
  <c r="C155" i="2"/>
  <c r="M154" i="2"/>
  <c r="L154" i="2"/>
  <c r="N154" i="2" s="1"/>
  <c r="O154" i="2" s="1"/>
  <c r="F154" i="2"/>
  <c r="E154" i="2"/>
  <c r="D154" i="2"/>
  <c r="C154" i="2"/>
  <c r="P154" i="2" s="1"/>
  <c r="S154" i="2" s="1"/>
  <c r="M153" i="2"/>
  <c r="L153" i="2"/>
  <c r="C153" i="2"/>
  <c r="P152" i="2"/>
  <c r="S152" i="2" s="1"/>
  <c r="N152" i="2"/>
  <c r="O152" i="2" s="1"/>
  <c r="M152" i="2"/>
  <c r="L152" i="2"/>
  <c r="I152" i="2"/>
  <c r="F152" i="2"/>
  <c r="E152" i="2"/>
  <c r="C152" i="2"/>
  <c r="D152" i="2" s="1"/>
  <c r="M151" i="2"/>
  <c r="L151" i="2"/>
  <c r="N151" i="2" s="1"/>
  <c r="O151" i="2" s="1"/>
  <c r="C151" i="2"/>
  <c r="P151" i="2" s="1"/>
  <c r="S151" i="2" s="1"/>
  <c r="M150" i="2"/>
  <c r="L150" i="2"/>
  <c r="N150" i="2" s="1"/>
  <c r="O150" i="2" s="1"/>
  <c r="F150" i="2"/>
  <c r="K150" i="2" s="1"/>
  <c r="C150" i="2"/>
  <c r="P150" i="2" s="1"/>
  <c r="S150" i="2" s="1"/>
  <c r="M149" i="2"/>
  <c r="L149" i="2"/>
  <c r="K149" i="2"/>
  <c r="C149" i="2"/>
  <c r="F149" i="2" s="1"/>
  <c r="J149" i="2" s="1"/>
  <c r="P148" i="2"/>
  <c r="S148" i="2" s="1"/>
  <c r="N148" i="2"/>
  <c r="O148" i="2" s="1"/>
  <c r="M148" i="2"/>
  <c r="L148" i="2"/>
  <c r="F148" i="2"/>
  <c r="E148" i="2"/>
  <c r="D148" i="2"/>
  <c r="C148" i="2"/>
  <c r="M147" i="2"/>
  <c r="L147" i="2"/>
  <c r="C147" i="2"/>
  <c r="P146" i="2"/>
  <c r="S146" i="2" s="1"/>
  <c r="M146" i="2"/>
  <c r="N146" i="2" s="1"/>
  <c r="O146" i="2" s="1"/>
  <c r="L146" i="2"/>
  <c r="I146" i="2"/>
  <c r="F146" i="2"/>
  <c r="E146" i="2"/>
  <c r="D146" i="2"/>
  <c r="C146" i="2"/>
  <c r="M145" i="2"/>
  <c r="L145" i="2"/>
  <c r="N145" i="2" s="1"/>
  <c r="O145" i="2" s="1"/>
  <c r="Q145" i="2" s="1"/>
  <c r="C145" i="2"/>
  <c r="P145" i="2" s="1"/>
  <c r="S145" i="2" s="1"/>
  <c r="P144" i="2"/>
  <c r="S144" i="2" s="1"/>
  <c r="M144" i="2"/>
  <c r="L144" i="2"/>
  <c r="J144" i="2"/>
  <c r="I144" i="2"/>
  <c r="F144" i="2"/>
  <c r="K144" i="2" s="1"/>
  <c r="E144" i="2"/>
  <c r="C144" i="2"/>
  <c r="D144" i="2" s="1"/>
  <c r="M143" i="2"/>
  <c r="L143" i="2"/>
  <c r="K143" i="2"/>
  <c r="E143" i="2"/>
  <c r="C143" i="2"/>
  <c r="F143" i="2" s="1"/>
  <c r="J143" i="2" s="1"/>
  <c r="P142" i="2"/>
  <c r="S142" i="2" s="1"/>
  <c r="M142" i="2"/>
  <c r="L142" i="2"/>
  <c r="N142" i="2" s="1"/>
  <c r="O142" i="2" s="1"/>
  <c r="C142" i="2"/>
  <c r="P141" i="2"/>
  <c r="S141" i="2" s="1"/>
  <c r="M141" i="2"/>
  <c r="L141" i="2"/>
  <c r="K141" i="2"/>
  <c r="J141" i="2"/>
  <c r="I141" i="2"/>
  <c r="E141" i="2"/>
  <c r="D141" i="2"/>
  <c r="C141" i="2"/>
  <c r="F141" i="2" s="1"/>
  <c r="N140" i="2"/>
  <c r="O140" i="2" s="1"/>
  <c r="M140" i="2"/>
  <c r="L140" i="2"/>
  <c r="C140" i="2"/>
  <c r="R139" i="2"/>
  <c r="M139" i="2"/>
  <c r="L139" i="2"/>
  <c r="N139" i="2" s="1"/>
  <c r="O139" i="2" s="1"/>
  <c r="Q139" i="2" s="1"/>
  <c r="C139" i="2"/>
  <c r="P139" i="2" s="1"/>
  <c r="S139" i="2" s="1"/>
  <c r="M138" i="2"/>
  <c r="L138" i="2"/>
  <c r="C138" i="2"/>
  <c r="D138" i="2" s="1"/>
  <c r="M137" i="2"/>
  <c r="L137" i="2"/>
  <c r="C137" i="2"/>
  <c r="F137" i="2" s="1"/>
  <c r="J137" i="2" s="1"/>
  <c r="N136" i="2"/>
  <c r="O136" i="2" s="1"/>
  <c r="M136" i="2"/>
  <c r="L136" i="2"/>
  <c r="C136" i="2"/>
  <c r="F136" i="2" s="1"/>
  <c r="M135" i="2"/>
  <c r="L135" i="2"/>
  <c r="C135" i="2"/>
  <c r="F135" i="2" s="1"/>
  <c r="I135" i="2" s="1"/>
  <c r="M134" i="2"/>
  <c r="L134" i="2"/>
  <c r="C134" i="2"/>
  <c r="P133" i="2"/>
  <c r="S133" i="2" s="1"/>
  <c r="M133" i="2"/>
  <c r="L133" i="2"/>
  <c r="C133" i="2"/>
  <c r="M132" i="2"/>
  <c r="L132" i="2"/>
  <c r="C132" i="2"/>
  <c r="F132" i="2" s="1"/>
  <c r="M131" i="2"/>
  <c r="L131" i="2"/>
  <c r="E131" i="2"/>
  <c r="D131" i="2"/>
  <c r="C131" i="2"/>
  <c r="F131" i="2" s="1"/>
  <c r="M130" i="2"/>
  <c r="L130" i="2"/>
  <c r="N130" i="2" s="1"/>
  <c r="O130" i="2" s="1"/>
  <c r="F130" i="2"/>
  <c r="E130" i="2"/>
  <c r="D130" i="2"/>
  <c r="C130" i="2"/>
  <c r="P130" i="2" s="1"/>
  <c r="S130" i="2" s="1"/>
  <c r="M129" i="2"/>
  <c r="L129" i="2"/>
  <c r="C129" i="2"/>
  <c r="D129" i="2" s="1"/>
  <c r="P128" i="2"/>
  <c r="S128" i="2" s="1"/>
  <c r="N128" i="2"/>
  <c r="O128" i="2" s="1"/>
  <c r="M128" i="2"/>
  <c r="L128" i="2"/>
  <c r="F128" i="2"/>
  <c r="K128" i="2" s="1"/>
  <c r="E128" i="2"/>
  <c r="C128" i="2"/>
  <c r="D128" i="2" s="1"/>
  <c r="M127" i="2"/>
  <c r="L127" i="2"/>
  <c r="N127" i="2" s="1"/>
  <c r="O127" i="2" s="1"/>
  <c r="Q127" i="2" s="1"/>
  <c r="C127" i="2"/>
  <c r="M126" i="2"/>
  <c r="L126" i="2"/>
  <c r="C126" i="2"/>
  <c r="M125" i="2"/>
  <c r="L125" i="2"/>
  <c r="C125" i="2"/>
  <c r="D125" i="2" s="1"/>
  <c r="P124" i="2"/>
  <c r="S124" i="2" s="1"/>
  <c r="M124" i="2"/>
  <c r="L124" i="2"/>
  <c r="C124" i="2"/>
  <c r="P123" i="2"/>
  <c r="S123" i="2" s="1"/>
  <c r="M123" i="2"/>
  <c r="L123" i="2"/>
  <c r="K123" i="2"/>
  <c r="J123" i="2"/>
  <c r="I123" i="2"/>
  <c r="E123" i="2"/>
  <c r="D123" i="2"/>
  <c r="C123" i="2"/>
  <c r="F123" i="2" s="1"/>
  <c r="N122" i="2"/>
  <c r="O122" i="2" s="1"/>
  <c r="M122" i="2"/>
  <c r="L122" i="2"/>
  <c r="C122" i="2"/>
  <c r="R121" i="2"/>
  <c r="M121" i="2"/>
  <c r="L121" i="2"/>
  <c r="N121" i="2" s="1"/>
  <c r="O121" i="2" s="1"/>
  <c r="Q121" i="2" s="1"/>
  <c r="C121" i="2"/>
  <c r="P121" i="2" s="1"/>
  <c r="S121" i="2" s="1"/>
  <c r="P120" i="2"/>
  <c r="S120" i="2" s="1"/>
  <c r="M120" i="2"/>
  <c r="L120" i="2"/>
  <c r="F120" i="2"/>
  <c r="E120" i="2"/>
  <c r="D120" i="2"/>
  <c r="C120" i="2"/>
  <c r="M119" i="2"/>
  <c r="L119" i="2"/>
  <c r="N119" i="2" s="1"/>
  <c r="O119" i="2" s="1"/>
  <c r="Q119" i="2" s="1"/>
  <c r="C119" i="2"/>
  <c r="E119" i="2" s="1"/>
  <c r="M118" i="2"/>
  <c r="N118" i="2" s="1"/>
  <c r="O118" i="2" s="1"/>
  <c r="L118" i="2"/>
  <c r="F118" i="2"/>
  <c r="E118" i="2"/>
  <c r="C118" i="2"/>
  <c r="D118" i="2" s="1"/>
  <c r="M117" i="2"/>
  <c r="L117" i="2"/>
  <c r="C117" i="2"/>
  <c r="F117" i="2" s="1"/>
  <c r="K117" i="2" s="1"/>
  <c r="M116" i="2"/>
  <c r="L116" i="2"/>
  <c r="N116" i="2" s="1"/>
  <c r="O116" i="2" s="1"/>
  <c r="E116" i="2"/>
  <c r="D116" i="2"/>
  <c r="C116" i="2"/>
  <c r="M115" i="2"/>
  <c r="L115" i="2"/>
  <c r="N115" i="2" s="1"/>
  <c r="O115" i="2" s="1"/>
  <c r="Q115" i="2" s="1"/>
  <c r="C115" i="2"/>
  <c r="P114" i="2"/>
  <c r="S114" i="2" s="1"/>
  <c r="M114" i="2"/>
  <c r="L114" i="2"/>
  <c r="F114" i="2"/>
  <c r="E114" i="2"/>
  <c r="D114" i="2"/>
  <c r="C114" i="2"/>
  <c r="M113" i="2"/>
  <c r="L113" i="2"/>
  <c r="N113" i="2" s="1"/>
  <c r="O113" i="2" s="1"/>
  <c r="Q113" i="2" s="1"/>
  <c r="C113" i="2"/>
  <c r="D113" i="2" s="1"/>
  <c r="M112" i="2"/>
  <c r="L112" i="2"/>
  <c r="N112" i="2" s="1"/>
  <c r="O112" i="2" s="1"/>
  <c r="F112" i="2"/>
  <c r="E112" i="2"/>
  <c r="D112" i="2"/>
  <c r="C112" i="2"/>
  <c r="P112" i="2" s="1"/>
  <c r="S112" i="2" s="1"/>
  <c r="M111" i="2"/>
  <c r="L111" i="2"/>
  <c r="D111" i="2"/>
  <c r="C111" i="2"/>
  <c r="P110" i="2"/>
  <c r="S110" i="2" s="1"/>
  <c r="N110" i="2"/>
  <c r="O110" i="2" s="1"/>
  <c r="M110" i="2"/>
  <c r="L110" i="2"/>
  <c r="I110" i="2"/>
  <c r="F110" i="2"/>
  <c r="K110" i="2" s="1"/>
  <c r="E110" i="2"/>
  <c r="D110" i="2"/>
  <c r="C110" i="2"/>
  <c r="M109" i="2"/>
  <c r="L109" i="2"/>
  <c r="N109" i="2" s="1"/>
  <c r="O109" i="2" s="1"/>
  <c r="C109" i="2"/>
  <c r="M108" i="2"/>
  <c r="L108" i="2"/>
  <c r="J108" i="2"/>
  <c r="I108" i="2"/>
  <c r="F108" i="2"/>
  <c r="K108" i="2" s="1"/>
  <c r="C108" i="2"/>
  <c r="M107" i="2"/>
  <c r="L107" i="2"/>
  <c r="N107" i="2" s="1"/>
  <c r="O107" i="2" s="1"/>
  <c r="Q107" i="2" s="1"/>
  <c r="C107" i="2"/>
  <c r="N106" i="2"/>
  <c r="O106" i="2" s="1"/>
  <c r="M106" i="2"/>
  <c r="L106" i="2"/>
  <c r="F106" i="2"/>
  <c r="E106" i="2"/>
  <c r="C106" i="2"/>
  <c r="P106" i="2" s="1"/>
  <c r="S106" i="2" s="1"/>
  <c r="M105" i="2"/>
  <c r="L105" i="2"/>
  <c r="C105" i="2"/>
  <c r="O104" i="2"/>
  <c r="Q104" i="2" s="1"/>
  <c r="M104" i="2"/>
  <c r="L104" i="2"/>
  <c r="N104" i="2" s="1"/>
  <c r="C104" i="2"/>
  <c r="F104" i="2" s="1"/>
  <c r="M103" i="2"/>
  <c r="L103" i="2"/>
  <c r="C103" i="2"/>
  <c r="M102" i="2"/>
  <c r="L102" i="2"/>
  <c r="N102" i="2" s="1"/>
  <c r="O102" i="2" s="1"/>
  <c r="F102" i="2"/>
  <c r="E102" i="2"/>
  <c r="D102" i="2"/>
  <c r="C102" i="2"/>
  <c r="P102" i="2" s="1"/>
  <c r="S102" i="2" s="1"/>
  <c r="M101" i="2"/>
  <c r="L101" i="2"/>
  <c r="N101" i="2" s="1"/>
  <c r="O101" i="2" s="1"/>
  <c r="Q101" i="2" s="1"/>
  <c r="C101" i="2"/>
  <c r="D101" i="2" s="1"/>
  <c r="M100" i="2"/>
  <c r="L100" i="2"/>
  <c r="N100" i="2" s="1"/>
  <c r="O100" i="2" s="1"/>
  <c r="F100" i="2"/>
  <c r="E100" i="2"/>
  <c r="D100" i="2"/>
  <c r="C100" i="2"/>
  <c r="P100" i="2" s="1"/>
  <c r="S100" i="2" s="1"/>
  <c r="M99" i="2"/>
  <c r="L99" i="2"/>
  <c r="C99" i="2"/>
  <c r="M98" i="2"/>
  <c r="N98" i="2" s="1"/>
  <c r="O98" i="2" s="1"/>
  <c r="L98" i="2"/>
  <c r="F98" i="2"/>
  <c r="E98" i="2"/>
  <c r="C98" i="2"/>
  <c r="P98" i="2" s="1"/>
  <c r="S98" i="2" s="1"/>
  <c r="M97" i="2"/>
  <c r="L97" i="2"/>
  <c r="N97" i="2" s="1"/>
  <c r="O97" i="2" s="1"/>
  <c r="C97" i="2"/>
  <c r="S96" i="2"/>
  <c r="P96" i="2"/>
  <c r="M96" i="2"/>
  <c r="L96" i="2"/>
  <c r="J96" i="2"/>
  <c r="I96" i="2"/>
  <c r="F96" i="2"/>
  <c r="K96" i="2" s="1"/>
  <c r="E96" i="2"/>
  <c r="C96" i="2"/>
  <c r="D96" i="2" s="1"/>
  <c r="M95" i="2"/>
  <c r="L95" i="2"/>
  <c r="N95" i="2" s="1"/>
  <c r="O95" i="2" s="1"/>
  <c r="C95" i="2"/>
  <c r="E95" i="2" s="1"/>
  <c r="M94" i="2"/>
  <c r="L94" i="2"/>
  <c r="N94" i="2" s="1"/>
  <c r="O94" i="2" s="1"/>
  <c r="F94" i="2"/>
  <c r="E94" i="2"/>
  <c r="D94" i="2"/>
  <c r="C94" i="2"/>
  <c r="P94" i="2" s="1"/>
  <c r="S94" i="2" s="1"/>
  <c r="M93" i="2"/>
  <c r="L93" i="2"/>
  <c r="E93" i="2"/>
  <c r="D93" i="2"/>
  <c r="C93" i="2"/>
  <c r="P92" i="2"/>
  <c r="S92" i="2" s="1"/>
  <c r="M92" i="2"/>
  <c r="L92" i="2"/>
  <c r="N92" i="2" s="1"/>
  <c r="O92" i="2" s="1"/>
  <c r="Q92" i="2" s="1"/>
  <c r="F92" i="2"/>
  <c r="K92" i="2" s="1"/>
  <c r="E92" i="2"/>
  <c r="D92" i="2"/>
  <c r="C92" i="2"/>
  <c r="M91" i="2"/>
  <c r="L91" i="2"/>
  <c r="C91" i="2"/>
  <c r="M90" i="2"/>
  <c r="L90" i="2"/>
  <c r="C90" i="2"/>
  <c r="F90" i="2" s="1"/>
  <c r="M89" i="2"/>
  <c r="L89" i="2"/>
  <c r="N89" i="2" s="1"/>
  <c r="O89" i="2" s="1"/>
  <c r="Q89" i="2" s="1"/>
  <c r="D89" i="2"/>
  <c r="C89" i="2"/>
  <c r="M88" i="2"/>
  <c r="L88" i="2"/>
  <c r="N88" i="2" s="1"/>
  <c r="O88" i="2" s="1"/>
  <c r="C88" i="2"/>
  <c r="N87" i="2"/>
  <c r="O87" i="2" s="1"/>
  <c r="M87" i="2"/>
  <c r="L87" i="2"/>
  <c r="C87" i="2"/>
  <c r="E87" i="2" s="1"/>
  <c r="M86" i="2"/>
  <c r="L86" i="2"/>
  <c r="C86" i="2"/>
  <c r="D86" i="2" s="1"/>
  <c r="M85" i="2"/>
  <c r="L85" i="2"/>
  <c r="C85" i="2"/>
  <c r="P85" i="2" s="1"/>
  <c r="S85" i="2" s="1"/>
  <c r="M84" i="2"/>
  <c r="L84" i="2"/>
  <c r="C84" i="2"/>
  <c r="P84" i="2" s="1"/>
  <c r="S84" i="2" s="1"/>
  <c r="M83" i="2"/>
  <c r="L83" i="2"/>
  <c r="N83" i="2" s="1"/>
  <c r="O83" i="2" s="1"/>
  <c r="C83" i="2"/>
  <c r="M82" i="2"/>
  <c r="L82" i="2"/>
  <c r="N82" i="2" s="1"/>
  <c r="O82" i="2" s="1"/>
  <c r="C82" i="2"/>
  <c r="D82" i="2" s="1"/>
  <c r="M81" i="2"/>
  <c r="L81" i="2"/>
  <c r="N81" i="2" s="1"/>
  <c r="O81" i="2" s="1"/>
  <c r="C81" i="2"/>
  <c r="E81" i="2" s="1"/>
  <c r="M80" i="2"/>
  <c r="N80" i="2" s="1"/>
  <c r="O80" i="2" s="1"/>
  <c r="Q80" i="2" s="1"/>
  <c r="L80" i="2"/>
  <c r="C80" i="2"/>
  <c r="P80" i="2" s="1"/>
  <c r="S80" i="2" s="1"/>
  <c r="N79" i="2"/>
  <c r="O79" i="2" s="1"/>
  <c r="M79" i="2"/>
  <c r="L79" i="2"/>
  <c r="C79" i="2"/>
  <c r="P79" i="2" s="1"/>
  <c r="S79" i="2" s="1"/>
  <c r="M78" i="2"/>
  <c r="L78" i="2"/>
  <c r="N78" i="2" s="1"/>
  <c r="O78" i="2" s="1"/>
  <c r="K78" i="2"/>
  <c r="F78" i="2"/>
  <c r="C78" i="2"/>
  <c r="P78" i="2" s="1"/>
  <c r="S78" i="2" s="1"/>
  <c r="M77" i="2"/>
  <c r="L77" i="2"/>
  <c r="C77" i="2"/>
  <c r="F77" i="2" s="1"/>
  <c r="M76" i="2"/>
  <c r="L76" i="2"/>
  <c r="C76" i="2"/>
  <c r="M75" i="2"/>
  <c r="L75" i="2"/>
  <c r="N75" i="2" s="1"/>
  <c r="O75" i="2" s="1"/>
  <c r="C75" i="2"/>
  <c r="M74" i="2"/>
  <c r="N74" i="2" s="1"/>
  <c r="O74" i="2" s="1"/>
  <c r="L74" i="2"/>
  <c r="C74" i="2"/>
  <c r="P74" i="2" s="1"/>
  <c r="S74" i="2" s="1"/>
  <c r="M73" i="2"/>
  <c r="L73" i="2"/>
  <c r="C73" i="2"/>
  <c r="M72" i="2"/>
  <c r="L72" i="2"/>
  <c r="N72" i="2" s="1"/>
  <c r="O72" i="2" s="1"/>
  <c r="F72" i="2"/>
  <c r="J72" i="2" s="1"/>
  <c r="D72" i="2"/>
  <c r="C72" i="2"/>
  <c r="P72" i="2" s="1"/>
  <c r="S72" i="2" s="1"/>
  <c r="M71" i="2"/>
  <c r="L71" i="2"/>
  <c r="N71" i="2" s="1"/>
  <c r="O71" i="2" s="1"/>
  <c r="R71" i="2" s="1"/>
  <c r="C71" i="2"/>
  <c r="F71" i="2" s="1"/>
  <c r="M70" i="2"/>
  <c r="L70" i="2"/>
  <c r="C70" i="2"/>
  <c r="M69" i="2"/>
  <c r="L69" i="2"/>
  <c r="N69" i="2" s="1"/>
  <c r="O69" i="2" s="1"/>
  <c r="Q69" i="2" s="1"/>
  <c r="C69" i="2"/>
  <c r="E69" i="2" s="1"/>
  <c r="M68" i="2"/>
  <c r="L68" i="2"/>
  <c r="F68" i="2"/>
  <c r="K68" i="2" s="1"/>
  <c r="E68" i="2"/>
  <c r="D68" i="2"/>
  <c r="C68" i="2"/>
  <c r="P68" i="2" s="1"/>
  <c r="S68" i="2" s="1"/>
  <c r="M67" i="2"/>
  <c r="L67" i="2"/>
  <c r="N67" i="2" s="1"/>
  <c r="O67" i="2" s="1"/>
  <c r="C67" i="2"/>
  <c r="F67" i="2" s="1"/>
  <c r="M66" i="2"/>
  <c r="L66" i="2"/>
  <c r="F66" i="2"/>
  <c r="J66" i="2" s="1"/>
  <c r="D66" i="2"/>
  <c r="C66" i="2"/>
  <c r="P66" i="2" s="1"/>
  <c r="S66" i="2" s="1"/>
  <c r="M65" i="2"/>
  <c r="L65" i="2"/>
  <c r="N65" i="2" s="1"/>
  <c r="O65" i="2" s="1"/>
  <c r="C65" i="2"/>
  <c r="M64" i="2"/>
  <c r="L64" i="2"/>
  <c r="C64" i="2"/>
  <c r="F64" i="2" s="1"/>
  <c r="M63" i="2"/>
  <c r="L63" i="2"/>
  <c r="N63" i="2" s="1"/>
  <c r="O63" i="2" s="1"/>
  <c r="C63" i="2"/>
  <c r="E63" i="2" s="1"/>
  <c r="M62" i="2"/>
  <c r="L62" i="2"/>
  <c r="N62" i="2" s="1"/>
  <c r="O62" i="2" s="1"/>
  <c r="Q62" i="2" s="1"/>
  <c r="F62" i="2"/>
  <c r="K62" i="2" s="1"/>
  <c r="E62" i="2"/>
  <c r="C62" i="2"/>
  <c r="P62" i="2" s="1"/>
  <c r="S62" i="2" s="1"/>
  <c r="M61" i="2"/>
  <c r="L61" i="2"/>
  <c r="N61" i="2" s="1"/>
  <c r="O61" i="2" s="1"/>
  <c r="C61" i="2"/>
  <c r="P61" i="2" s="1"/>
  <c r="S61" i="2" s="1"/>
  <c r="M60" i="2"/>
  <c r="L60" i="2"/>
  <c r="N60" i="2" s="1"/>
  <c r="O60" i="2" s="1"/>
  <c r="F60" i="2"/>
  <c r="J60" i="2" s="1"/>
  <c r="D60" i="2"/>
  <c r="C60" i="2"/>
  <c r="P60" i="2" s="1"/>
  <c r="S60" i="2" s="1"/>
  <c r="M59" i="2"/>
  <c r="L59" i="2"/>
  <c r="N59" i="2" s="1"/>
  <c r="O59" i="2" s="1"/>
  <c r="C59" i="2"/>
  <c r="F59" i="2" s="1"/>
  <c r="M58" i="2"/>
  <c r="L58" i="2"/>
  <c r="C58" i="2"/>
  <c r="M57" i="2"/>
  <c r="L57" i="2"/>
  <c r="N57" i="2" s="1"/>
  <c r="O57" i="2" s="1"/>
  <c r="C57" i="2"/>
  <c r="E57" i="2" s="1"/>
  <c r="M56" i="2"/>
  <c r="N56" i="2" s="1"/>
  <c r="O56" i="2" s="1"/>
  <c r="L56" i="2"/>
  <c r="C56" i="2"/>
  <c r="P56" i="2" s="1"/>
  <c r="S56" i="2" s="1"/>
  <c r="M55" i="2"/>
  <c r="L55" i="2"/>
  <c r="C55" i="2"/>
  <c r="M54" i="2"/>
  <c r="L54" i="2"/>
  <c r="N54" i="2" s="1"/>
  <c r="O54" i="2" s="1"/>
  <c r="F54" i="2"/>
  <c r="J54" i="2" s="1"/>
  <c r="D54" i="2"/>
  <c r="C54" i="2"/>
  <c r="P54" i="2" s="1"/>
  <c r="S54" i="2" s="1"/>
  <c r="M53" i="2"/>
  <c r="L53" i="2"/>
  <c r="N53" i="2" s="1"/>
  <c r="O53" i="2" s="1"/>
  <c r="R53" i="2" s="1"/>
  <c r="C53" i="2"/>
  <c r="P53" i="2" s="1"/>
  <c r="S53" i="2" s="1"/>
  <c r="M52" i="2"/>
  <c r="L52" i="2"/>
  <c r="C52" i="2"/>
  <c r="M51" i="2"/>
  <c r="L51" i="2"/>
  <c r="N51" i="2" s="1"/>
  <c r="O51" i="2" s="1"/>
  <c r="Q51" i="2" s="1"/>
  <c r="C51" i="2"/>
  <c r="E51" i="2" s="1"/>
  <c r="M50" i="2"/>
  <c r="N50" i="2" s="1"/>
  <c r="O50" i="2" s="1"/>
  <c r="L50" i="2"/>
  <c r="F50" i="2"/>
  <c r="K50" i="2" s="1"/>
  <c r="E50" i="2"/>
  <c r="D50" i="2"/>
  <c r="C50" i="2"/>
  <c r="P50" i="2" s="1"/>
  <c r="S50" i="2" s="1"/>
  <c r="M49" i="2"/>
  <c r="L49" i="2"/>
  <c r="N49" i="2" s="1"/>
  <c r="O49" i="2" s="1"/>
  <c r="J49" i="2"/>
  <c r="I49" i="2"/>
  <c r="F49" i="2"/>
  <c r="K49" i="2" s="1"/>
  <c r="C49" i="2"/>
  <c r="P49" i="2" s="1"/>
  <c r="S49" i="2" s="1"/>
  <c r="M48" i="2"/>
  <c r="L48" i="2"/>
  <c r="F48" i="2"/>
  <c r="J48" i="2" s="1"/>
  <c r="D48" i="2"/>
  <c r="C48" i="2"/>
  <c r="M47" i="2"/>
  <c r="L47" i="2"/>
  <c r="N47" i="2" s="1"/>
  <c r="O47" i="2" s="1"/>
  <c r="R47" i="2" s="1"/>
  <c r="C47" i="2"/>
  <c r="E47" i="2" s="1"/>
  <c r="M46" i="2"/>
  <c r="L46" i="2"/>
  <c r="C46" i="2"/>
  <c r="P46" i="2" s="1"/>
  <c r="S46" i="2" s="1"/>
  <c r="M45" i="2"/>
  <c r="L45" i="2"/>
  <c r="N45" i="2" s="1"/>
  <c r="O45" i="2" s="1"/>
  <c r="C45" i="2"/>
  <c r="E45" i="2" s="1"/>
  <c r="M44" i="2"/>
  <c r="N44" i="2" s="1"/>
  <c r="O44" i="2" s="1"/>
  <c r="L44" i="2"/>
  <c r="F44" i="2"/>
  <c r="J44" i="2" s="1"/>
  <c r="E44" i="2"/>
  <c r="D44" i="2"/>
  <c r="C44" i="2"/>
  <c r="P44" i="2" s="1"/>
  <c r="S44" i="2" s="1"/>
  <c r="M43" i="2"/>
  <c r="L43" i="2"/>
  <c r="N43" i="2" s="1"/>
  <c r="O43" i="2" s="1"/>
  <c r="C43" i="2"/>
  <c r="M42" i="2"/>
  <c r="L42" i="2"/>
  <c r="C42" i="2"/>
  <c r="M41" i="2"/>
  <c r="L41" i="2"/>
  <c r="N41" i="2" s="1"/>
  <c r="O41" i="2" s="1"/>
  <c r="F41" i="2"/>
  <c r="I41" i="2" s="1"/>
  <c r="D41" i="2"/>
  <c r="C41" i="2"/>
  <c r="E41" i="2" s="1"/>
  <c r="M40" i="2"/>
  <c r="L40" i="2"/>
  <c r="N40" i="2" s="1"/>
  <c r="O40" i="2" s="1"/>
  <c r="C40" i="2"/>
  <c r="P40" i="2" s="1"/>
  <c r="S40" i="2" s="1"/>
  <c r="M39" i="2"/>
  <c r="N39" i="2" s="1"/>
  <c r="O39" i="2" s="1"/>
  <c r="L39" i="2"/>
  <c r="C39" i="2"/>
  <c r="E39" i="2" s="1"/>
  <c r="M38" i="2"/>
  <c r="L38" i="2"/>
  <c r="F38" i="2"/>
  <c r="J38" i="2" s="1"/>
  <c r="E38" i="2"/>
  <c r="D38" i="2"/>
  <c r="C38" i="2"/>
  <c r="P38" i="2" s="1"/>
  <c r="S38" i="2" s="1"/>
  <c r="M37" i="2"/>
  <c r="L37" i="2"/>
  <c r="N37" i="2" s="1"/>
  <c r="O37" i="2" s="1"/>
  <c r="C37" i="2"/>
  <c r="M36" i="2"/>
  <c r="L36" i="2"/>
  <c r="C36" i="2"/>
  <c r="M35" i="2"/>
  <c r="L35" i="2"/>
  <c r="N35" i="2" s="1"/>
  <c r="O35" i="2" s="1"/>
  <c r="C35" i="2"/>
  <c r="E35" i="2" s="1"/>
  <c r="M34" i="2"/>
  <c r="L34" i="2"/>
  <c r="C34" i="2"/>
  <c r="P34" i="2" s="1"/>
  <c r="S34" i="2" s="1"/>
  <c r="P33" i="2"/>
  <c r="S33" i="2" s="1"/>
  <c r="M33" i="2"/>
  <c r="L33" i="2"/>
  <c r="C33" i="2"/>
  <c r="E33" i="2" s="1"/>
  <c r="N32" i="2"/>
  <c r="O32" i="2" s="1"/>
  <c r="M32" i="2"/>
  <c r="L32" i="2"/>
  <c r="C32" i="2"/>
  <c r="P32" i="2" s="1"/>
  <c r="S32" i="2" s="1"/>
  <c r="P31" i="2"/>
  <c r="S31" i="2" s="1"/>
  <c r="M31" i="2"/>
  <c r="L31" i="2"/>
  <c r="K31" i="2"/>
  <c r="J31" i="2"/>
  <c r="I31" i="2"/>
  <c r="F31" i="2"/>
  <c r="C31" i="2"/>
  <c r="M30" i="2"/>
  <c r="L30" i="2"/>
  <c r="F30" i="2"/>
  <c r="J30" i="2" s="1"/>
  <c r="D30" i="2"/>
  <c r="C30" i="2"/>
  <c r="M29" i="2"/>
  <c r="L29" i="2"/>
  <c r="N29" i="2" s="1"/>
  <c r="O29" i="2" s="1"/>
  <c r="R29" i="2" s="1"/>
  <c r="C29" i="2"/>
  <c r="E29" i="2" s="1"/>
  <c r="M28" i="2"/>
  <c r="L28" i="2"/>
  <c r="C28" i="2"/>
  <c r="P28" i="2" s="1"/>
  <c r="S28" i="2" s="1"/>
  <c r="M27" i="2"/>
  <c r="L27" i="2"/>
  <c r="N27" i="2" s="1"/>
  <c r="O27" i="2" s="1"/>
  <c r="C27" i="2"/>
  <c r="E27" i="2" s="1"/>
  <c r="M26" i="2"/>
  <c r="N26" i="2" s="1"/>
  <c r="O26" i="2" s="1"/>
  <c r="L26" i="2"/>
  <c r="F26" i="2"/>
  <c r="J26" i="2" s="1"/>
  <c r="E26" i="2"/>
  <c r="D26" i="2"/>
  <c r="C26" i="2"/>
  <c r="P26" i="2" s="1"/>
  <c r="S26" i="2" s="1"/>
  <c r="M25" i="2"/>
  <c r="L25" i="2"/>
  <c r="C25" i="2"/>
  <c r="M24" i="2"/>
  <c r="L24" i="2"/>
  <c r="N24" i="2" s="1"/>
  <c r="O24" i="2" s="1"/>
  <c r="C24" i="2"/>
  <c r="M23" i="2"/>
  <c r="L23" i="2"/>
  <c r="N23" i="2" s="1"/>
  <c r="O23" i="2" s="1"/>
  <c r="F23" i="2"/>
  <c r="I23" i="2" s="1"/>
  <c r="D23" i="2"/>
  <c r="C23" i="2"/>
  <c r="E23" i="2" s="1"/>
  <c r="M22" i="2"/>
  <c r="L22" i="2"/>
  <c r="N22" i="2" s="1"/>
  <c r="O22" i="2" s="1"/>
  <c r="F22" i="2"/>
  <c r="E22" i="2"/>
  <c r="C22" i="2"/>
  <c r="P22" i="2" s="1"/>
  <c r="S22" i="2" s="1"/>
  <c r="M21" i="2"/>
  <c r="L21" i="2"/>
  <c r="N21" i="2" s="1"/>
  <c r="O21" i="2" s="1"/>
  <c r="C21" i="2"/>
  <c r="E21" i="2" s="1"/>
  <c r="M20" i="2"/>
  <c r="N20" i="2" s="1"/>
  <c r="O20" i="2" s="1"/>
  <c r="L20" i="2"/>
  <c r="F20" i="2"/>
  <c r="J20" i="2" s="1"/>
  <c r="E20" i="2"/>
  <c r="D20" i="2"/>
  <c r="C20" i="2"/>
  <c r="P20" i="2" s="1"/>
  <c r="S20" i="2" s="1"/>
  <c r="M19" i="2"/>
  <c r="L19" i="2"/>
  <c r="N19" i="2" s="1"/>
  <c r="O19" i="2" s="1"/>
  <c r="C19" i="2"/>
  <c r="M18" i="2"/>
  <c r="L18" i="2"/>
  <c r="C18" i="2"/>
  <c r="M17" i="2"/>
  <c r="L17" i="2"/>
  <c r="N17" i="2" s="1"/>
  <c r="O17" i="2" s="1"/>
  <c r="C17" i="2"/>
  <c r="E17" i="2" s="1"/>
  <c r="S16" i="2"/>
  <c r="M16" i="2"/>
  <c r="L16" i="2"/>
  <c r="C16" i="2"/>
  <c r="P16" i="2" s="1"/>
  <c r="P15" i="2"/>
  <c r="S15" i="2" s="1"/>
  <c r="M15" i="2"/>
  <c r="L15" i="2"/>
  <c r="C15" i="2"/>
  <c r="E15" i="2" s="1"/>
  <c r="M14" i="2"/>
  <c r="N14" i="2" s="1"/>
  <c r="O14" i="2" s="1"/>
  <c r="L14" i="2"/>
  <c r="C14" i="2"/>
  <c r="P14" i="2" s="1"/>
  <c r="S14" i="2" s="1"/>
  <c r="P13" i="2"/>
  <c r="S13" i="2" s="1"/>
  <c r="M13" i="2"/>
  <c r="L13" i="2"/>
  <c r="F13" i="2"/>
  <c r="J13" i="2" s="1"/>
  <c r="C13" i="2"/>
  <c r="M12" i="2"/>
  <c r="L12" i="2"/>
  <c r="C12" i="2"/>
  <c r="F12" i="2" s="1"/>
  <c r="J12" i="2" s="1"/>
  <c r="N11" i="2"/>
  <c r="O11" i="2" s="1"/>
  <c r="Q11" i="2" s="1"/>
  <c r="M11" i="2"/>
  <c r="L11" i="2"/>
  <c r="C11" i="2"/>
  <c r="E11" i="2" s="1"/>
  <c r="M10" i="2"/>
  <c r="L10" i="2"/>
  <c r="N10" i="2" s="1"/>
  <c r="O10" i="2" s="1"/>
  <c r="C10" i="2"/>
  <c r="P10" i="2" s="1"/>
  <c r="S10" i="2" s="1"/>
  <c r="M9" i="2"/>
  <c r="L9" i="2"/>
  <c r="N9" i="2" s="1"/>
  <c r="O9" i="2" s="1"/>
  <c r="C9" i="2"/>
  <c r="E9" i="2" s="1"/>
  <c r="M8" i="2"/>
  <c r="L8" i="2"/>
  <c r="C8" i="2"/>
  <c r="P8" i="2" s="1"/>
  <c r="S8" i="2" s="1"/>
  <c r="M7" i="2"/>
  <c r="L7" i="2"/>
  <c r="C7" i="2"/>
  <c r="M6" i="2"/>
  <c r="L6" i="2"/>
  <c r="N6" i="2" s="1"/>
  <c r="O6" i="2" s="1"/>
  <c r="C6" i="2"/>
  <c r="M5" i="2"/>
  <c r="L5" i="2"/>
  <c r="N5" i="2" s="1"/>
  <c r="O5" i="2" s="1"/>
  <c r="C5" i="2"/>
  <c r="E5" i="2" s="1"/>
  <c r="S4" i="2"/>
  <c r="M4" i="2"/>
  <c r="L4" i="2"/>
  <c r="N4" i="2" s="1"/>
  <c r="O4" i="2" s="1"/>
  <c r="F4" i="2"/>
  <c r="K4" i="2" s="1"/>
  <c r="E4" i="2"/>
  <c r="D4" i="2"/>
  <c r="C4" i="2"/>
  <c r="P4" i="2" s="1"/>
  <c r="M3" i="2"/>
  <c r="L3" i="2"/>
  <c r="N3" i="2" s="1"/>
  <c r="O3" i="2" s="1"/>
  <c r="C3" i="2"/>
  <c r="E3" i="2" s="1"/>
  <c r="M2" i="2"/>
  <c r="N2" i="2" s="1"/>
  <c r="O2" i="2" s="1"/>
  <c r="L2" i="2"/>
  <c r="C2" i="2"/>
  <c r="P2" i="2" s="1"/>
  <c r="S2" i="2" s="1"/>
  <c r="K174" i="2" l="1"/>
  <c r="J174" i="2"/>
  <c r="I174" i="2"/>
  <c r="I77" i="2"/>
  <c r="K77" i="2"/>
  <c r="J77" i="2"/>
  <c r="J248" i="2"/>
  <c r="K248" i="2"/>
  <c r="I59" i="2"/>
  <c r="J59" i="2"/>
  <c r="K59" i="2"/>
  <c r="K67" i="2"/>
  <c r="I67" i="2"/>
  <c r="J67" i="2"/>
  <c r="K104" i="2"/>
  <c r="I104" i="2"/>
  <c r="J104" i="2"/>
  <c r="Q116" i="2"/>
  <c r="R116" i="2"/>
  <c r="I271" i="2"/>
  <c r="K271" i="2"/>
  <c r="K90" i="2"/>
  <c r="I90" i="2"/>
  <c r="J90" i="2"/>
  <c r="Q206" i="2"/>
  <c r="R206" i="2"/>
  <c r="D2" i="2"/>
  <c r="N8" i="2"/>
  <c r="O8" i="2" s="1"/>
  <c r="D12" i="2"/>
  <c r="I13" i="2"/>
  <c r="K114" i="2"/>
  <c r="J114" i="2"/>
  <c r="D119" i="2"/>
  <c r="Q151" i="2"/>
  <c r="R151" i="2"/>
  <c r="F183" i="2"/>
  <c r="P183" i="2"/>
  <c r="S183" i="2" s="1"/>
  <c r="E183" i="2"/>
  <c r="D183" i="2"/>
  <c r="Q188" i="2"/>
  <c r="R188" i="2"/>
  <c r="D33" i="2"/>
  <c r="E74" i="2"/>
  <c r="P77" i="2"/>
  <c r="S77" i="2" s="1"/>
  <c r="D80" i="2"/>
  <c r="F82" i="2"/>
  <c r="K82" i="2" s="1"/>
  <c r="F85" i="2"/>
  <c r="K120" i="2"/>
  <c r="J120" i="2"/>
  <c r="I241" i="2"/>
  <c r="K241" i="2"/>
  <c r="N408" i="2"/>
  <c r="O408" i="2" s="1"/>
  <c r="N420" i="2"/>
  <c r="O420" i="2" s="1"/>
  <c r="F2" i="2"/>
  <c r="J2" i="2" s="1"/>
  <c r="F8" i="2"/>
  <c r="K13" i="2"/>
  <c r="E14" i="2"/>
  <c r="D15" i="2"/>
  <c r="F16" i="2"/>
  <c r="N25" i="2"/>
  <c r="O25" i="2" s="1"/>
  <c r="R25" i="2" s="1"/>
  <c r="I26" i="2"/>
  <c r="N31" i="2"/>
  <c r="O31" i="2" s="1"/>
  <c r="F32" i="2"/>
  <c r="J32" i="2" s="1"/>
  <c r="F33" i="2"/>
  <c r="K33" i="2" s="1"/>
  <c r="N34" i="2"/>
  <c r="O34" i="2" s="1"/>
  <c r="N38" i="2"/>
  <c r="O38" i="2" s="1"/>
  <c r="R38" i="2" s="1"/>
  <c r="D40" i="2"/>
  <c r="P41" i="2"/>
  <c r="S41" i="2" s="1"/>
  <c r="K44" i="2"/>
  <c r="F56" i="2"/>
  <c r="P59" i="2"/>
  <c r="S59" i="2" s="1"/>
  <c r="D64" i="2"/>
  <c r="P67" i="2"/>
  <c r="S67" i="2" s="1"/>
  <c r="F74" i="2"/>
  <c r="E80" i="2"/>
  <c r="D84" i="2"/>
  <c r="D90" i="2"/>
  <c r="F105" i="2"/>
  <c r="P105" i="2"/>
  <c r="S105" i="2" s="1"/>
  <c r="E105" i="2"/>
  <c r="D105" i="2"/>
  <c r="R107" i="2"/>
  <c r="R115" i="2"/>
  <c r="I120" i="2"/>
  <c r="J128" i="2"/>
  <c r="J131" i="2"/>
  <c r="K131" i="2"/>
  <c r="D132" i="2"/>
  <c r="E135" i="2"/>
  <c r="E137" i="2"/>
  <c r="E138" i="2"/>
  <c r="J150" i="2"/>
  <c r="F156" i="2"/>
  <c r="E156" i="2"/>
  <c r="Q170" i="2"/>
  <c r="R170" i="2"/>
  <c r="F173" i="2"/>
  <c r="P173" i="2"/>
  <c r="S173" i="2" s="1"/>
  <c r="J176" i="2"/>
  <c r="J192" i="2"/>
  <c r="F215" i="2"/>
  <c r="E215" i="2"/>
  <c r="D226" i="2"/>
  <c r="F226" i="2"/>
  <c r="I226" i="2" s="1"/>
  <c r="E226" i="2"/>
  <c r="P226" i="2"/>
  <c r="S226" i="2" s="1"/>
  <c r="K240" i="2"/>
  <c r="J240" i="2"/>
  <c r="J266" i="2"/>
  <c r="K266" i="2"/>
  <c r="J270" i="2"/>
  <c r="K270" i="2"/>
  <c r="I270" i="2"/>
  <c r="R338" i="2"/>
  <c r="Q338" i="2"/>
  <c r="N367" i="2"/>
  <c r="O367" i="2" s="1"/>
  <c r="Q371" i="2"/>
  <c r="E75" i="2"/>
  <c r="D75" i="2"/>
  <c r="K98" i="2"/>
  <c r="I98" i="2"/>
  <c r="E107" i="2"/>
  <c r="D107" i="2"/>
  <c r="Q109" i="2"/>
  <c r="R109" i="2"/>
  <c r="P117" i="2"/>
  <c r="S117" i="2" s="1"/>
  <c r="P140" i="2"/>
  <c r="S140" i="2" s="1"/>
  <c r="F140" i="2"/>
  <c r="I159" i="2"/>
  <c r="K159" i="2"/>
  <c r="J159" i="2"/>
  <c r="F167" i="2"/>
  <c r="E167" i="2"/>
  <c r="F195" i="2"/>
  <c r="P195" i="2"/>
  <c r="S195" i="2" s="1"/>
  <c r="E195" i="2"/>
  <c r="D56" i="2"/>
  <c r="D57" i="2"/>
  <c r="I60" i="2"/>
  <c r="D74" i="2"/>
  <c r="F75" i="2"/>
  <c r="N86" i="2"/>
  <c r="O86" i="2" s="1"/>
  <c r="Q97" i="2"/>
  <c r="R97" i="2"/>
  <c r="P138" i="2"/>
  <c r="S138" i="2" s="1"/>
  <c r="D140" i="2"/>
  <c r="D159" i="2"/>
  <c r="D184" i="2"/>
  <c r="K228" i="2"/>
  <c r="J228" i="2"/>
  <c r="R265" i="2"/>
  <c r="Q265" i="2"/>
  <c r="D271" i="2"/>
  <c r="R275" i="2"/>
  <c r="Q275" i="2"/>
  <c r="N280" i="2"/>
  <c r="O280" i="2" s="1"/>
  <c r="R280" i="2" s="1"/>
  <c r="R323" i="2"/>
  <c r="Q323" i="2"/>
  <c r="R411" i="2"/>
  <c r="Q411" i="2"/>
  <c r="R423" i="2"/>
  <c r="Q423" i="2"/>
  <c r="Q435" i="2"/>
  <c r="R435" i="2"/>
  <c r="P444" i="2"/>
  <c r="S444" i="2" s="1"/>
  <c r="D444" i="2"/>
  <c r="F444" i="2"/>
  <c r="E2" i="2"/>
  <c r="F5" i="2"/>
  <c r="I5" i="2" s="1"/>
  <c r="E8" i="2"/>
  <c r="D14" i="2"/>
  <c r="F57" i="2"/>
  <c r="K60" i="2"/>
  <c r="P86" i="2"/>
  <c r="S86" i="2" s="1"/>
  <c r="F86" i="2"/>
  <c r="K86" i="2" s="1"/>
  <c r="F203" i="2"/>
  <c r="E203" i="2"/>
  <c r="P203" i="2"/>
  <c r="S203" i="2" s="1"/>
  <c r="D203" i="2"/>
  <c r="I228" i="2"/>
  <c r="R249" i="2"/>
  <c r="Q249" i="2"/>
  <c r="R374" i="2"/>
  <c r="Q374" i="2"/>
  <c r="N7" i="2"/>
  <c r="O7" i="2" s="1"/>
  <c r="N13" i="2"/>
  <c r="O13" i="2" s="1"/>
  <c r="R13" i="2" s="1"/>
  <c r="F14" i="2"/>
  <c r="J14" i="2" s="1"/>
  <c r="F15" i="2"/>
  <c r="K15" i="2" s="1"/>
  <c r="N16" i="2"/>
  <c r="O16" i="2" s="1"/>
  <c r="Q16" i="2" s="1"/>
  <c r="D22" i="2"/>
  <c r="P23" i="2"/>
  <c r="S23" i="2" s="1"/>
  <c r="K26" i="2"/>
  <c r="N33" i="2"/>
  <c r="O33" i="2" s="1"/>
  <c r="Q33" i="2" s="1"/>
  <c r="N36" i="2"/>
  <c r="O36" i="2" s="1"/>
  <c r="E40" i="2"/>
  <c r="N46" i="2"/>
  <c r="O46" i="2" s="1"/>
  <c r="N52" i="2"/>
  <c r="O52" i="2" s="1"/>
  <c r="N55" i="2"/>
  <c r="O55" i="2" s="1"/>
  <c r="Q55" i="2" s="1"/>
  <c r="D62" i="2"/>
  <c r="N68" i="2"/>
  <c r="O68" i="2" s="1"/>
  <c r="Q68" i="2" s="1"/>
  <c r="N70" i="2"/>
  <c r="O70" i="2" s="1"/>
  <c r="N73" i="2"/>
  <c r="O73" i="2" s="1"/>
  <c r="P75" i="2"/>
  <c r="S75" i="2" s="1"/>
  <c r="D78" i="2"/>
  <c r="F80" i="2"/>
  <c r="F84" i="2"/>
  <c r="J84" i="2" s="1"/>
  <c r="E86" i="2"/>
  <c r="N91" i="2"/>
  <c r="O91" i="2" s="1"/>
  <c r="F93" i="2"/>
  <c r="P93" i="2"/>
  <c r="S93" i="2" s="1"/>
  <c r="D98" i="2"/>
  <c r="D106" i="2"/>
  <c r="P108" i="2"/>
  <c r="S108" i="2" s="1"/>
  <c r="E108" i="2"/>
  <c r="D108" i="2"/>
  <c r="P116" i="2"/>
  <c r="S116" i="2" s="1"/>
  <c r="F116" i="2"/>
  <c r="F124" i="2"/>
  <c r="K124" i="2" s="1"/>
  <c r="E124" i="2"/>
  <c r="R127" i="2"/>
  <c r="E132" i="2"/>
  <c r="K137" i="2"/>
  <c r="F138" i="2"/>
  <c r="F142" i="2"/>
  <c r="J142" i="2" s="1"/>
  <c r="E142" i="2"/>
  <c r="P167" i="2"/>
  <c r="S167" i="2" s="1"/>
  <c r="D173" i="2"/>
  <c r="N190" i="2"/>
  <c r="O190" i="2" s="1"/>
  <c r="Q190" i="2" s="1"/>
  <c r="P206" i="2"/>
  <c r="S206" i="2" s="1"/>
  <c r="F206" i="2"/>
  <c r="E206" i="2"/>
  <c r="D206" i="2"/>
  <c r="D215" i="2"/>
  <c r="F225" i="2"/>
  <c r="P225" i="2"/>
  <c r="S225" i="2" s="1"/>
  <c r="E259" i="2"/>
  <c r="F259" i="2"/>
  <c r="D259" i="2"/>
  <c r="N308" i="2"/>
  <c r="O308" i="2" s="1"/>
  <c r="R331" i="2"/>
  <c r="Q331" i="2"/>
  <c r="R355" i="2"/>
  <c r="Q355" i="2"/>
  <c r="E104" i="2"/>
  <c r="D104" i="2"/>
  <c r="J117" i="2"/>
  <c r="I117" i="2"/>
  <c r="P184" i="2"/>
  <c r="S184" i="2" s="1"/>
  <c r="K230" i="2"/>
  <c r="J230" i="2"/>
  <c r="I230" i="2"/>
  <c r="F234" i="2"/>
  <c r="E234" i="2"/>
  <c r="P234" i="2"/>
  <c r="S234" i="2" s="1"/>
  <c r="D234" i="2"/>
  <c r="E271" i="2"/>
  <c r="P271" i="2"/>
  <c r="S271" i="2" s="1"/>
  <c r="Q273" i="2"/>
  <c r="R273" i="2"/>
  <c r="D5" i="2"/>
  <c r="D8" i="2"/>
  <c r="D32" i="2"/>
  <c r="P104" i="2"/>
  <c r="S104" i="2" s="1"/>
  <c r="D117" i="2"/>
  <c r="F122" i="2"/>
  <c r="P122" i="2"/>
  <c r="S122" i="2" s="1"/>
  <c r="E122" i="2"/>
  <c r="F126" i="2"/>
  <c r="P126" i="2"/>
  <c r="S126" i="2" s="1"/>
  <c r="E126" i="2"/>
  <c r="P134" i="2"/>
  <c r="S134" i="2" s="1"/>
  <c r="F134" i="2"/>
  <c r="E134" i="2"/>
  <c r="K135" i="2"/>
  <c r="J135" i="2"/>
  <c r="P135" i="2"/>
  <c r="S135" i="2" s="1"/>
  <c r="D195" i="2"/>
  <c r="F197" i="2"/>
  <c r="E197" i="2"/>
  <c r="D197" i="2"/>
  <c r="E32" i="2"/>
  <c r="F34" i="2"/>
  <c r="K34" i="2" s="1"/>
  <c r="I44" i="2"/>
  <c r="E56" i="2"/>
  <c r="P90" i="2"/>
  <c r="S90" i="2" s="1"/>
  <c r="E90" i="2"/>
  <c r="K102" i="2"/>
  <c r="J102" i="2"/>
  <c r="I102" i="2"/>
  <c r="R104" i="2"/>
  <c r="I114" i="2"/>
  <c r="E117" i="2"/>
  <c r="D122" i="2"/>
  <c r="D126" i="2"/>
  <c r="I128" i="2"/>
  <c r="F129" i="2"/>
  <c r="P129" i="2"/>
  <c r="S129" i="2" s="1"/>
  <c r="E129" i="2"/>
  <c r="K132" i="2"/>
  <c r="I132" i="2"/>
  <c r="P132" i="2"/>
  <c r="S132" i="2" s="1"/>
  <c r="D134" i="2"/>
  <c r="D135" i="2"/>
  <c r="E136" i="2"/>
  <c r="P136" i="2"/>
  <c r="S136" i="2" s="1"/>
  <c r="D136" i="2"/>
  <c r="D137" i="2"/>
  <c r="E140" i="2"/>
  <c r="I150" i="2"/>
  <c r="E159" i="2"/>
  <c r="K162" i="2"/>
  <c r="J162" i="2"/>
  <c r="K164" i="2"/>
  <c r="J164" i="2"/>
  <c r="I164" i="2"/>
  <c r="P174" i="2"/>
  <c r="S174" i="2" s="1"/>
  <c r="E174" i="2"/>
  <c r="D174" i="2"/>
  <c r="I176" i="2"/>
  <c r="F177" i="2"/>
  <c r="P177" i="2"/>
  <c r="S177" i="2" s="1"/>
  <c r="E177" i="2"/>
  <c r="K182" i="2"/>
  <c r="J182" i="2"/>
  <c r="E184" i="2"/>
  <c r="I192" i="2"/>
  <c r="P5" i="2"/>
  <c r="S5" i="2" s="1"/>
  <c r="N15" i="2"/>
  <c r="O15" i="2" s="1"/>
  <c r="N18" i="2"/>
  <c r="O18" i="2" s="1"/>
  <c r="N28" i="2"/>
  <c r="O28" i="2" s="1"/>
  <c r="Q28" i="2" s="1"/>
  <c r="F40" i="2"/>
  <c r="K40" i="2" s="1"/>
  <c r="N42" i="2"/>
  <c r="O42" i="2" s="1"/>
  <c r="P57" i="2"/>
  <c r="S57" i="2" s="1"/>
  <c r="N64" i="2"/>
  <c r="O64" i="2" s="1"/>
  <c r="J78" i="2"/>
  <c r="I78" i="2"/>
  <c r="F99" i="2"/>
  <c r="P99" i="2"/>
  <c r="S99" i="2" s="1"/>
  <c r="E99" i="2"/>
  <c r="D99" i="2"/>
  <c r="F111" i="2"/>
  <c r="P111" i="2"/>
  <c r="S111" i="2" s="1"/>
  <c r="E111" i="2"/>
  <c r="D124" i="2"/>
  <c r="J132" i="2"/>
  <c r="N134" i="2"/>
  <c r="O134" i="2" s="1"/>
  <c r="N138" i="2"/>
  <c r="O138" i="2" s="1"/>
  <c r="D142" i="2"/>
  <c r="K146" i="2"/>
  <c r="J146" i="2"/>
  <c r="F147" i="2"/>
  <c r="P147" i="2"/>
  <c r="S147" i="2" s="1"/>
  <c r="E147" i="2"/>
  <c r="D147" i="2"/>
  <c r="K152" i="2"/>
  <c r="J152" i="2"/>
  <c r="F153" i="2"/>
  <c r="P153" i="2"/>
  <c r="S153" i="2" s="1"/>
  <c r="E153" i="2"/>
  <c r="D153" i="2"/>
  <c r="F155" i="2"/>
  <c r="E155" i="2"/>
  <c r="P159" i="2"/>
  <c r="S159" i="2" s="1"/>
  <c r="P172" i="2"/>
  <c r="S172" i="2" s="1"/>
  <c r="E172" i="2"/>
  <c r="D172" i="2"/>
  <c r="E173" i="2"/>
  <c r="Q255" i="2"/>
  <c r="R255" i="2"/>
  <c r="R257" i="2"/>
  <c r="Q257" i="2"/>
  <c r="E283" i="2"/>
  <c r="F283" i="2"/>
  <c r="D283" i="2"/>
  <c r="P283" i="2"/>
  <c r="S283" i="2" s="1"/>
  <c r="R288" i="2"/>
  <c r="Q288" i="2"/>
  <c r="Q291" i="2"/>
  <c r="R291" i="2"/>
  <c r="Q327" i="2"/>
  <c r="R327" i="2"/>
  <c r="F165" i="2"/>
  <c r="P165" i="2"/>
  <c r="S165" i="2" s="1"/>
  <c r="E165" i="2"/>
  <c r="F179" i="2"/>
  <c r="E179" i="2"/>
  <c r="F185" i="2"/>
  <c r="E185" i="2"/>
  <c r="P185" i="2"/>
  <c r="S185" i="2" s="1"/>
  <c r="D185" i="2"/>
  <c r="P188" i="2"/>
  <c r="S188" i="2" s="1"/>
  <c r="F188" i="2"/>
  <c r="K207" i="2"/>
  <c r="J207" i="2"/>
  <c r="P207" i="2"/>
  <c r="S207" i="2" s="1"/>
  <c r="F222" i="2"/>
  <c r="E222" i="2"/>
  <c r="F236" i="2"/>
  <c r="P236" i="2"/>
  <c r="S236" i="2" s="1"/>
  <c r="E236" i="2"/>
  <c r="D236" i="2"/>
  <c r="E247" i="2"/>
  <c r="F247" i="2"/>
  <c r="J247" i="2" s="1"/>
  <c r="D247" i="2"/>
  <c r="E253" i="2"/>
  <c r="P253" i="2"/>
  <c r="S253" i="2" s="1"/>
  <c r="R267" i="2"/>
  <c r="Q267" i="2"/>
  <c r="R303" i="2"/>
  <c r="Q303" i="2"/>
  <c r="I307" i="2"/>
  <c r="K307" i="2"/>
  <c r="N322" i="2"/>
  <c r="O322" i="2" s="1"/>
  <c r="I349" i="2"/>
  <c r="J349" i="2"/>
  <c r="K349" i="2"/>
  <c r="E385" i="2"/>
  <c r="P385" i="2"/>
  <c r="S385" i="2" s="1"/>
  <c r="D385" i="2"/>
  <c r="R395" i="2"/>
  <c r="Q395" i="2"/>
  <c r="P118" i="2"/>
  <c r="S118" i="2" s="1"/>
  <c r="D149" i="2"/>
  <c r="D150" i="2"/>
  <c r="E158" i="2"/>
  <c r="J161" i="2"/>
  <c r="I161" i="2"/>
  <c r="P161" i="2"/>
  <c r="S161" i="2" s="1"/>
  <c r="D165" i="2"/>
  <c r="P170" i="2"/>
  <c r="S170" i="2" s="1"/>
  <c r="F170" i="2"/>
  <c r="D179" i="2"/>
  <c r="D188" i="2"/>
  <c r="K189" i="2"/>
  <c r="J189" i="2"/>
  <c r="P189" i="2"/>
  <c r="S189" i="2" s="1"/>
  <c r="K204" i="2"/>
  <c r="J204" i="2"/>
  <c r="D207" i="2"/>
  <c r="P208" i="2"/>
  <c r="S208" i="2" s="1"/>
  <c r="E208" i="2"/>
  <c r="D208" i="2"/>
  <c r="J209" i="2"/>
  <c r="K209" i="2"/>
  <c r="I209" i="2"/>
  <c r="P210" i="2"/>
  <c r="S210" i="2" s="1"/>
  <c r="E210" i="2"/>
  <c r="D210" i="2"/>
  <c r="I216" i="2"/>
  <c r="K218" i="2"/>
  <c r="J218" i="2"/>
  <c r="F219" i="2"/>
  <c r="D219" i="2"/>
  <c r="P219" i="2"/>
  <c r="S219" i="2" s="1"/>
  <c r="E219" i="2"/>
  <c r="D222" i="2"/>
  <c r="Q224" i="2"/>
  <c r="R224" i="2"/>
  <c r="F238" i="2"/>
  <c r="K238" i="2" s="1"/>
  <c r="E238" i="2"/>
  <c r="P238" i="2"/>
  <c r="S238" i="2" s="1"/>
  <c r="D238" i="2"/>
  <c r="E244" i="2"/>
  <c r="R247" i="2"/>
  <c r="Q247" i="2"/>
  <c r="I252" i="2"/>
  <c r="D253" i="2"/>
  <c r="R285" i="2"/>
  <c r="Q285" i="2"/>
  <c r="J306" i="2"/>
  <c r="I306" i="2"/>
  <c r="K306" i="2"/>
  <c r="F385" i="2"/>
  <c r="N77" i="2"/>
  <c r="O77" i="2" s="1"/>
  <c r="Q77" i="2" s="1"/>
  <c r="N85" i="2"/>
  <c r="O85" i="2" s="1"/>
  <c r="N103" i="2"/>
  <c r="O103" i="2" s="1"/>
  <c r="N133" i="2"/>
  <c r="O133" i="2" s="1"/>
  <c r="Q133" i="2" s="1"/>
  <c r="D143" i="2"/>
  <c r="E149" i="2"/>
  <c r="E150" i="2"/>
  <c r="N157" i="2"/>
  <c r="O157" i="2" s="1"/>
  <c r="Q157" i="2" s="1"/>
  <c r="F158" i="2"/>
  <c r="P158" i="2"/>
  <c r="S158" i="2" s="1"/>
  <c r="D161" i="2"/>
  <c r="D166" i="2"/>
  <c r="D170" i="2"/>
  <c r="K171" i="2"/>
  <c r="J171" i="2"/>
  <c r="P171" i="2"/>
  <c r="S171" i="2" s="1"/>
  <c r="K186" i="2"/>
  <c r="J186" i="2"/>
  <c r="E188" i="2"/>
  <c r="D189" i="2"/>
  <c r="P190" i="2"/>
  <c r="S190" i="2" s="1"/>
  <c r="E190" i="2"/>
  <c r="D190" i="2"/>
  <c r="J191" i="2"/>
  <c r="K191" i="2"/>
  <c r="I191" i="2"/>
  <c r="P192" i="2"/>
  <c r="S192" i="2" s="1"/>
  <c r="E192" i="2"/>
  <c r="D192" i="2"/>
  <c r="I198" i="2"/>
  <c r="K200" i="2"/>
  <c r="J200" i="2"/>
  <c r="F201" i="2"/>
  <c r="P201" i="2"/>
  <c r="S201" i="2" s="1"/>
  <c r="E201" i="2"/>
  <c r="D201" i="2"/>
  <c r="I204" i="2"/>
  <c r="E207" i="2"/>
  <c r="F208" i="2"/>
  <c r="D209" i="2"/>
  <c r="F210" i="2"/>
  <c r="I212" i="2"/>
  <c r="F213" i="2"/>
  <c r="P213" i="2"/>
  <c r="S213" i="2" s="1"/>
  <c r="E213" i="2"/>
  <c r="J216" i="2"/>
  <c r="I218" i="2"/>
  <c r="F221" i="2"/>
  <c r="P221" i="2"/>
  <c r="S221" i="2" s="1"/>
  <c r="D221" i="2"/>
  <c r="F233" i="2"/>
  <c r="P233" i="2"/>
  <c r="S233" i="2" s="1"/>
  <c r="D233" i="2"/>
  <c r="E233" i="2"/>
  <c r="N236" i="2"/>
  <c r="O236" i="2" s="1"/>
  <c r="Q236" i="2" s="1"/>
  <c r="N242" i="2"/>
  <c r="O242" i="2" s="1"/>
  <c r="N251" i="2"/>
  <c r="O251" i="2" s="1"/>
  <c r="K252" i="2"/>
  <c r="F253" i="2"/>
  <c r="J284" i="2"/>
  <c r="K284" i="2"/>
  <c r="N301" i="2"/>
  <c r="O301" i="2" s="1"/>
  <c r="E313" i="2"/>
  <c r="P313" i="2"/>
  <c r="S313" i="2" s="1"/>
  <c r="N315" i="2"/>
  <c r="O315" i="2" s="1"/>
  <c r="N316" i="2"/>
  <c r="O316" i="2" s="1"/>
  <c r="E319" i="2"/>
  <c r="F319" i="2"/>
  <c r="P319" i="2"/>
  <c r="S319" i="2" s="1"/>
  <c r="R332" i="2"/>
  <c r="Q332" i="2"/>
  <c r="R339" i="2"/>
  <c r="R368" i="2"/>
  <c r="Q368" i="2"/>
  <c r="N376" i="2"/>
  <c r="O376" i="2" s="1"/>
  <c r="R401" i="2"/>
  <c r="Q401" i="2"/>
  <c r="R407" i="2"/>
  <c r="Q407" i="2"/>
  <c r="R419" i="2"/>
  <c r="Q419" i="2"/>
  <c r="E433" i="2"/>
  <c r="F433" i="2"/>
  <c r="P433" i="2"/>
  <c r="S433" i="2" s="1"/>
  <c r="P224" i="2"/>
  <c r="S224" i="2" s="1"/>
  <c r="F224" i="2"/>
  <c r="F231" i="2"/>
  <c r="P231" i="2"/>
  <c r="S231" i="2" s="1"/>
  <c r="E231" i="2"/>
  <c r="E265" i="2"/>
  <c r="F265" i="2"/>
  <c r="J265" i="2" s="1"/>
  <c r="Q375" i="2"/>
  <c r="R375" i="2"/>
  <c r="N398" i="2"/>
  <c r="O398" i="2" s="1"/>
  <c r="N400" i="2"/>
  <c r="O400" i="2" s="1"/>
  <c r="I403" i="2"/>
  <c r="J403" i="2"/>
  <c r="K403" i="2"/>
  <c r="N416" i="2"/>
  <c r="O416" i="2" s="1"/>
  <c r="Q416" i="2" s="1"/>
  <c r="D224" i="2"/>
  <c r="J227" i="2"/>
  <c r="I227" i="2"/>
  <c r="P227" i="2"/>
  <c r="S227" i="2" s="1"/>
  <c r="D231" i="2"/>
  <c r="F246" i="2"/>
  <c r="E246" i="2"/>
  <c r="N256" i="2"/>
  <c r="O256" i="2" s="1"/>
  <c r="N260" i="2"/>
  <c r="O260" i="2" s="1"/>
  <c r="R260" i="2" s="1"/>
  <c r="D265" i="2"/>
  <c r="D277" i="2"/>
  <c r="P277" i="2"/>
  <c r="S277" i="2" s="1"/>
  <c r="N279" i="2"/>
  <c r="O279" i="2" s="1"/>
  <c r="E281" i="2"/>
  <c r="F281" i="2"/>
  <c r="E298" i="2"/>
  <c r="N306" i="2"/>
  <c r="O306" i="2" s="1"/>
  <c r="N326" i="2"/>
  <c r="O326" i="2" s="1"/>
  <c r="R347" i="2"/>
  <c r="Q347" i="2"/>
  <c r="Q363" i="2"/>
  <c r="R363" i="2"/>
  <c r="J390" i="2"/>
  <c r="I390" i="2"/>
  <c r="E391" i="2"/>
  <c r="P391" i="2"/>
  <c r="S391" i="2" s="1"/>
  <c r="D391" i="2"/>
  <c r="F402" i="2"/>
  <c r="J402" i="2" s="1"/>
  <c r="R415" i="2"/>
  <c r="Q415" i="2"/>
  <c r="J432" i="2"/>
  <c r="I432" i="2"/>
  <c r="K432" i="2"/>
  <c r="E224" i="2"/>
  <c r="D227" i="2"/>
  <c r="P241" i="2"/>
  <c r="S241" i="2" s="1"/>
  <c r="E257" i="2"/>
  <c r="F257" i="2"/>
  <c r="J257" i="2" s="1"/>
  <c r="F277" i="2"/>
  <c r="J288" i="2"/>
  <c r="K288" i="2"/>
  <c r="I288" i="2"/>
  <c r="I289" i="2"/>
  <c r="K289" i="2"/>
  <c r="R296" i="2"/>
  <c r="Q296" i="2"/>
  <c r="J302" i="2"/>
  <c r="K302" i="2"/>
  <c r="R335" i="2"/>
  <c r="Q335" i="2"/>
  <c r="Q344" i="2"/>
  <c r="R351" i="2"/>
  <c r="N360" i="2"/>
  <c r="O360" i="2" s="1"/>
  <c r="R360" i="2" s="1"/>
  <c r="I391" i="2"/>
  <c r="K391" i="2"/>
  <c r="N424" i="2"/>
  <c r="O424" i="2" s="1"/>
  <c r="N223" i="2"/>
  <c r="O223" i="2" s="1"/>
  <c r="N235" i="2"/>
  <c r="O235" i="2" s="1"/>
  <c r="Q235" i="2" s="1"/>
  <c r="N244" i="2"/>
  <c r="O244" i="2" s="1"/>
  <c r="R244" i="2" s="1"/>
  <c r="N248" i="2"/>
  <c r="O248" i="2" s="1"/>
  <c r="N250" i="2"/>
  <c r="O250" i="2" s="1"/>
  <c r="N266" i="2"/>
  <c r="O266" i="2" s="1"/>
  <c r="N268" i="2"/>
  <c r="O268" i="2" s="1"/>
  <c r="N272" i="2"/>
  <c r="O272" i="2" s="1"/>
  <c r="R272" i="2" s="1"/>
  <c r="N294" i="2"/>
  <c r="O294" i="2" s="1"/>
  <c r="P301" i="2"/>
  <c r="S301" i="2" s="1"/>
  <c r="N302" i="2"/>
  <c r="O302" i="2" s="1"/>
  <c r="Q302" i="2" s="1"/>
  <c r="N307" i="2"/>
  <c r="O307" i="2" s="1"/>
  <c r="Q307" i="2" s="1"/>
  <c r="N334" i="2"/>
  <c r="O334" i="2" s="1"/>
  <c r="E359" i="2"/>
  <c r="F359" i="2"/>
  <c r="E361" i="2"/>
  <c r="P361" i="2"/>
  <c r="S361" i="2" s="1"/>
  <c r="D361" i="2"/>
  <c r="E373" i="2"/>
  <c r="F373" i="2"/>
  <c r="P373" i="2"/>
  <c r="S373" i="2" s="1"/>
  <c r="J426" i="2"/>
  <c r="I426" i="2"/>
  <c r="N253" i="2"/>
  <c r="O253" i="2" s="1"/>
  <c r="F263" i="2"/>
  <c r="N276" i="2"/>
  <c r="O276" i="2" s="1"/>
  <c r="Q276" i="2" s="1"/>
  <c r="F280" i="2"/>
  <c r="I280" i="2" s="1"/>
  <c r="D289" i="2"/>
  <c r="F293" i="2"/>
  <c r="J293" i="2" s="1"/>
  <c r="E295" i="2"/>
  <c r="D295" i="2"/>
  <c r="N317" i="2"/>
  <c r="O317" i="2" s="1"/>
  <c r="R317" i="2" s="1"/>
  <c r="N320" i="2"/>
  <c r="O320" i="2" s="1"/>
  <c r="N329" i="2"/>
  <c r="O329" i="2" s="1"/>
  <c r="R329" i="2" s="1"/>
  <c r="Q350" i="2"/>
  <c r="E355" i="2"/>
  <c r="D355" i="2"/>
  <c r="D359" i="2"/>
  <c r="F361" i="2"/>
  <c r="N365" i="2"/>
  <c r="O365" i="2" s="1"/>
  <c r="R365" i="2" s="1"/>
  <c r="E367" i="2"/>
  <c r="F367" i="2"/>
  <c r="P367" i="2"/>
  <c r="S367" i="2" s="1"/>
  <c r="F372" i="2"/>
  <c r="D373" i="2"/>
  <c r="E377" i="2"/>
  <c r="D377" i="2"/>
  <c r="E379" i="2"/>
  <c r="F379" i="2"/>
  <c r="P379" i="2"/>
  <c r="S379" i="2" s="1"/>
  <c r="N385" i="2"/>
  <c r="O385" i="2" s="1"/>
  <c r="E396" i="2"/>
  <c r="F396" i="2"/>
  <c r="K426" i="2"/>
  <c r="N429" i="2"/>
  <c r="O429" i="2" s="1"/>
  <c r="N431" i="2"/>
  <c r="O431" i="2" s="1"/>
  <c r="Q441" i="2"/>
  <c r="R441" i="2"/>
  <c r="E445" i="2"/>
  <c r="P445" i="2"/>
  <c r="S445" i="2" s="1"/>
  <c r="F445" i="2"/>
  <c r="R464" i="2"/>
  <c r="Q464" i="2"/>
  <c r="R482" i="2"/>
  <c r="Q482" i="2"/>
  <c r="E325" i="2"/>
  <c r="F325" i="2"/>
  <c r="P325" i="2"/>
  <c r="S325" i="2" s="1"/>
  <c r="E331" i="2"/>
  <c r="P331" i="2"/>
  <c r="S331" i="2" s="1"/>
  <c r="N333" i="2"/>
  <c r="O333" i="2" s="1"/>
  <c r="E337" i="2"/>
  <c r="F337" i="2"/>
  <c r="P337" i="2"/>
  <c r="S337" i="2" s="1"/>
  <c r="E347" i="2"/>
  <c r="D347" i="2"/>
  <c r="N359" i="2"/>
  <c r="O359" i="2" s="1"/>
  <c r="J360" i="2"/>
  <c r="K360" i="2"/>
  <c r="E383" i="2"/>
  <c r="F383" i="2"/>
  <c r="J383" i="2" s="1"/>
  <c r="P383" i="2"/>
  <c r="S383" i="2" s="1"/>
  <c r="R390" i="2"/>
  <c r="Q390" i="2"/>
  <c r="P438" i="2"/>
  <c r="S438" i="2" s="1"/>
  <c r="D438" i="2"/>
  <c r="F438" i="2"/>
  <c r="I438" i="2" s="1"/>
  <c r="N387" i="2"/>
  <c r="O387" i="2" s="1"/>
  <c r="N391" i="2"/>
  <c r="O391" i="2" s="1"/>
  <c r="N399" i="2"/>
  <c r="O399" i="2" s="1"/>
  <c r="D401" i="2"/>
  <c r="E408" i="2"/>
  <c r="E410" i="2"/>
  <c r="E412" i="2"/>
  <c r="E414" i="2"/>
  <c r="E416" i="2"/>
  <c r="E418" i="2"/>
  <c r="E420" i="2"/>
  <c r="E422" i="2"/>
  <c r="E424" i="2"/>
  <c r="D426" i="2"/>
  <c r="D434" i="2"/>
  <c r="F440" i="2"/>
  <c r="F452" i="2"/>
  <c r="K452" i="2" s="1"/>
  <c r="D455" i="2"/>
  <c r="E456" i="2"/>
  <c r="F457" i="2"/>
  <c r="F473" i="2"/>
  <c r="F474" i="2"/>
  <c r="R477" i="2"/>
  <c r="D497" i="2"/>
  <c r="E498" i="2"/>
  <c r="N443" i="2"/>
  <c r="O443" i="2" s="1"/>
  <c r="N444" i="2"/>
  <c r="O444" i="2" s="1"/>
  <c r="R444" i="2" s="1"/>
  <c r="D446" i="2"/>
  <c r="N448" i="2"/>
  <c r="O448" i="2" s="1"/>
  <c r="F455" i="2"/>
  <c r="N457" i="2"/>
  <c r="O457" i="2" s="1"/>
  <c r="R459" i="2"/>
  <c r="P463" i="2"/>
  <c r="S463" i="2" s="1"/>
  <c r="D479" i="2"/>
  <c r="P487" i="2"/>
  <c r="S487" i="2" s="1"/>
  <c r="P493" i="2"/>
  <c r="S493" i="2" s="1"/>
  <c r="F497" i="2"/>
  <c r="F499" i="2"/>
  <c r="N501" i="2"/>
  <c r="O501" i="2" s="1"/>
  <c r="N290" i="2"/>
  <c r="O290" i="2" s="1"/>
  <c r="R290" i="2" s="1"/>
  <c r="N293" i="2"/>
  <c r="O293" i="2" s="1"/>
  <c r="R293" i="2" s="1"/>
  <c r="P307" i="2"/>
  <c r="S307" i="2" s="1"/>
  <c r="N309" i="2"/>
  <c r="O309" i="2" s="1"/>
  <c r="N321" i="2"/>
  <c r="O321" i="2" s="1"/>
  <c r="Q321" i="2" s="1"/>
  <c r="P323" i="2"/>
  <c r="S323" i="2" s="1"/>
  <c r="N337" i="2"/>
  <c r="O337" i="2" s="1"/>
  <c r="N343" i="2"/>
  <c r="O343" i="2" s="1"/>
  <c r="N358" i="2"/>
  <c r="O358" i="2" s="1"/>
  <c r="N373" i="2"/>
  <c r="O373" i="2" s="1"/>
  <c r="Q373" i="2" s="1"/>
  <c r="N379" i="2"/>
  <c r="O379" i="2" s="1"/>
  <c r="P389" i="2"/>
  <c r="S389" i="2" s="1"/>
  <c r="N393" i="2"/>
  <c r="O393" i="2" s="1"/>
  <c r="P395" i="2"/>
  <c r="S395" i="2" s="1"/>
  <c r="N404" i="2"/>
  <c r="O404" i="2" s="1"/>
  <c r="N438" i="2"/>
  <c r="O438" i="2" s="1"/>
  <c r="P469" i="2"/>
  <c r="S469" i="2" s="1"/>
  <c r="P475" i="2"/>
  <c r="S475" i="2" s="1"/>
  <c r="N483" i="2"/>
  <c r="O483" i="2" s="1"/>
  <c r="Q493" i="2"/>
  <c r="N495" i="2"/>
  <c r="O495" i="2" s="1"/>
  <c r="N499" i="2"/>
  <c r="O499" i="2" s="1"/>
  <c r="D452" i="2"/>
  <c r="D453" i="2"/>
  <c r="N454" i="2"/>
  <c r="O454" i="2" s="1"/>
  <c r="K463" i="2"/>
  <c r="J469" i="2"/>
  <c r="P335" i="2"/>
  <c r="S335" i="2" s="1"/>
  <c r="N356" i="2"/>
  <c r="O356" i="2" s="1"/>
  <c r="N362" i="2"/>
  <c r="O362" i="2" s="1"/>
  <c r="N369" i="2"/>
  <c r="O369" i="2" s="1"/>
  <c r="P371" i="2"/>
  <c r="S371" i="2" s="1"/>
  <c r="N382" i="2"/>
  <c r="O382" i="2" s="1"/>
  <c r="N392" i="2"/>
  <c r="O392" i="2" s="1"/>
  <c r="P401" i="2"/>
  <c r="S401" i="2" s="1"/>
  <c r="N428" i="2"/>
  <c r="O428" i="2" s="1"/>
  <c r="E440" i="2"/>
  <c r="E452" i="2"/>
  <c r="R465" i="2"/>
  <c r="K469" i="2"/>
  <c r="D473" i="2"/>
  <c r="F475" i="2"/>
  <c r="F491" i="2"/>
  <c r="Q500" i="2"/>
  <c r="R18" i="2"/>
  <c r="Q18" i="2"/>
  <c r="R44" i="2"/>
  <c r="Q44" i="2"/>
  <c r="Q56" i="2"/>
  <c r="R56" i="2"/>
  <c r="Q64" i="2"/>
  <c r="R64" i="2"/>
  <c r="Q82" i="2"/>
  <c r="R82" i="2"/>
  <c r="Q118" i="2"/>
  <c r="R118" i="2"/>
  <c r="Q10" i="2"/>
  <c r="R10" i="2"/>
  <c r="Q24" i="2"/>
  <c r="R24" i="2"/>
  <c r="R26" i="2"/>
  <c r="Q26" i="2"/>
  <c r="Q32" i="2"/>
  <c r="R32" i="2"/>
  <c r="Q63" i="2"/>
  <c r="R63" i="2"/>
  <c r="I71" i="2"/>
  <c r="K71" i="2"/>
  <c r="J71" i="2"/>
  <c r="Q81" i="2"/>
  <c r="R81" i="2"/>
  <c r="Q88" i="2"/>
  <c r="R88" i="2"/>
  <c r="Q100" i="2"/>
  <c r="R100" i="2"/>
  <c r="Q15" i="2"/>
  <c r="R15" i="2"/>
  <c r="Q42" i="2"/>
  <c r="R42" i="2"/>
  <c r="Q74" i="2"/>
  <c r="R74" i="2"/>
  <c r="Q94" i="2"/>
  <c r="R94" i="2"/>
  <c r="Q6" i="2"/>
  <c r="R6" i="2"/>
  <c r="Q8" i="2"/>
  <c r="R8" i="2"/>
  <c r="Q14" i="2"/>
  <c r="R14" i="2"/>
  <c r="Q35" i="2"/>
  <c r="R35" i="2"/>
  <c r="Q39" i="2"/>
  <c r="R39" i="2"/>
  <c r="R41" i="2"/>
  <c r="Q41" i="2"/>
  <c r="Q45" i="2"/>
  <c r="R45" i="2"/>
  <c r="Q49" i="2"/>
  <c r="R49" i="2"/>
  <c r="R54" i="2"/>
  <c r="Q54" i="2"/>
  <c r="R59" i="2"/>
  <c r="Q59" i="2"/>
  <c r="Q67" i="2"/>
  <c r="R67" i="2"/>
  <c r="R72" i="2"/>
  <c r="Q72" i="2"/>
  <c r="R77" i="2"/>
  <c r="Q85" i="2"/>
  <c r="R85" i="2"/>
  <c r="Q21" i="2"/>
  <c r="R21" i="2"/>
  <c r="Q40" i="2"/>
  <c r="R40" i="2"/>
  <c r="Q43" i="2"/>
  <c r="R43" i="2"/>
  <c r="Q61" i="2"/>
  <c r="R61" i="2"/>
  <c r="R65" i="2"/>
  <c r="Q65" i="2"/>
  <c r="Q79" i="2"/>
  <c r="R79" i="2"/>
  <c r="R83" i="2"/>
  <c r="Q83" i="2"/>
  <c r="R2" i="2"/>
  <c r="Q2" i="2"/>
  <c r="Q57" i="2"/>
  <c r="R57" i="2"/>
  <c r="R60" i="2"/>
  <c r="Q60" i="2"/>
  <c r="Q75" i="2"/>
  <c r="R75" i="2"/>
  <c r="R78" i="2"/>
  <c r="Q78" i="2"/>
  <c r="Q17" i="2"/>
  <c r="R17" i="2"/>
  <c r="R23" i="2"/>
  <c r="Q23" i="2"/>
  <c r="Q27" i="2"/>
  <c r="R27" i="2"/>
  <c r="Q3" i="2"/>
  <c r="R3" i="2"/>
  <c r="Q5" i="2"/>
  <c r="R5" i="2"/>
  <c r="Q9" i="2"/>
  <c r="R9" i="2"/>
  <c r="Q22" i="2"/>
  <c r="R22" i="2"/>
  <c r="Q31" i="2"/>
  <c r="R31" i="2"/>
  <c r="Q34" i="2"/>
  <c r="R34" i="2"/>
  <c r="R37" i="2"/>
  <c r="Q37" i="2"/>
  <c r="Q4" i="2"/>
  <c r="R4" i="2"/>
  <c r="Q7" i="2"/>
  <c r="R7" i="2"/>
  <c r="R19" i="2"/>
  <c r="Q19" i="2"/>
  <c r="R20" i="2"/>
  <c r="Q20" i="2"/>
  <c r="R36" i="2"/>
  <c r="Q36" i="2"/>
  <c r="Q46" i="2"/>
  <c r="R46" i="2"/>
  <c r="Q50" i="2"/>
  <c r="R50" i="2"/>
  <c r="Q52" i="2"/>
  <c r="R52" i="2"/>
  <c r="Q70" i="2"/>
  <c r="R70" i="2"/>
  <c r="Q73" i="2"/>
  <c r="R73" i="2"/>
  <c r="Q86" i="2"/>
  <c r="R86" i="2"/>
  <c r="Q95" i="2"/>
  <c r="R95" i="2"/>
  <c r="Q160" i="2"/>
  <c r="R160" i="2"/>
  <c r="K166" i="2"/>
  <c r="J166" i="2"/>
  <c r="I166" i="2"/>
  <c r="Q176" i="2"/>
  <c r="R176" i="2"/>
  <c r="Q178" i="2"/>
  <c r="R178" i="2"/>
  <c r="R190" i="2"/>
  <c r="F199" i="2"/>
  <c r="P199" i="2"/>
  <c r="S199" i="2" s="1"/>
  <c r="E199" i="2"/>
  <c r="D199" i="2"/>
  <c r="Q211" i="2"/>
  <c r="R211" i="2"/>
  <c r="Q220" i="2"/>
  <c r="R220" i="2"/>
  <c r="Q230" i="2"/>
  <c r="R230" i="2"/>
  <c r="J238" i="2"/>
  <c r="I238" i="2"/>
  <c r="R256" i="2"/>
  <c r="Q256" i="2"/>
  <c r="Q290" i="2"/>
  <c r="I343" i="2"/>
  <c r="K343" i="2"/>
  <c r="J343" i="2"/>
  <c r="R383" i="2"/>
  <c r="Q383" i="2"/>
  <c r="E477" i="2"/>
  <c r="P477" i="2"/>
  <c r="S477" i="2" s="1"/>
  <c r="F477" i="2"/>
  <c r="D477" i="2"/>
  <c r="E37" i="2"/>
  <c r="D37" i="2"/>
  <c r="K57" i="2"/>
  <c r="I57" i="2"/>
  <c r="Q148" i="2"/>
  <c r="R148" i="2"/>
  <c r="Q192" i="2"/>
  <c r="R192" i="2"/>
  <c r="R274" i="2"/>
  <c r="Q274" i="2"/>
  <c r="R316" i="2"/>
  <c r="Q316" i="2"/>
  <c r="R354" i="2"/>
  <c r="Q354" i="2"/>
  <c r="R410" i="2"/>
  <c r="Q410" i="2"/>
  <c r="I33" i="2"/>
  <c r="P36" i="2"/>
  <c r="S36" i="2" s="1"/>
  <c r="E36" i="2"/>
  <c r="D47" i="2"/>
  <c r="J57" i="2"/>
  <c r="J64" i="2"/>
  <c r="I64" i="2"/>
  <c r="P69" i="2"/>
  <c r="S69" i="2" s="1"/>
  <c r="I72" i="2"/>
  <c r="P76" i="2"/>
  <c r="S76" i="2" s="1"/>
  <c r="E76" i="2"/>
  <c r="J80" i="2"/>
  <c r="I80" i="2"/>
  <c r="R80" i="2"/>
  <c r="D87" i="2"/>
  <c r="P87" i="2"/>
  <c r="S87" i="2" s="1"/>
  <c r="D95" i="2"/>
  <c r="K154" i="2"/>
  <c r="J154" i="2"/>
  <c r="I154" i="2"/>
  <c r="Q158" i="2"/>
  <c r="R158" i="2"/>
  <c r="F3" i="2"/>
  <c r="E7" i="2"/>
  <c r="D7" i="2"/>
  <c r="K23" i="2"/>
  <c r="E25" i="2"/>
  <c r="D25" i="2"/>
  <c r="D28" i="2"/>
  <c r="P47" i="2"/>
  <c r="S47" i="2" s="1"/>
  <c r="R51" i="2"/>
  <c r="K54" i="2"/>
  <c r="K64" i="2"/>
  <c r="E65" i="2"/>
  <c r="D65" i="2"/>
  <c r="F69" i="2"/>
  <c r="R69" i="2"/>
  <c r="Q71" i="2"/>
  <c r="K72" i="2"/>
  <c r="E73" i="2"/>
  <c r="D73" i="2"/>
  <c r="D76" i="2"/>
  <c r="K80" i="2"/>
  <c r="E83" i="2"/>
  <c r="D83" i="2"/>
  <c r="F87" i="2"/>
  <c r="P88" i="2"/>
  <c r="S88" i="2" s="1"/>
  <c r="F88" i="2"/>
  <c r="Q98" i="2"/>
  <c r="R98" i="2"/>
  <c r="Q110" i="2"/>
  <c r="R110" i="2"/>
  <c r="Q128" i="2"/>
  <c r="R128" i="2"/>
  <c r="Q154" i="2"/>
  <c r="R154" i="2"/>
  <c r="Q175" i="2"/>
  <c r="R175" i="2"/>
  <c r="K202" i="2"/>
  <c r="J202" i="2"/>
  <c r="I202" i="2"/>
  <c r="Q210" i="2"/>
  <c r="R210" i="2"/>
  <c r="R248" i="2"/>
  <c r="Q248" i="2"/>
  <c r="R250" i="2"/>
  <c r="Q250" i="2"/>
  <c r="R261" i="2"/>
  <c r="Q261" i="2"/>
  <c r="R262" i="2"/>
  <c r="Q262" i="2"/>
  <c r="R298" i="2"/>
  <c r="Q298" i="2"/>
  <c r="R330" i="2"/>
  <c r="Q330" i="2"/>
  <c r="D340" i="2"/>
  <c r="P340" i="2"/>
  <c r="S340" i="2" s="1"/>
  <c r="F340" i="2"/>
  <c r="E340" i="2"/>
  <c r="R352" i="2"/>
  <c r="Q352" i="2"/>
  <c r="E459" i="2"/>
  <c r="P459" i="2"/>
  <c r="S459" i="2" s="1"/>
  <c r="F459" i="2"/>
  <c r="D459" i="2"/>
  <c r="I124" i="2"/>
  <c r="Q138" i="2"/>
  <c r="R138" i="2"/>
  <c r="Q140" i="2"/>
  <c r="R140" i="2"/>
  <c r="N174" i="2"/>
  <c r="O174" i="2" s="1"/>
  <c r="Q184" i="2"/>
  <c r="R184" i="2"/>
  <c r="Q194" i="2"/>
  <c r="R194" i="2"/>
  <c r="Q196" i="2"/>
  <c r="R196" i="2"/>
  <c r="Q208" i="2"/>
  <c r="R208" i="2"/>
  <c r="F217" i="2"/>
  <c r="P217" i="2"/>
  <c r="S217" i="2" s="1"/>
  <c r="E217" i="2"/>
  <c r="D217" i="2"/>
  <c r="Q229" i="2"/>
  <c r="R229" i="2"/>
  <c r="I247" i="2"/>
  <c r="K247" i="2"/>
  <c r="I311" i="2"/>
  <c r="K311" i="2"/>
  <c r="J311" i="2"/>
  <c r="E339" i="2"/>
  <c r="P339" i="2"/>
  <c r="S339" i="2" s="1"/>
  <c r="F339" i="2"/>
  <c r="D339" i="2"/>
  <c r="R366" i="2"/>
  <c r="Q366" i="2"/>
  <c r="D376" i="2"/>
  <c r="P376" i="2"/>
  <c r="S376" i="2" s="1"/>
  <c r="F376" i="2"/>
  <c r="E376" i="2"/>
  <c r="R378" i="2"/>
  <c r="Q378" i="2"/>
  <c r="I401" i="2"/>
  <c r="K401" i="2"/>
  <c r="J401" i="2"/>
  <c r="J16" i="2"/>
  <c r="I16" i="2"/>
  <c r="E19" i="2"/>
  <c r="D19" i="2"/>
  <c r="E53" i="2"/>
  <c r="D53" i="2"/>
  <c r="E61" i="2"/>
  <c r="D61" i="2"/>
  <c r="E71" i="2"/>
  <c r="D71" i="2"/>
  <c r="E79" i="2"/>
  <c r="D79" i="2"/>
  <c r="R87" i="2"/>
  <c r="Q87" i="2"/>
  <c r="F95" i="2"/>
  <c r="P95" i="2"/>
  <c r="S95" i="2" s="1"/>
  <c r="K100" i="2"/>
  <c r="J100" i="2"/>
  <c r="I100" i="2"/>
  <c r="Q102" i="2"/>
  <c r="R102" i="2"/>
  <c r="K112" i="2"/>
  <c r="J112" i="2"/>
  <c r="I112" i="2"/>
  <c r="Q130" i="2"/>
  <c r="R130" i="2"/>
  <c r="Q146" i="2"/>
  <c r="R146" i="2"/>
  <c r="K184" i="2"/>
  <c r="J184" i="2"/>
  <c r="I184" i="2"/>
  <c r="R246" i="2"/>
  <c r="Q246" i="2"/>
  <c r="R264" i="2"/>
  <c r="Q264" i="2"/>
  <c r="R346" i="2"/>
  <c r="Q346" i="2"/>
  <c r="R382" i="2"/>
  <c r="Q382" i="2"/>
  <c r="R408" i="2"/>
  <c r="Q408" i="2"/>
  <c r="P18" i="2"/>
  <c r="S18" i="2" s="1"/>
  <c r="E18" i="2"/>
  <c r="F19" i="2"/>
  <c r="D21" i="2"/>
  <c r="D39" i="2"/>
  <c r="P51" i="2"/>
  <c r="S51" i="2" s="1"/>
  <c r="P58" i="2"/>
  <c r="S58" i="2" s="1"/>
  <c r="E58" i="2"/>
  <c r="D69" i="2"/>
  <c r="F109" i="2"/>
  <c r="E109" i="2"/>
  <c r="D109" i="2"/>
  <c r="F11" i="2"/>
  <c r="P11" i="2"/>
  <c r="S11" i="2" s="1"/>
  <c r="I12" i="2"/>
  <c r="I14" i="2"/>
  <c r="D18" i="2"/>
  <c r="J22" i="2"/>
  <c r="I22" i="2"/>
  <c r="P29" i="2"/>
  <c r="S29" i="2" s="1"/>
  <c r="I30" i="2"/>
  <c r="I32" i="2"/>
  <c r="D36" i="2"/>
  <c r="F39" i="2"/>
  <c r="K41" i="2"/>
  <c r="E43" i="2"/>
  <c r="D43" i="2"/>
  <c r="D46" i="2"/>
  <c r="F47" i="2"/>
  <c r="I48" i="2"/>
  <c r="F51" i="2"/>
  <c r="Q53" i="2"/>
  <c r="E55" i="2"/>
  <c r="D55" i="2"/>
  <c r="D58" i="2"/>
  <c r="P3" i="2"/>
  <c r="S3" i="2" s="1"/>
  <c r="P6" i="2"/>
  <c r="S6" i="2" s="1"/>
  <c r="E6" i="2"/>
  <c r="F7" i="2"/>
  <c r="D9" i="2"/>
  <c r="E10" i="2"/>
  <c r="K12" i="2"/>
  <c r="D17" i="2"/>
  <c r="F18" i="2"/>
  <c r="P19" i="2"/>
  <c r="S19" i="2" s="1"/>
  <c r="P21" i="2"/>
  <c r="S21" i="2" s="1"/>
  <c r="K22" i="2"/>
  <c r="P24" i="2"/>
  <c r="S24" i="2" s="1"/>
  <c r="E24" i="2"/>
  <c r="F25" i="2"/>
  <c r="D27" i="2"/>
  <c r="E28" i="2"/>
  <c r="Q29" i="2"/>
  <c r="K30" i="2"/>
  <c r="K32" i="2"/>
  <c r="D35" i="2"/>
  <c r="F36" i="2"/>
  <c r="P37" i="2"/>
  <c r="S37" i="2" s="1"/>
  <c r="P39" i="2"/>
  <c r="S39" i="2" s="1"/>
  <c r="P42" i="2"/>
  <c r="S42" i="2" s="1"/>
  <c r="E42" i="2"/>
  <c r="F43" i="2"/>
  <c r="D45" i="2"/>
  <c r="E46" i="2"/>
  <c r="Q47" i="2"/>
  <c r="K48" i="2"/>
  <c r="P52" i="2"/>
  <c r="S52" i="2" s="1"/>
  <c r="E52" i="2"/>
  <c r="F55" i="2"/>
  <c r="J56" i="2"/>
  <c r="I56" i="2"/>
  <c r="F58" i="2"/>
  <c r="D63" i="2"/>
  <c r="P63" i="2"/>
  <c r="S63" i="2" s="1"/>
  <c r="F65" i="2"/>
  <c r="P65" i="2"/>
  <c r="S65" i="2" s="1"/>
  <c r="I66" i="2"/>
  <c r="P70" i="2"/>
  <c r="S70" i="2" s="1"/>
  <c r="E70" i="2"/>
  <c r="F73" i="2"/>
  <c r="J74" i="2"/>
  <c r="I74" i="2"/>
  <c r="F76" i="2"/>
  <c r="D81" i="2"/>
  <c r="P81" i="2"/>
  <c r="S81" i="2" s="1"/>
  <c r="F83" i="2"/>
  <c r="P83" i="2"/>
  <c r="S83" i="2" s="1"/>
  <c r="D88" i="2"/>
  <c r="R89" i="2"/>
  <c r="I92" i="2"/>
  <c r="R113" i="2"/>
  <c r="D6" i="2"/>
  <c r="F9" i="2"/>
  <c r="F10" i="2"/>
  <c r="R11" i="2"/>
  <c r="N12" i="2"/>
  <c r="O12" i="2" s="1"/>
  <c r="E13" i="2"/>
  <c r="D13" i="2"/>
  <c r="D16" i="2"/>
  <c r="F17" i="2"/>
  <c r="P17" i="2"/>
  <c r="S17" i="2" s="1"/>
  <c r="I20" i="2"/>
  <c r="D24" i="2"/>
  <c r="F27" i="2"/>
  <c r="F28" i="2"/>
  <c r="N30" i="2"/>
  <c r="O30" i="2" s="1"/>
  <c r="E31" i="2"/>
  <c r="D31" i="2"/>
  <c r="D34" i="2"/>
  <c r="F35" i="2"/>
  <c r="P35" i="2"/>
  <c r="S35" i="2" s="1"/>
  <c r="I38" i="2"/>
  <c r="D42" i="2"/>
  <c r="F45" i="2"/>
  <c r="F46" i="2"/>
  <c r="N48" i="2"/>
  <c r="O48" i="2" s="1"/>
  <c r="E49" i="2"/>
  <c r="D49" i="2"/>
  <c r="D52" i="2"/>
  <c r="P55" i="2"/>
  <c r="S55" i="2" s="1"/>
  <c r="K56" i="2"/>
  <c r="E59" i="2"/>
  <c r="D59" i="2"/>
  <c r="F63" i="2"/>
  <c r="K66" i="2"/>
  <c r="E67" i="2"/>
  <c r="D67" i="2"/>
  <c r="D70" i="2"/>
  <c r="P73" i="2"/>
  <c r="S73" i="2" s="1"/>
  <c r="K74" i="2"/>
  <c r="E77" i="2"/>
  <c r="D77" i="2"/>
  <c r="F81" i="2"/>
  <c r="E85" i="2"/>
  <c r="D85" i="2"/>
  <c r="E88" i="2"/>
  <c r="N90" i="2"/>
  <c r="O90" i="2" s="1"/>
  <c r="J92" i="2"/>
  <c r="R92" i="2"/>
  <c r="R119" i="2"/>
  <c r="F121" i="2"/>
  <c r="E121" i="2"/>
  <c r="D121" i="2"/>
  <c r="N124" i="2"/>
  <c r="O124" i="2" s="1"/>
  <c r="N125" i="2"/>
  <c r="O125" i="2" s="1"/>
  <c r="Q150" i="2"/>
  <c r="R150" i="2"/>
  <c r="Q152" i="2"/>
  <c r="R152" i="2"/>
  <c r="Q166" i="2"/>
  <c r="R166" i="2"/>
  <c r="Q172" i="2"/>
  <c r="R172" i="2"/>
  <c r="K220" i="2"/>
  <c r="J220" i="2"/>
  <c r="I220" i="2"/>
  <c r="Q228" i="2"/>
  <c r="R228" i="2"/>
  <c r="R270" i="2"/>
  <c r="Q270" i="2"/>
  <c r="J322" i="2"/>
  <c r="K322" i="2"/>
  <c r="I322" i="2"/>
  <c r="R342" i="2"/>
  <c r="Q342" i="2"/>
  <c r="E375" i="2"/>
  <c r="P375" i="2"/>
  <c r="S375" i="2" s="1"/>
  <c r="F375" i="2"/>
  <c r="D375" i="2"/>
  <c r="I34" i="2"/>
  <c r="K75" i="2"/>
  <c r="I75" i="2"/>
  <c r="K142" i="2"/>
  <c r="F235" i="2"/>
  <c r="P235" i="2"/>
  <c r="S235" i="2" s="1"/>
  <c r="E235" i="2"/>
  <c r="D235" i="2"/>
  <c r="J244" i="2"/>
  <c r="I244" i="2"/>
  <c r="K244" i="2"/>
  <c r="J358" i="2"/>
  <c r="K358" i="2"/>
  <c r="I358" i="2"/>
  <c r="R406" i="2"/>
  <c r="Q406" i="2"/>
  <c r="E495" i="2"/>
  <c r="P495" i="2"/>
  <c r="S495" i="2" s="1"/>
  <c r="F495" i="2"/>
  <c r="D495" i="2"/>
  <c r="D3" i="2"/>
  <c r="D11" i="2"/>
  <c r="K16" i="2"/>
  <c r="J23" i="2"/>
  <c r="D29" i="2"/>
  <c r="F37" i="2"/>
  <c r="J41" i="2"/>
  <c r="D51" i="2"/>
  <c r="F53" i="2"/>
  <c r="I54" i="2"/>
  <c r="F61" i="2"/>
  <c r="J62" i="2"/>
  <c r="I62" i="2"/>
  <c r="R62" i="2"/>
  <c r="P71" i="2"/>
  <c r="S71" i="2" s="1"/>
  <c r="J75" i="2"/>
  <c r="F79" i="2"/>
  <c r="J82" i="2"/>
  <c r="I82" i="2"/>
  <c r="F97" i="2"/>
  <c r="E97" i="2"/>
  <c r="D97" i="2"/>
  <c r="Q112" i="2"/>
  <c r="R112" i="2"/>
  <c r="Q142" i="2"/>
  <c r="R142" i="2"/>
  <c r="J4" i="2"/>
  <c r="I4" i="2"/>
  <c r="K5" i="2"/>
  <c r="D10" i="2"/>
  <c r="F21" i="2"/>
  <c r="F29" i="2"/>
  <c r="J33" i="2"/>
  <c r="J40" i="2"/>
  <c r="I40" i="2"/>
  <c r="K14" i="2"/>
  <c r="F6" i="2"/>
  <c r="P7" i="2"/>
  <c r="S7" i="2" s="1"/>
  <c r="P9" i="2"/>
  <c r="S9" i="2" s="1"/>
  <c r="P12" i="2"/>
  <c r="S12" i="2" s="1"/>
  <c r="E12" i="2"/>
  <c r="E16" i="2"/>
  <c r="K20" i="2"/>
  <c r="F24" i="2"/>
  <c r="P25" i="2"/>
  <c r="S25" i="2" s="1"/>
  <c r="P27" i="2"/>
  <c r="S27" i="2" s="1"/>
  <c r="P30" i="2"/>
  <c r="S30" i="2" s="1"/>
  <c r="E30" i="2"/>
  <c r="E34" i="2"/>
  <c r="K38" i="2"/>
  <c r="F42" i="2"/>
  <c r="P43" i="2"/>
  <c r="S43" i="2" s="1"/>
  <c r="P45" i="2"/>
  <c r="S45" i="2" s="1"/>
  <c r="P48" i="2"/>
  <c r="S48" i="2" s="1"/>
  <c r="E48" i="2"/>
  <c r="J50" i="2"/>
  <c r="I50" i="2"/>
  <c r="F52" i="2"/>
  <c r="N58" i="2"/>
  <c r="O58" i="2" s="1"/>
  <c r="P64" i="2"/>
  <c r="S64" i="2" s="1"/>
  <c r="E64" i="2"/>
  <c r="N66" i="2"/>
  <c r="O66" i="2" s="1"/>
  <c r="J68" i="2"/>
  <c r="I68" i="2"/>
  <c r="F70" i="2"/>
  <c r="N76" i="2"/>
  <c r="O76" i="2" s="1"/>
  <c r="P82" i="2"/>
  <c r="S82" i="2" s="1"/>
  <c r="E82" i="2"/>
  <c r="N84" i="2"/>
  <c r="O84" i="2" s="1"/>
  <c r="J86" i="2"/>
  <c r="I86" i="2"/>
  <c r="P97" i="2"/>
  <c r="S97" i="2" s="1"/>
  <c r="R101" i="2"/>
  <c r="Q106" i="2"/>
  <c r="R106" i="2"/>
  <c r="P109" i="2"/>
  <c r="S109" i="2" s="1"/>
  <c r="Q122" i="2"/>
  <c r="R122" i="2"/>
  <c r="K130" i="2"/>
  <c r="J130" i="2"/>
  <c r="I130" i="2"/>
  <c r="Q134" i="2"/>
  <c r="R134" i="2"/>
  <c r="Q136" i="2"/>
  <c r="R136" i="2"/>
  <c r="F163" i="2"/>
  <c r="P163" i="2"/>
  <c r="S163" i="2" s="1"/>
  <c r="E163" i="2"/>
  <c r="D163" i="2"/>
  <c r="F181" i="2"/>
  <c r="P181" i="2"/>
  <c r="S181" i="2" s="1"/>
  <c r="E181" i="2"/>
  <c r="D181" i="2"/>
  <c r="Q193" i="2"/>
  <c r="R193" i="2"/>
  <c r="Q202" i="2"/>
  <c r="R202" i="2"/>
  <c r="Q212" i="2"/>
  <c r="R212" i="2"/>
  <c r="Q214" i="2"/>
  <c r="R214" i="2"/>
  <c r="Q226" i="2"/>
  <c r="R226" i="2"/>
  <c r="D256" i="2"/>
  <c r="P256" i="2"/>
  <c r="S256" i="2" s="1"/>
  <c r="F256" i="2"/>
  <c r="E256" i="2"/>
  <c r="R277" i="2"/>
  <c r="Q277" i="2"/>
  <c r="R278" i="2"/>
  <c r="Q278" i="2"/>
  <c r="I293" i="2"/>
  <c r="K293" i="2"/>
  <c r="R308" i="2"/>
  <c r="Q308" i="2"/>
  <c r="J242" i="2"/>
  <c r="K242" i="2"/>
  <c r="R245" i="2"/>
  <c r="Q245" i="2"/>
  <c r="E249" i="2"/>
  <c r="P249" i="2"/>
  <c r="S249" i="2" s="1"/>
  <c r="F249" i="2"/>
  <c r="E251" i="2"/>
  <c r="F251" i="2"/>
  <c r="D254" i="2"/>
  <c r="P254" i="2"/>
  <c r="S254" i="2" s="1"/>
  <c r="E254" i="2"/>
  <c r="F254" i="2"/>
  <c r="R258" i="2"/>
  <c r="Q258" i="2"/>
  <c r="J282" i="2"/>
  <c r="K282" i="2"/>
  <c r="I282" i="2"/>
  <c r="R287" i="2"/>
  <c r="Q287" i="2"/>
  <c r="D292" i="2"/>
  <c r="P292" i="2"/>
  <c r="S292" i="2" s="1"/>
  <c r="F292" i="2"/>
  <c r="E292" i="2"/>
  <c r="R294" i="2"/>
  <c r="Q294" i="2"/>
  <c r="R295" i="2"/>
  <c r="Q295" i="2"/>
  <c r="J300" i="2"/>
  <c r="K300" i="2"/>
  <c r="I300" i="2"/>
  <c r="R305" i="2"/>
  <c r="Q305" i="2"/>
  <c r="D310" i="2"/>
  <c r="P310" i="2"/>
  <c r="S310" i="2" s="1"/>
  <c r="F310" i="2"/>
  <c r="E310" i="2"/>
  <c r="R312" i="2"/>
  <c r="Q312" i="2"/>
  <c r="R313" i="2"/>
  <c r="Q313" i="2"/>
  <c r="J318" i="2"/>
  <c r="K318" i="2"/>
  <c r="I318" i="2"/>
  <c r="R325" i="2"/>
  <c r="Q325" i="2"/>
  <c r="I335" i="2"/>
  <c r="K335" i="2"/>
  <c r="J335" i="2"/>
  <c r="Q345" i="2"/>
  <c r="R345" i="2"/>
  <c r="J354" i="2"/>
  <c r="K354" i="2"/>
  <c r="I354" i="2"/>
  <c r="R361" i="2"/>
  <c r="Q361" i="2"/>
  <c r="I371" i="2"/>
  <c r="K371" i="2"/>
  <c r="J371" i="2"/>
  <c r="D382" i="2"/>
  <c r="P382" i="2"/>
  <c r="S382" i="2" s="1"/>
  <c r="F382" i="2"/>
  <c r="R387" i="2"/>
  <c r="Q387" i="2"/>
  <c r="I395" i="2"/>
  <c r="K395" i="2"/>
  <c r="J395" i="2"/>
  <c r="R405" i="2"/>
  <c r="Q405" i="2"/>
  <c r="R412" i="2"/>
  <c r="Q412" i="2"/>
  <c r="R414" i="2"/>
  <c r="Q414" i="2"/>
  <c r="J438" i="2"/>
  <c r="K438" i="2"/>
  <c r="J440" i="2"/>
  <c r="K440" i="2"/>
  <c r="I440" i="2"/>
  <c r="R446" i="2"/>
  <c r="Q446" i="2"/>
  <c r="Q453" i="2"/>
  <c r="R453" i="2"/>
  <c r="F89" i="2"/>
  <c r="P89" i="2"/>
  <c r="S89" i="2" s="1"/>
  <c r="N96" i="2"/>
  <c r="O96" i="2" s="1"/>
  <c r="F101" i="2"/>
  <c r="P101" i="2"/>
  <c r="S101" i="2" s="1"/>
  <c r="N108" i="2"/>
  <c r="O108" i="2" s="1"/>
  <c r="F113" i="2"/>
  <c r="P113" i="2"/>
  <c r="S113" i="2" s="1"/>
  <c r="N120" i="2"/>
  <c r="O120" i="2" s="1"/>
  <c r="F125" i="2"/>
  <c r="P125" i="2"/>
  <c r="S125" i="2" s="1"/>
  <c r="F133" i="2"/>
  <c r="E133" i="2"/>
  <c r="D133" i="2"/>
  <c r="R133" i="2"/>
  <c r="F145" i="2"/>
  <c r="E145" i="2"/>
  <c r="D145" i="2"/>
  <c r="R145" i="2"/>
  <c r="F157" i="2"/>
  <c r="E157" i="2"/>
  <c r="D157" i="2"/>
  <c r="R157" i="2"/>
  <c r="N162" i="2"/>
  <c r="O162" i="2" s="1"/>
  <c r="F169" i="2"/>
  <c r="P169" i="2"/>
  <c r="S169" i="2" s="1"/>
  <c r="E169" i="2"/>
  <c r="D169" i="2"/>
  <c r="K172" i="2"/>
  <c r="J172" i="2"/>
  <c r="I172" i="2"/>
  <c r="N180" i="2"/>
  <c r="O180" i="2" s="1"/>
  <c r="F187" i="2"/>
  <c r="P187" i="2"/>
  <c r="S187" i="2" s="1"/>
  <c r="E187" i="2"/>
  <c r="D187" i="2"/>
  <c r="K190" i="2"/>
  <c r="J190" i="2"/>
  <c r="I190" i="2"/>
  <c r="N198" i="2"/>
  <c r="O198" i="2" s="1"/>
  <c r="F205" i="2"/>
  <c r="P205" i="2"/>
  <c r="S205" i="2" s="1"/>
  <c r="E205" i="2"/>
  <c r="D205" i="2"/>
  <c r="K208" i="2"/>
  <c r="J208" i="2"/>
  <c r="I208" i="2"/>
  <c r="N216" i="2"/>
  <c r="O216" i="2" s="1"/>
  <c r="F223" i="2"/>
  <c r="P223" i="2"/>
  <c r="S223" i="2" s="1"/>
  <c r="E223" i="2"/>
  <c r="D223" i="2"/>
  <c r="K226" i="2"/>
  <c r="J226" i="2"/>
  <c r="Q232" i="2"/>
  <c r="R232" i="2"/>
  <c r="Q234" i="2"/>
  <c r="R234" i="2"/>
  <c r="R243" i="2"/>
  <c r="Q243" i="2"/>
  <c r="R259" i="2"/>
  <c r="Q259" i="2"/>
  <c r="J280" i="2"/>
  <c r="K280" i="2"/>
  <c r="I283" i="2"/>
  <c r="K283" i="2"/>
  <c r="R284" i="2"/>
  <c r="Q284" i="2"/>
  <c r="R286" i="2"/>
  <c r="Q286" i="2"/>
  <c r="R289" i="2"/>
  <c r="I301" i="2"/>
  <c r="K301" i="2"/>
  <c r="R302" i="2"/>
  <c r="R304" i="2"/>
  <c r="Q304" i="2"/>
  <c r="R307" i="2"/>
  <c r="I319" i="2"/>
  <c r="K319" i="2"/>
  <c r="R322" i="2"/>
  <c r="Q322" i="2"/>
  <c r="R328" i="2"/>
  <c r="Q328" i="2"/>
  <c r="J334" i="2"/>
  <c r="K334" i="2"/>
  <c r="I334" i="2"/>
  <c r="E351" i="2"/>
  <c r="P351" i="2"/>
  <c r="S351" i="2" s="1"/>
  <c r="F351" i="2"/>
  <c r="D352" i="2"/>
  <c r="P352" i="2"/>
  <c r="S352" i="2" s="1"/>
  <c r="F352" i="2"/>
  <c r="E352" i="2"/>
  <c r="I355" i="2"/>
  <c r="K355" i="2"/>
  <c r="R358" i="2"/>
  <c r="Q358" i="2"/>
  <c r="R364" i="2"/>
  <c r="Q364" i="2"/>
  <c r="J370" i="2"/>
  <c r="K370" i="2"/>
  <c r="I370" i="2"/>
  <c r="J378" i="2"/>
  <c r="K378" i="2"/>
  <c r="I378" i="2"/>
  <c r="D386" i="2"/>
  <c r="P386" i="2"/>
  <c r="S386" i="2" s="1"/>
  <c r="F386" i="2"/>
  <c r="E386" i="2"/>
  <c r="R388" i="2"/>
  <c r="Q388" i="2"/>
  <c r="R389" i="2"/>
  <c r="Q389" i="2"/>
  <c r="R391" i="2"/>
  <c r="Q391" i="2"/>
  <c r="J394" i="2"/>
  <c r="K394" i="2"/>
  <c r="I394" i="2"/>
  <c r="R404" i="2"/>
  <c r="Q404" i="2"/>
  <c r="R416" i="2"/>
  <c r="R418" i="2"/>
  <c r="Q418" i="2"/>
  <c r="K429" i="2"/>
  <c r="J429" i="2"/>
  <c r="I429" i="2"/>
  <c r="R451" i="2"/>
  <c r="Q451" i="2"/>
  <c r="D466" i="2"/>
  <c r="P466" i="2"/>
  <c r="S466" i="2" s="1"/>
  <c r="F466" i="2"/>
  <c r="E466" i="2"/>
  <c r="D484" i="2"/>
  <c r="P484" i="2"/>
  <c r="S484" i="2" s="1"/>
  <c r="F484" i="2"/>
  <c r="E484" i="2"/>
  <c r="R240" i="2"/>
  <c r="Q240" i="2"/>
  <c r="Q252" i="2"/>
  <c r="Q260" i="2"/>
  <c r="J264" i="2"/>
  <c r="K264" i="2"/>
  <c r="I264" i="2"/>
  <c r="R269" i="2"/>
  <c r="Q269" i="2"/>
  <c r="I275" i="2"/>
  <c r="K275" i="2"/>
  <c r="D276" i="2"/>
  <c r="P276" i="2"/>
  <c r="S276" i="2" s="1"/>
  <c r="F276" i="2"/>
  <c r="E276" i="2"/>
  <c r="J278" i="2"/>
  <c r="K278" i="2"/>
  <c r="R281" i="2"/>
  <c r="Q281" i="2"/>
  <c r="J283" i="2"/>
  <c r="E285" i="2"/>
  <c r="P285" i="2"/>
  <c r="S285" i="2" s="1"/>
  <c r="F285" i="2"/>
  <c r="E287" i="2"/>
  <c r="F287" i="2"/>
  <c r="D290" i="2"/>
  <c r="P290" i="2"/>
  <c r="S290" i="2" s="1"/>
  <c r="E290" i="2"/>
  <c r="F290" i="2"/>
  <c r="J298" i="2"/>
  <c r="I298" i="2"/>
  <c r="K298" i="2"/>
  <c r="R299" i="2"/>
  <c r="Q299" i="2"/>
  <c r="J301" i="2"/>
  <c r="E303" i="2"/>
  <c r="P303" i="2"/>
  <c r="S303" i="2" s="1"/>
  <c r="F303" i="2"/>
  <c r="E305" i="2"/>
  <c r="F305" i="2"/>
  <c r="D308" i="2"/>
  <c r="P308" i="2"/>
  <c r="S308" i="2" s="1"/>
  <c r="E308" i="2"/>
  <c r="F308" i="2"/>
  <c r="J316" i="2"/>
  <c r="I316" i="2"/>
  <c r="K316" i="2"/>
  <c r="J319" i="2"/>
  <c r="R321" i="2"/>
  <c r="J330" i="2"/>
  <c r="K330" i="2"/>
  <c r="I330" i="2"/>
  <c r="R337" i="2"/>
  <c r="Q337" i="2"/>
  <c r="I347" i="2"/>
  <c r="K347" i="2"/>
  <c r="J347" i="2"/>
  <c r="D351" i="2"/>
  <c r="J355" i="2"/>
  <c r="Q357" i="2"/>
  <c r="R357" i="2"/>
  <c r="J366" i="2"/>
  <c r="K366" i="2"/>
  <c r="I366" i="2"/>
  <c r="R373" i="2"/>
  <c r="E381" i="2"/>
  <c r="P381" i="2"/>
  <c r="S381" i="2" s="1"/>
  <c r="F381" i="2"/>
  <c r="D381" i="2"/>
  <c r="R397" i="2"/>
  <c r="Q397" i="2"/>
  <c r="R400" i="2"/>
  <c r="Q400" i="2"/>
  <c r="R420" i="2"/>
  <c r="Q420" i="2"/>
  <c r="R422" i="2"/>
  <c r="Q422" i="2"/>
  <c r="K435" i="2"/>
  <c r="J435" i="2"/>
  <c r="I435" i="2"/>
  <c r="R440" i="2"/>
  <c r="Q440" i="2"/>
  <c r="R452" i="2"/>
  <c r="Q452" i="2"/>
  <c r="E54" i="2"/>
  <c r="E60" i="2"/>
  <c r="E66" i="2"/>
  <c r="E72" i="2"/>
  <c r="E78" i="2"/>
  <c r="E84" i="2"/>
  <c r="E89" i="2"/>
  <c r="F91" i="2"/>
  <c r="E91" i="2"/>
  <c r="D91" i="2"/>
  <c r="P91" i="2"/>
  <c r="S91" i="2" s="1"/>
  <c r="K94" i="2"/>
  <c r="J94" i="2"/>
  <c r="I94" i="2"/>
  <c r="J98" i="2"/>
  <c r="E101" i="2"/>
  <c r="F103" i="2"/>
  <c r="E103" i="2"/>
  <c r="D103" i="2"/>
  <c r="P103" i="2"/>
  <c r="S103" i="2" s="1"/>
  <c r="K106" i="2"/>
  <c r="J106" i="2"/>
  <c r="I106" i="2"/>
  <c r="J110" i="2"/>
  <c r="E113" i="2"/>
  <c r="F115" i="2"/>
  <c r="E115" i="2"/>
  <c r="D115" i="2"/>
  <c r="P115" i="2"/>
  <c r="S115" i="2" s="1"/>
  <c r="K118" i="2"/>
  <c r="J118" i="2"/>
  <c r="I118" i="2"/>
  <c r="J122" i="2"/>
  <c r="E125" i="2"/>
  <c r="F127" i="2"/>
  <c r="E127" i="2"/>
  <c r="D127" i="2"/>
  <c r="P127" i="2"/>
  <c r="S127" i="2" s="1"/>
  <c r="N132" i="2"/>
  <c r="O132" i="2" s="1"/>
  <c r="K136" i="2"/>
  <c r="J136" i="2"/>
  <c r="I136" i="2"/>
  <c r="N144" i="2"/>
  <c r="O144" i="2" s="1"/>
  <c r="K148" i="2"/>
  <c r="J148" i="2"/>
  <c r="I148" i="2"/>
  <c r="N156" i="2"/>
  <c r="O156" i="2" s="1"/>
  <c r="K160" i="2"/>
  <c r="J160" i="2"/>
  <c r="I160" i="2"/>
  <c r="R163" i="2"/>
  <c r="R164" i="2"/>
  <c r="N168" i="2"/>
  <c r="O168" i="2" s="1"/>
  <c r="F175" i="2"/>
  <c r="P175" i="2"/>
  <c r="S175" i="2" s="1"/>
  <c r="E175" i="2"/>
  <c r="D175" i="2"/>
  <c r="K178" i="2"/>
  <c r="J178" i="2"/>
  <c r="I178" i="2"/>
  <c r="R181" i="2"/>
  <c r="R182" i="2"/>
  <c r="N186" i="2"/>
  <c r="O186" i="2" s="1"/>
  <c r="F193" i="2"/>
  <c r="P193" i="2"/>
  <c r="S193" i="2" s="1"/>
  <c r="E193" i="2"/>
  <c r="D193" i="2"/>
  <c r="K196" i="2"/>
  <c r="J196" i="2"/>
  <c r="I196" i="2"/>
  <c r="R199" i="2"/>
  <c r="R200" i="2"/>
  <c r="N204" i="2"/>
  <c r="O204" i="2" s="1"/>
  <c r="F211" i="2"/>
  <c r="P211" i="2"/>
  <c r="S211" i="2" s="1"/>
  <c r="E211" i="2"/>
  <c r="D211" i="2"/>
  <c r="K214" i="2"/>
  <c r="J214" i="2"/>
  <c r="I214" i="2"/>
  <c r="R217" i="2"/>
  <c r="R218" i="2"/>
  <c r="N222" i="2"/>
  <c r="O222" i="2" s="1"/>
  <c r="F229" i="2"/>
  <c r="P229" i="2"/>
  <c r="S229" i="2" s="1"/>
  <c r="E229" i="2"/>
  <c r="D229" i="2"/>
  <c r="K232" i="2"/>
  <c r="J232" i="2"/>
  <c r="I232" i="2"/>
  <c r="Q238" i="2"/>
  <c r="R238" i="2"/>
  <c r="R241" i="2"/>
  <c r="Q241" i="2"/>
  <c r="R254" i="2"/>
  <c r="Q254" i="2"/>
  <c r="J262" i="2"/>
  <c r="I262" i="2"/>
  <c r="K262" i="2"/>
  <c r="I265" i="2"/>
  <c r="R266" i="2"/>
  <c r="Q266" i="2"/>
  <c r="R268" i="2"/>
  <c r="Q268" i="2"/>
  <c r="D274" i="2"/>
  <c r="P274" i="2"/>
  <c r="S274" i="2" s="1"/>
  <c r="F274" i="2"/>
  <c r="E274" i="2"/>
  <c r="R279" i="2"/>
  <c r="Q279" i="2"/>
  <c r="R292" i="2"/>
  <c r="Q292" i="2"/>
  <c r="J296" i="2"/>
  <c r="K296" i="2"/>
  <c r="R310" i="2"/>
  <c r="Q310" i="2"/>
  <c r="Q311" i="2"/>
  <c r="J314" i="2"/>
  <c r="K314" i="2"/>
  <c r="E327" i="2"/>
  <c r="P327" i="2"/>
  <c r="S327" i="2" s="1"/>
  <c r="F327" i="2"/>
  <c r="D328" i="2"/>
  <c r="P328" i="2"/>
  <c r="S328" i="2" s="1"/>
  <c r="F328" i="2"/>
  <c r="E328" i="2"/>
  <c r="I331" i="2"/>
  <c r="K331" i="2"/>
  <c r="R334" i="2"/>
  <c r="Q334" i="2"/>
  <c r="R340" i="2"/>
  <c r="Q340" i="2"/>
  <c r="J346" i="2"/>
  <c r="K346" i="2"/>
  <c r="I346" i="2"/>
  <c r="E363" i="2"/>
  <c r="P363" i="2"/>
  <c r="S363" i="2" s="1"/>
  <c r="F363" i="2"/>
  <c r="D364" i="2"/>
  <c r="P364" i="2"/>
  <c r="S364" i="2" s="1"/>
  <c r="F364" i="2"/>
  <c r="E364" i="2"/>
  <c r="I367" i="2"/>
  <c r="K367" i="2"/>
  <c r="R370" i="2"/>
  <c r="Q370" i="2"/>
  <c r="R376" i="2"/>
  <c r="Q376" i="2"/>
  <c r="J384" i="2"/>
  <c r="K384" i="2"/>
  <c r="R394" i="2"/>
  <c r="Q394" i="2"/>
  <c r="R424" i="2"/>
  <c r="Q424" i="2"/>
  <c r="R426" i="2"/>
  <c r="Q426" i="2"/>
  <c r="R427" i="2"/>
  <c r="Q427" i="2"/>
  <c r="R433" i="2"/>
  <c r="Q433" i="2"/>
  <c r="F107" i="2"/>
  <c r="P107" i="2"/>
  <c r="S107" i="2" s="1"/>
  <c r="N114" i="2"/>
  <c r="O114" i="2" s="1"/>
  <c r="F119" i="2"/>
  <c r="P119" i="2"/>
  <c r="S119" i="2" s="1"/>
  <c r="N126" i="2"/>
  <c r="O126" i="2" s="1"/>
  <c r="F139" i="2"/>
  <c r="E139" i="2"/>
  <c r="D139" i="2"/>
  <c r="F151" i="2"/>
  <c r="E151" i="2"/>
  <c r="D151" i="2"/>
  <c r="J246" i="2"/>
  <c r="K246" i="2"/>
  <c r="I246" i="2"/>
  <c r="R251" i="2"/>
  <c r="Q251" i="2"/>
  <c r="I257" i="2"/>
  <c r="K257" i="2"/>
  <c r="D258" i="2"/>
  <c r="P258" i="2"/>
  <c r="S258" i="2" s="1"/>
  <c r="F258" i="2"/>
  <c r="E258" i="2"/>
  <c r="J260" i="2"/>
  <c r="K260" i="2"/>
  <c r="R263" i="2"/>
  <c r="Q263" i="2"/>
  <c r="E267" i="2"/>
  <c r="P267" i="2"/>
  <c r="S267" i="2" s="1"/>
  <c r="F267" i="2"/>
  <c r="E269" i="2"/>
  <c r="F269" i="2"/>
  <c r="D272" i="2"/>
  <c r="P272" i="2"/>
  <c r="S272" i="2" s="1"/>
  <c r="E272" i="2"/>
  <c r="F272" i="2"/>
  <c r="Q280" i="2"/>
  <c r="R282" i="2"/>
  <c r="Q282" i="2"/>
  <c r="D294" i="2"/>
  <c r="P294" i="2"/>
  <c r="S294" i="2" s="1"/>
  <c r="F294" i="2"/>
  <c r="E294" i="2"/>
  <c r="R297" i="2"/>
  <c r="Q297" i="2"/>
  <c r="R300" i="2"/>
  <c r="Q300" i="2"/>
  <c r="D312" i="2"/>
  <c r="P312" i="2"/>
  <c r="S312" i="2" s="1"/>
  <c r="F312" i="2"/>
  <c r="E312" i="2"/>
  <c r="R315" i="2"/>
  <c r="Q315" i="2"/>
  <c r="R318" i="2"/>
  <c r="Q318" i="2"/>
  <c r="I323" i="2"/>
  <c r="K323" i="2"/>
  <c r="J323" i="2"/>
  <c r="J331" i="2"/>
  <c r="Q333" i="2"/>
  <c r="R333" i="2"/>
  <c r="J342" i="2"/>
  <c r="K342" i="2"/>
  <c r="I342" i="2"/>
  <c r="R349" i="2"/>
  <c r="Q349" i="2"/>
  <c r="I359" i="2"/>
  <c r="K359" i="2"/>
  <c r="J359" i="2"/>
  <c r="D363" i="2"/>
  <c r="J367" i="2"/>
  <c r="Q369" i="2"/>
  <c r="R369" i="2"/>
  <c r="I384" i="2"/>
  <c r="E387" i="2"/>
  <c r="P387" i="2"/>
  <c r="S387" i="2" s="1"/>
  <c r="F387" i="2"/>
  <c r="J388" i="2"/>
  <c r="K388" i="2"/>
  <c r="I388" i="2"/>
  <c r="D392" i="2"/>
  <c r="P392" i="2"/>
  <c r="S392" i="2" s="1"/>
  <c r="F392" i="2"/>
  <c r="E392" i="2"/>
  <c r="R393" i="2"/>
  <c r="Q393" i="2"/>
  <c r="R399" i="2"/>
  <c r="Q399" i="2"/>
  <c r="Q447" i="2"/>
  <c r="R447" i="2"/>
  <c r="R454" i="2"/>
  <c r="Q454" i="2"/>
  <c r="I461" i="2"/>
  <c r="K461" i="2"/>
  <c r="J461" i="2"/>
  <c r="J462" i="2"/>
  <c r="K462" i="2"/>
  <c r="I462" i="2"/>
  <c r="R472" i="2"/>
  <c r="Q472" i="2"/>
  <c r="I479" i="2"/>
  <c r="K479" i="2"/>
  <c r="J479" i="2"/>
  <c r="J480" i="2"/>
  <c r="K480" i="2"/>
  <c r="I480" i="2"/>
  <c r="R490" i="2"/>
  <c r="Q490" i="2"/>
  <c r="I497" i="2"/>
  <c r="K497" i="2"/>
  <c r="J497" i="2"/>
  <c r="J498" i="2"/>
  <c r="K498" i="2"/>
  <c r="I498" i="2"/>
  <c r="J450" i="2"/>
  <c r="K450" i="2"/>
  <c r="I450" i="2"/>
  <c r="R455" i="2"/>
  <c r="Q455" i="2"/>
  <c r="R473" i="2"/>
  <c r="Q473" i="2"/>
  <c r="R491" i="2"/>
  <c r="Q491" i="2"/>
  <c r="I131" i="2"/>
  <c r="I137" i="2"/>
  <c r="P137" i="2"/>
  <c r="S137" i="2" s="1"/>
  <c r="I143" i="2"/>
  <c r="I149" i="2"/>
  <c r="P149" i="2"/>
  <c r="S149" i="2" s="1"/>
  <c r="P155" i="2"/>
  <c r="S155" i="2" s="1"/>
  <c r="E243" i="2"/>
  <c r="P243" i="2"/>
  <c r="S243" i="2" s="1"/>
  <c r="F243" i="2"/>
  <c r="P131" i="2"/>
  <c r="S131" i="2" s="1"/>
  <c r="P143" i="2"/>
  <c r="S143" i="2" s="1"/>
  <c r="I155" i="2"/>
  <c r="E261" i="2"/>
  <c r="P261" i="2"/>
  <c r="S261" i="2" s="1"/>
  <c r="F261" i="2"/>
  <c r="E279" i="2"/>
  <c r="P279" i="2"/>
  <c r="S279" i="2" s="1"/>
  <c r="F279" i="2"/>
  <c r="E297" i="2"/>
  <c r="P297" i="2"/>
  <c r="S297" i="2" s="1"/>
  <c r="F297" i="2"/>
  <c r="E315" i="2"/>
  <c r="P315" i="2"/>
  <c r="S315" i="2" s="1"/>
  <c r="F315" i="2"/>
  <c r="D320" i="2"/>
  <c r="P320" i="2"/>
  <c r="S320" i="2" s="1"/>
  <c r="F320" i="2"/>
  <c r="E320" i="2"/>
  <c r="D332" i="2"/>
  <c r="P332" i="2"/>
  <c r="S332" i="2" s="1"/>
  <c r="F332" i="2"/>
  <c r="E332" i="2"/>
  <c r="D344" i="2"/>
  <c r="P344" i="2"/>
  <c r="S344" i="2" s="1"/>
  <c r="F344" i="2"/>
  <c r="E344" i="2"/>
  <c r="D356" i="2"/>
  <c r="P356" i="2"/>
  <c r="S356" i="2" s="1"/>
  <c r="F356" i="2"/>
  <c r="E356" i="2"/>
  <c r="D368" i="2"/>
  <c r="P368" i="2"/>
  <c r="S368" i="2" s="1"/>
  <c r="F368" i="2"/>
  <c r="E368" i="2"/>
  <c r="D380" i="2"/>
  <c r="P380" i="2"/>
  <c r="S380" i="2" s="1"/>
  <c r="F380" i="2"/>
  <c r="E380" i="2"/>
  <c r="I389" i="2"/>
  <c r="K389" i="2"/>
  <c r="R398" i="2"/>
  <c r="Q398" i="2"/>
  <c r="D406" i="2"/>
  <c r="P406" i="2"/>
  <c r="S406" i="2" s="1"/>
  <c r="J428" i="2"/>
  <c r="K428" i="2"/>
  <c r="I428" i="2"/>
  <c r="Q429" i="2"/>
  <c r="R429" i="2"/>
  <c r="K433" i="2"/>
  <c r="J433" i="2"/>
  <c r="I433" i="2"/>
  <c r="R439" i="2"/>
  <c r="Q439" i="2"/>
  <c r="R467" i="2"/>
  <c r="Q467" i="2"/>
  <c r="Q471" i="2"/>
  <c r="R471" i="2"/>
  <c r="R485" i="2"/>
  <c r="Q485" i="2"/>
  <c r="Q489" i="2"/>
  <c r="R489" i="2"/>
  <c r="N93" i="2"/>
  <c r="O93" i="2" s="1"/>
  <c r="N99" i="2"/>
  <c r="O99" i="2" s="1"/>
  <c r="N105" i="2"/>
  <c r="O105" i="2" s="1"/>
  <c r="N111" i="2"/>
  <c r="O111" i="2" s="1"/>
  <c r="N117" i="2"/>
  <c r="O117" i="2" s="1"/>
  <c r="N123" i="2"/>
  <c r="O123" i="2" s="1"/>
  <c r="N129" i="2"/>
  <c r="O129" i="2" s="1"/>
  <c r="N135" i="2"/>
  <c r="O135" i="2" s="1"/>
  <c r="N141" i="2"/>
  <c r="O141" i="2" s="1"/>
  <c r="N147" i="2"/>
  <c r="O147" i="2" s="1"/>
  <c r="N153" i="2"/>
  <c r="O153" i="2" s="1"/>
  <c r="N159" i="2"/>
  <c r="O159" i="2" s="1"/>
  <c r="N165" i="2"/>
  <c r="O165" i="2" s="1"/>
  <c r="N171" i="2"/>
  <c r="O171" i="2" s="1"/>
  <c r="N177" i="2"/>
  <c r="O177" i="2" s="1"/>
  <c r="N183" i="2"/>
  <c r="O183" i="2" s="1"/>
  <c r="N189" i="2"/>
  <c r="O189" i="2" s="1"/>
  <c r="N195" i="2"/>
  <c r="O195" i="2" s="1"/>
  <c r="N201" i="2"/>
  <c r="O201" i="2" s="1"/>
  <c r="N207" i="2"/>
  <c r="O207" i="2" s="1"/>
  <c r="N213" i="2"/>
  <c r="O213" i="2" s="1"/>
  <c r="N219" i="2"/>
  <c r="O219" i="2" s="1"/>
  <c r="N225" i="2"/>
  <c r="O225" i="2" s="1"/>
  <c r="N231" i="2"/>
  <c r="O231" i="2" s="1"/>
  <c r="N237" i="2"/>
  <c r="O237" i="2" s="1"/>
  <c r="I240" i="2"/>
  <c r="J241" i="2"/>
  <c r="D243" i="2"/>
  <c r="D245" i="2"/>
  <c r="P245" i="2"/>
  <c r="S245" i="2" s="1"/>
  <c r="D248" i="2"/>
  <c r="P248" i="2"/>
  <c r="S248" i="2" s="1"/>
  <c r="E248" i="2"/>
  <c r="D250" i="2"/>
  <c r="P250" i="2"/>
  <c r="S250" i="2" s="1"/>
  <c r="D252" i="2"/>
  <c r="P252" i="2"/>
  <c r="S252" i="2" s="1"/>
  <c r="J259" i="2"/>
  <c r="D261" i="2"/>
  <c r="D263" i="2"/>
  <c r="P263" i="2"/>
  <c r="S263" i="2" s="1"/>
  <c r="D266" i="2"/>
  <c r="P266" i="2"/>
  <c r="S266" i="2" s="1"/>
  <c r="E266" i="2"/>
  <c r="D268" i="2"/>
  <c r="P268" i="2"/>
  <c r="S268" i="2" s="1"/>
  <c r="D270" i="2"/>
  <c r="P270" i="2"/>
  <c r="S270" i="2" s="1"/>
  <c r="J277" i="2"/>
  <c r="D279" i="2"/>
  <c r="D281" i="2"/>
  <c r="P281" i="2"/>
  <c r="S281" i="2" s="1"/>
  <c r="D284" i="2"/>
  <c r="P284" i="2"/>
  <c r="S284" i="2" s="1"/>
  <c r="E284" i="2"/>
  <c r="D286" i="2"/>
  <c r="P286" i="2"/>
  <c r="S286" i="2" s="1"/>
  <c r="D288" i="2"/>
  <c r="P288" i="2"/>
  <c r="S288" i="2" s="1"/>
  <c r="J295" i="2"/>
  <c r="D297" i="2"/>
  <c r="D299" i="2"/>
  <c r="P299" i="2"/>
  <c r="S299" i="2" s="1"/>
  <c r="D302" i="2"/>
  <c r="P302" i="2"/>
  <c r="S302" i="2" s="1"/>
  <c r="E302" i="2"/>
  <c r="D304" i="2"/>
  <c r="P304" i="2"/>
  <c r="S304" i="2" s="1"/>
  <c r="D306" i="2"/>
  <c r="P306" i="2"/>
  <c r="S306" i="2" s="1"/>
  <c r="J313" i="2"/>
  <c r="D315" i="2"/>
  <c r="D317" i="2"/>
  <c r="P317" i="2"/>
  <c r="S317" i="2" s="1"/>
  <c r="E321" i="2"/>
  <c r="P321" i="2"/>
  <c r="S321" i="2" s="1"/>
  <c r="F321" i="2"/>
  <c r="D329" i="2"/>
  <c r="P329" i="2"/>
  <c r="S329" i="2" s="1"/>
  <c r="E333" i="2"/>
  <c r="P333" i="2"/>
  <c r="S333" i="2" s="1"/>
  <c r="F333" i="2"/>
  <c r="D341" i="2"/>
  <c r="P341" i="2"/>
  <c r="S341" i="2" s="1"/>
  <c r="E345" i="2"/>
  <c r="P345" i="2"/>
  <c r="S345" i="2" s="1"/>
  <c r="F345" i="2"/>
  <c r="D353" i="2"/>
  <c r="P353" i="2"/>
  <c r="S353" i="2" s="1"/>
  <c r="E357" i="2"/>
  <c r="P357" i="2"/>
  <c r="S357" i="2" s="1"/>
  <c r="F357" i="2"/>
  <c r="D365" i="2"/>
  <c r="P365" i="2"/>
  <c r="S365" i="2" s="1"/>
  <c r="E369" i="2"/>
  <c r="P369" i="2"/>
  <c r="S369" i="2" s="1"/>
  <c r="F369" i="2"/>
  <c r="I383" i="2"/>
  <c r="K383" i="2"/>
  <c r="J389" i="2"/>
  <c r="R392" i="2"/>
  <c r="Q392" i="2"/>
  <c r="D400" i="2"/>
  <c r="P400" i="2"/>
  <c r="S400" i="2" s="1"/>
  <c r="E405" i="2"/>
  <c r="P405" i="2"/>
  <c r="S405" i="2" s="1"/>
  <c r="F405" i="2"/>
  <c r="E406" i="2"/>
  <c r="Q444" i="2"/>
  <c r="E447" i="2"/>
  <c r="P447" i="2"/>
  <c r="S447" i="2" s="1"/>
  <c r="F447" i="2"/>
  <c r="D447" i="2"/>
  <c r="R449" i="2"/>
  <c r="Q449" i="2"/>
  <c r="Q456" i="2"/>
  <c r="R463" i="2"/>
  <c r="Q463" i="2"/>
  <c r="R466" i="2"/>
  <c r="Q466" i="2"/>
  <c r="R468" i="2"/>
  <c r="Q468" i="2"/>
  <c r="Q474" i="2"/>
  <c r="R481" i="2"/>
  <c r="Q481" i="2"/>
  <c r="R484" i="2"/>
  <c r="Q484" i="2"/>
  <c r="R486" i="2"/>
  <c r="Q486" i="2"/>
  <c r="Q492" i="2"/>
  <c r="R499" i="2"/>
  <c r="Q499" i="2"/>
  <c r="I245" i="2"/>
  <c r="K245" i="2"/>
  <c r="E255" i="2"/>
  <c r="P255" i="2"/>
  <c r="S255" i="2" s="1"/>
  <c r="F255" i="2"/>
  <c r="I263" i="2"/>
  <c r="K263" i="2"/>
  <c r="E273" i="2"/>
  <c r="P273" i="2"/>
  <c r="S273" i="2" s="1"/>
  <c r="F273" i="2"/>
  <c r="I281" i="2"/>
  <c r="K281" i="2"/>
  <c r="E291" i="2"/>
  <c r="P291" i="2"/>
  <c r="S291" i="2" s="1"/>
  <c r="F291" i="2"/>
  <c r="K295" i="2"/>
  <c r="F299" i="2"/>
  <c r="E309" i="2"/>
  <c r="P309" i="2"/>
  <c r="S309" i="2" s="1"/>
  <c r="F309" i="2"/>
  <c r="K313" i="2"/>
  <c r="F317" i="2"/>
  <c r="D322" i="2"/>
  <c r="P322" i="2"/>
  <c r="S322" i="2" s="1"/>
  <c r="F329" i="2"/>
  <c r="Q329" i="2"/>
  <c r="D334" i="2"/>
  <c r="P334" i="2"/>
  <c r="S334" i="2" s="1"/>
  <c r="F341" i="2"/>
  <c r="Q341" i="2"/>
  <c r="D346" i="2"/>
  <c r="P346" i="2"/>
  <c r="S346" i="2" s="1"/>
  <c r="F353" i="2"/>
  <c r="Q353" i="2"/>
  <c r="D358" i="2"/>
  <c r="P358" i="2"/>
  <c r="S358" i="2" s="1"/>
  <c r="F365" i="2"/>
  <c r="Q365" i="2"/>
  <c r="D370" i="2"/>
  <c r="P370" i="2"/>
  <c r="S370" i="2" s="1"/>
  <c r="I377" i="2"/>
  <c r="K377" i="2"/>
  <c r="Q377" i="2"/>
  <c r="R386" i="2"/>
  <c r="Q386" i="2"/>
  <c r="D394" i="2"/>
  <c r="P394" i="2"/>
  <c r="S394" i="2" s="1"/>
  <c r="E399" i="2"/>
  <c r="P399" i="2"/>
  <c r="S399" i="2" s="1"/>
  <c r="F399" i="2"/>
  <c r="E400" i="2"/>
  <c r="Q402" i="2"/>
  <c r="D404" i="2"/>
  <c r="P404" i="2"/>
  <c r="S404" i="2" s="1"/>
  <c r="F404" i="2"/>
  <c r="E404" i="2"/>
  <c r="F406" i="2"/>
  <c r="K427" i="2"/>
  <c r="J427" i="2"/>
  <c r="R428" i="2"/>
  <c r="Q428" i="2"/>
  <c r="P430" i="2"/>
  <c r="S430" i="2" s="1"/>
  <c r="F430" i="2"/>
  <c r="E430" i="2"/>
  <c r="E431" i="2"/>
  <c r="F431" i="2"/>
  <c r="D431" i="2"/>
  <c r="E435" i="2"/>
  <c r="P435" i="2"/>
  <c r="S435" i="2" s="1"/>
  <c r="J444" i="2"/>
  <c r="K444" i="2"/>
  <c r="J456" i="2"/>
  <c r="K456" i="2"/>
  <c r="E467" i="2"/>
  <c r="F467" i="2"/>
  <c r="J474" i="2"/>
  <c r="K474" i="2"/>
  <c r="E485" i="2"/>
  <c r="F485" i="2"/>
  <c r="J492" i="2"/>
  <c r="K492" i="2"/>
  <c r="N131" i="2"/>
  <c r="O131" i="2" s="1"/>
  <c r="N137" i="2"/>
  <c r="O137" i="2" s="1"/>
  <c r="N143" i="2"/>
  <c r="O143" i="2" s="1"/>
  <c r="N149" i="2"/>
  <c r="O149" i="2" s="1"/>
  <c r="N155" i="2"/>
  <c r="O155" i="2" s="1"/>
  <c r="N161" i="2"/>
  <c r="O161" i="2" s="1"/>
  <c r="N167" i="2"/>
  <c r="O167" i="2" s="1"/>
  <c r="N173" i="2"/>
  <c r="O173" i="2" s="1"/>
  <c r="N179" i="2"/>
  <c r="O179" i="2" s="1"/>
  <c r="N185" i="2"/>
  <c r="O185" i="2" s="1"/>
  <c r="N191" i="2"/>
  <c r="O191" i="2" s="1"/>
  <c r="N197" i="2"/>
  <c r="O197" i="2" s="1"/>
  <c r="N203" i="2"/>
  <c r="O203" i="2" s="1"/>
  <c r="N209" i="2"/>
  <c r="O209" i="2" s="1"/>
  <c r="N215" i="2"/>
  <c r="O215" i="2" s="1"/>
  <c r="N221" i="2"/>
  <c r="O221" i="2" s="1"/>
  <c r="N227" i="2"/>
  <c r="O227" i="2" s="1"/>
  <c r="N233" i="2"/>
  <c r="O233" i="2" s="1"/>
  <c r="N239" i="2"/>
  <c r="O239" i="2" s="1"/>
  <c r="D242" i="2"/>
  <c r="P242" i="2"/>
  <c r="S242" i="2" s="1"/>
  <c r="E242" i="2"/>
  <c r="D244" i="2"/>
  <c r="P244" i="2"/>
  <c r="S244" i="2" s="1"/>
  <c r="J245" i="2"/>
  <c r="D246" i="2"/>
  <c r="P246" i="2"/>
  <c r="S246" i="2" s="1"/>
  <c r="I248" i="2"/>
  <c r="J250" i="2"/>
  <c r="I250" i="2"/>
  <c r="J253" i="2"/>
  <c r="D255" i="2"/>
  <c r="D257" i="2"/>
  <c r="P257" i="2"/>
  <c r="S257" i="2" s="1"/>
  <c r="D260" i="2"/>
  <c r="P260" i="2"/>
  <c r="S260" i="2" s="1"/>
  <c r="E260" i="2"/>
  <c r="D262" i="2"/>
  <c r="P262" i="2"/>
  <c r="S262" i="2" s="1"/>
  <c r="J263" i="2"/>
  <c r="D264" i="2"/>
  <c r="P264" i="2"/>
  <c r="S264" i="2" s="1"/>
  <c r="I266" i="2"/>
  <c r="J268" i="2"/>
  <c r="I268" i="2"/>
  <c r="J271" i="2"/>
  <c r="D273" i="2"/>
  <c r="D275" i="2"/>
  <c r="P275" i="2"/>
  <c r="S275" i="2" s="1"/>
  <c r="D278" i="2"/>
  <c r="P278" i="2"/>
  <c r="S278" i="2" s="1"/>
  <c r="E278" i="2"/>
  <c r="D280" i="2"/>
  <c r="P280" i="2"/>
  <c r="S280" i="2" s="1"/>
  <c r="J281" i="2"/>
  <c r="D282" i="2"/>
  <c r="P282" i="2"/>
  <c r="S282" i="2" s="1"/>
  <c r="I284" i="2"/>
  <c r="J286" i="2"/>
  <c r="I286" i="2"/>
  <c r="J289" i="2"/>
  <c r="D291" i="2"/>
  <c r="D293" i="2"/>
  <c r="P293" i="2"/>
  <c r="S293" i="2" s="1"/>
  <c r="D296" i="2"/>
  <c r="P296" i="2"/>
  <c r="S296" i="2" s="1"/>
  <c r="E296" i="2"/>
  <c r="D298" i="2"/>
  <c r="P298" i="2"/>
  <c r="S298" i="2" s="1"/>
  <c r="D300" i="2"/>
  <c r="P300" i="2"/>
  <c r="S300" i="2" s="1"/>
  <c r="I302" i="2"/>
  <c r="J304" i="2"/>
  <c r="I304" i="2"/>
  <c r="J307" i="2"/>
  <c r="D309" i="2"/>
  <c r="D311" i="2"/>
  <c r="P311" i="2"/>
  <c r="S311" i="2" s="1"/>
  <c r="D314" i="2"/>
  <c r="P314" i="2"/>
  <c r="S314" i="2" s="1"/>
  <c r="E314" i="2"/>
  <c r="D316" i="2"/>
  <c r="P316" i="2"/>
  <c r="S316" i="2" s="1"/>
  <c r="D318" i="2"/>
  <c r="P318" i="2"/>
  <c r="S318" i="2" s="1"/>
  <c r="E322" i="2"/>
  <c r="I324" i="2"/>
  <c r="Q324" i="2"/>
  <c r="D326" i="2"/>
  <c r="P326" i="2"/>
  <c r="S326" i="2" s="1"/>
  <c r="F326" i="2"/>
  <c r="E326" i="2"/>
  <c r="E334" i="2"/>
  <c r="I336" i="2"/>
  <c r="Q336" i="2"/>
  <c r="D338" i="2"/>
  <c r="P338" i="2"/>
  <c r="S338" i="2" s="1"/>
  <c r="F338" i="2"/>
  <c r="E338" i="2"/>
  <c r="E346" i="2"/>
  <c r="I348" i="2"/>
  <c r="Q348" i="2"/>
  <c r="D350" i="2"/>
  <c r="P350" i="2"/>
  <c r="S350" i="2" s="1"/>
  <c r="F350" i="2"/>
  <c r="E350" i="2"/>
  <c r="E358" i="2"/>
  <c r="I360" i="2"/>
  <c r="Q360" i="2"/>
  <c r="D362" i="2"/>
  <c r="P362" i="2"/>
  <c r="S362" i="2" s="1"/>
  <c r="F362" i="2"/>
  <c r="E362" i="2"/>
  <c r="E370" i="2"/>
  <c r="Q372" i="2"/>
  <c r="D374" i="2"/>
  <c r="P374" i="2"/>
  <c r="S374" i="2" s="1"/>
  <c r="F374" i="2"/>
  <c r="E374" i="2"/>
  <c r="J377" i="2"/>
  <c r="R380" i="2"/>
  <c r="Q380" i="2"/>
  <c r="R381" i="2"/>
  <c r="Q381" i="2"/>
  <c r="D388" i="2"/>
  <c r="P388" i="2"/>
  <c r="S388" i="2" s="1"/>
  <c r="E393" i="2"/>
  <c r="P393" i="2"/>
  <c r="S393" i="2" s="1"/>
  <c r="F393" i="2"/>
  <c r="E394" i="2"/>
  <c r="I396" i="2"/>
  <c r="Q396" i="2"/>
  <c r="D398" i="2"/>
  <c r="P398" i="2"/>
  <c r="S398" i="2" s="1"/>
  <c r="F398" i="2"/>
  <c r="E398" i="2"/>
  <c r="D399" i="2"/>
  <c r="F400" i="2"/>
  <c r="I427" i="2"/>
  <c r="D430" i="2"/>
  <c r="J434" i="2"/>
  <c r="K434" i="2"/>
  <c r="I434" i="2"/>
  <c r="D435" i="2"/>
  <c r="P436" i="2"/>
  <c r="S436" i="2" s="1"/>
  <c r="F436" i="2"/>
  <c r="E436" i="2"/>
  <c r="E437" i="2"/>
  <c r="F437" i="2"/>
  <c r="D437" i="2"/>
  <c r="E441" i="2"/>
  <c r="P441" i="2"/>
  <c r="S441" i="2" s="1"/>
  <c r="F441" i="2"/>
  <c r="P442" i="2"/>
  <c r="S442" i="2" s="1"/>
  <c r="F442" i="2"/>
  <c r="E442" i="2"/>
  <c r="D442" i="2"/>
  <c r="R443" i="2"/>
  <c r="Q443" i="2"/>
  <c r="I444" i="2"/>
  <c r="Q450" i="2"/>
  <c r="I456" i="2"/>
  <c r="I457" i="2"/>
  <c r="K457" i="2"/>
  <c r="J457" i="2"/>
  <c r="D460" i="2"/>
  <c r="P460" i="2"/>
  <c r="S460" i="2" s="1"/>
  <c r="F460" i="2"/>
  <c r="Q462" i="2"/>
  <c r="D467" i="2"/>
  <c r="R470" i="2"/>
  <c r="Q470" i="2"/>
  <c r="I474" i="2"/>
  <c r="I475" i="2"/>
  <c r="K475" i="2"/>
  <c r="J475" i="2"/>
  <c r="D478" i="2"/>
  <c r="P478" i="2"/>
  <c r="S478" i="2" s="1"/>
  <c r="F478" i="2"/>
  <c r="Q480" i="2"/>
  <c r="D485" i="2"/>
  <c r="R488" i="2"/>
  <c r="Q488" i="2"/>
  <c r="I492" i="2"/>
  <c r="I493" i="2"/>
  <c r="K493" i="2"/>
  <c r="J493" i="2"/>
  <c r="D496" i="2"/>
  <c r="P496" i="2"/>
  <c r="S496" i="2" s="1"/>
  <c r="F496" i="2"/>
  <c r="Q498" i="2"/>
  <c r="D240" i="2"/>
  <c r="P240" i="2"/>
  <c r="S240" i="2" s="1"/>
  <c r="N430" i="2"/>
  <c r="O430" i="2" s="1"/>
  <c r="E443" i="2"/>
  <c r="F443" i="2"/>
  <c r="D443" i="2"/>
  <c r="J446" i="2"/>
  <c r="K446" i="2"/>
  <c r="I446" i="2"/>
  <c r="P448" i="2"/>
  <c r="S448" i="2" s="1"/>
  <c r="F448" i="2"/>
  <c r="E448" i="2"/>
  <c r="E453" i="2"/>
  <c r="P453" i="2"/>
  <c r="S453" i="2" s="1"/>
  <c r="P455" i="2"/>
  <c r="S455" i="2" s="1"/>
  <c r="E465" i="2"/>
  <c r="P465" i="2"/>
  <c r="S465" i="2" s="1"/>
  <c r="F465" i="2"/>
  <c r="D465" i="2"/>
  <c r="P473" i="2"/>
  <c r="S473" i="2" s="1"/>
  <c r="E483" i="2"/>
  <c r="P483" i="2"/>
  <c r="S483" i="2" s="1"/>
  <c r="F483" i="2"/>
  <c r="D483" i="2"/>
  <c r="P491" i="2"/>
  <c r="S491" i="2" s="1"/>
  <c r="E501" i="2"/>
  <c r="P501" i="2"/>
  <c r="S501" i="2" s="1"/>
  <c r="F501" i="2"/>
  <c r="D501" i="2"/>
  <c r="D324" i="2"/>
  <c r="P324" i="2"/>
  <c r="S324" i="2" s="1"/>
  <c r="D330" i="2"/>
  <c r="P330" i="2"/>
  <c r="S330" i="2" s="1"/>
  <c r="D336" i="2"/>
  <c r="P336" i="2"/>
  <c r="S336" i="2" s="1"/>
  <c r="D342" i="2"/>
  <c r="P342" i="2"/>
  <c r="S342" i="2" s="1"/>
  <c r="D348" i="2"/>
  <c r="P348" i="2"/>
  <c r="S348" i="2" s="1"/>
  <c r="D354" i="2"/>
  <c r="P354" i="2"/>
  <c r="S354" i="2" s="1"/>
  <c r="D360" i="2"/>
  <c r="P360" i="2"/>
  <c r="S360" i="2" s="1"/>
  <c r="D366" i="2"/>
  <c r="P366" i="2"/>
  <c r="S366" i="2" s="1"/>
  <c r="D372" i="2"/>
  <c r="P372" i="2"/>
  <c r="S372" i="2" s="1"/>
  <c r="D378" i="2"/>
  <c r="P378" i="2"/>
  <c r="S378" i="2" s="1"/>
  <c r="D384" i="2"/>
  <c r="P384" i="2"/>
  <c r="S384" i="2" s="1"/>
  <c r="D390" i="2"/>
  <c r="P390" i="2"/>
  <c r="S390" i="2" s="1"/>
  <c r="D396" i="2"/>
  <c r="P396" i="2"/>
  <c r="S396" i="2" s="1"/>
  <c r="D402" i="2"/>
  <c r="P402" i="2"/>
  <c r="S402" i="2" s="1"/>
  <c r="K408" i="2"/>
  <c r="J408" i="2"/>
  <c r="K410" i="2"/>
  <c r="J410" i="2"/>
  <c r="K412" i="2"/>
  <c r="J412" i="2"/>
  <c r="K414" i="2"/>
  <c r="J414" i="2"/>
  <c r="K416" i="2"/>
  <c r="J416" i="2"/>
  <c r="K418" i="2"/>
  <c r="J418" i="2"/>
  <c r="K420" i="2"/>
  <c r="J420" i="2"/>
  <c r="K422" i="2"/>
  <c r="J422" i="2"/>
  <c r="K424" i="2"/>
  <c r="J424" i="2"/>
  <c r="N436" i="2"/>
  <c r="O436" i="2" s="1"/>
  <c r="R445" i="2"/>
  <c r="Q445" i="2"/>
  <c r="E449" i="2"/>
  <c r="F449" i="2"/>
  <c r="D449" i="2"/>
  <c r="J452" i="2"/>
  <c r="D454" i="2"/>
  <c r="P454" i="2"/>
  <c r="S454" i="2" s="1"/>
  <c r="F454" i="2"/>
  <c r="R460" i="2"/>
  <c r="Q460" i="2"/>
  <c r="R461" i="2"/>
  <c r="Q461" i="2"/>
  <c r="J468" i="2"/>
  <c r="K468" i="2"/>
  <c r="D472" i="2"/>
  <c r="P472" i="2"/>
  <c r="S472" i="2" s="1"/>
  <c r="F472" i="2"/>
  <c r="R478" i="2"/>
  <c r="Q478" i="2"/>
  <c r="R479" i="2"/>
  <c r="Q479" i="2"/>
  <c r="J486" i="2"/>
  <c r="K486" i="2"/>
  <c r="D490" i="2"/>
  <c r="P490" i="2"/>
  <c r="S490" i="2" s="1"/>
  <c r="F490" i="2"/>
  <c r="R496" i="2"/>
  <c r="Q496" i="2"/>
  <c r="R497" i="2"/>
  <c r="Q497" i="2"/>
  <c r="F407" i="2"/>
  <c r="E407" i="2"/>
  <c r="P407" i="2"/>
  <c r="S407" i="2" s="1"/>
  <c r="F409" i="2"/>
  <c r="E409" i="2"/>
  <c r="P409" i="2"/>
  <c r="S409" i="2" s="1"/>
  <c r="F411" i="2"/>
  <c r="E411" i="2"/>
  <c r="P411" i="2"/>
  <c r="S411" i="2" s="1"/>
  <c r="F413" i="2"/>
  <c r="E413" i="2"/>
  <c r="P413" i="2"/>
  <c r="S413" i="2" s="1"/>
  <c r="F415" i="2"/>
  <c r="E415" i="2"/>
  <c r="P415" i="2"/>
  <c r="S415" i="2" s="1"/>
  <c r="F417" i="2"/>
  <c r="E417" i="2"/>
  <c r="P417" i="2"/>
  <c r="S417" i="2" s="1"/>
  <c r="F419" i="2"/>
  <c r="E419" i="2"/>
  <c r="P419" i="2"/>
  <c r="S419" i="2" s="1"/>
  <c r="F421" i="2"/>
  <c r="E421" i="2"/>
  <c r="P421" i="2"/>
  <c r="S421" i="2" s="1"/>
  <c r="F423" i="2"/>
  <c r="E423" i="2"/>
  <c r="P423" i="2"/>
  <c r="S423" i="2" s="1"/>
  <c r="F425" i="2"/>
  <c r="E425" i="2"/>
  <c r="P425" i="2"/>
  <c r="S425" i="2" s="1"/>
  <c r="E429" i="2"/>
  <c r="P429" i="2"/>
  <c r="S429" i="2" s="1"/>
  <c r="R434" i="2"/>
  <c r="Q434" i="2"/>
  <c r="N442" i="2"/>
  <c r="O442" i="2" s="1"/>
  <c r="I445" i="2"/>
  <c r="K453" i="2"/>
  <c r="J453" i="2"/>
  <c r="I453" i="2"/>
  <c r="E454" i="2"/>
  <c r="I455" i="2"/>
  <c r="K455" i="2"/>
  <c r="J455" i="2"/>
  <c r="Q458" i="2"/>
  <c r="P461" i="2"/>
  <c r="S461" i="2" s="1"/>
  <c r="J463" i="2"/>
  <c r="I468" i="2"/>
  <c r="E471" i="2"/>
  <c r="P471" i="2"/>
  <c r="S471" i="2" s="1"/>
  <c r="F471" i="2"/>
  <c r="D471" i="2"/>
  <c r="E472" i="2"/>
  <c r="I473" i="2"/>
  <c r="K473" i="2"/>
  <c r="J473" i="2"/>
  <c r="Q476" i="2"/>
  <c r="P479" i="2"/>
  <c r="S479" i="2" s="1"/>
  <c r="J481" i="2"/>
  <c r="I486" i="2"/>
  <c r="E489" i="2"/>
  <c r="P489" i="2"/>
  <c r="S489" i="2" s="1"/>
  <c r="F489" i="2"/>
  <c r="D489" i="2"/>
  <c r="E490" i="2"/>
  <c r="I491" i="2"/>
  <c r="K491" i="2"/>
  <c r="J491" i="2"/>
  <c r="Q494" i="2"/>
  <c r="P497" i="2"/>
  <c r="S497" i="2" s="1"/>
  <c r="J499" i="2"/>
  <c r="P408" i="2"/>
  <c r="S408" i="2" s="1"/>
  <c r="P410" i="2"/>
  <c r="S410" i="2" s="1"/>
  <c r="P412" i="2"/>
  <c r="S412" i="2" s="1"/>
  <c r="P414" i="2"/>
  <c r="S414" i="2" s="1"/>
  <c r="P416" i="2"/>
  <c r="S416" i="2" s="1"/>
  <c r="P418" i="2"/>
  <c r="S418" i="2" s="1"/>
  <c r="P420" i="2"/>
  <c r="S420" i="2" s="1"/>
  <c r="P422" i="2"/>
  <c r="S422" i="2" s="1"/>
  <c r="P424" i="2"/>
  <c r="S424" i="2" s="1"/>
  <c r="D458" i="2"/>
  <c r="P458" i="2"/>
  <c r="S458" i="2" s="1"/>
  <c r="D464" i="2"/>
  <c r="P464" i="2"/>
  <c r="S464" i="2" s="1"/>
  <c r="D470" i="2"/>
  <c r="P470" i="2"/>
  <c r="S470" i="2" s="1"/>
  <c r="D476" i="2"/>
  <c r="P476" i="2"/>
  <c r="S476" i="2" s="1"/>
  <c r="D482" i="2"/>
  <c r="P482" i="2"/>
  <c r="S482" i="2" s="1"/>
  <c r="D488" i="2"/>
  <c r="P488" i="2"/>
  <c r="S488" i="2" s="1"/>
  <c r="D494" i="2"/>
  <c r="P494" i="2"/>
  <c r="S494" i="2" s="1"/>
  <c r="D500" i="2"/>
  <c r="P500" i="2"/>
  <c r="S500" i="2" s="1"/>
  <c r="E426" i="2"/>
  <c r="D427" i="2"/>
  <c r="E432" i="2"/>
  <c r="D433" i="2"/>
  <c r="E438" i="2"/>
  <c r="D439" i="2"/>
  <c r="E444" i="2"/>
  <c r="D445" i="2"/>
  <c r="E450" i="2"/>
  <c r="D451" i="2"/>
  <c r="D456" i="2"/>
  <c r="P456" i="2"/>
  <c r="S456" i="2" s="1"/>
  <c r="D457" i="2"/>
  <c r="F458" i="2"/>
  <c r="D462" i="2"/>
  <c r="P462" i="2"/>
  <c r="S462" i="2" s="1"/>
  <c r="D463" i="2"/>
  <c r="F464" i="2"/>
  <c r="D468" i="2"/>
  <c r="P468" i="2"/>
  <c r="S468" i="2" s="1"/>
  <c r="D469" i="2"/>
  <c r="F470" i="2"/>
  <c r="D474" i="2"/>
  <c r="P474" i="2"/>
  <c r="S474" i="2" s="1"/>
  <c r="D475" i="2"/>
  <c r="F476" i="2"/>
  <c r="D480" i="2"/>
  <c r="P480" i="2"/>
  <c r="S480" i="2" s="1"/>
  <c r="D481" i="2"/>
  <c r="F482" i="2"/>
  <c r="D486" i="2"/>
  <c r="P486" i="2"/>
  <c r="S486" i="2" s="1"/>
  <c r="D487" i="2"/>
  <c r="F488" i="2"/>
  <c r="D492" i="2"/>
  <c r="P492" i="2"/>
  <c r="S492" i="2" s="1"/>
  <c r="D493" i="2"/>
  <c r="F494" i="2"/>
  <c r="D498" i="2"/>
  <c r="P498" i="2"/>
  <c r="S498" i="2" s="1"/>
  <c r="D499" i="2"/>
  <c r="F500" i="2"/>
  <c r="K183" i="2" l="1"/>
  <c r="I183" i="2"/>
  <c r="J183" i="2"/>
  <c r="I142" i="2"/>
  <c r="J34" i="2"/>
  <c r="I15" i="2"/>
  <c r="J124" i="2"/>
  <c r="Q244" i="2"/>
  <c r="R68" i="2"/>
  <c r="R33" i="2"/>
  <c r="R16" i="2"/>
  <c r="R28" i="2"/>
  <c r="Q483" i="2"/>
  <c r="R483" i="2"/>
  <c r="I337" i="2"/>
  <c r="K337" i="2"/>
  <c r="J337" i="2"/>
  <c r="I325" i="2"/>
  <c r="K325" i="2"/>
  <c r="J325" i="2"/>
  <c r="K445" i="2"/>
  <c r="J445" i="2"/>
  <c r="I379" i="2"/>
  <c r="K379" i="2"/>
  <c r="J379" i="2"/>
  <c r="Q223" i="2"/>
  <c r="R223" i="2"/>
  <c r="I277" i="2"/>
  <c r="K277" i="2"/>
  <c r="J221" i="2"/>
  <c r="K221" i="2"/>
  <c r="I221" i="2"/>
  <c r="I385" i="2"/>
  <c r="K385" i="2"/>
  <c r="J385" i="2"/>
  <c r="K170" i="2"/>
  <c r="I170" i="2"/>
  <c r="J170" i="2"/>
  <c r="I111" i="2"/>
  <c r="K111" i="2"/>
  <c r="J111" i="2"/>
  <c r="I93" i="2"/>
  <c r="K93" i="2"/>
  <c r="J93" i="2"/>
  <c r="J215" i="2"/>
  <c r="I215" i="2"/>
  <c r="K215" i="2"/>
  <c r="K85" i="2"/>
  <c r="J85" i="2"/>
  <c r="I85" i="2"/>
  <c r="J372" i="2"/>
  <c r="K372" i="2"/>
  <c r="K234" i="2"/>
  <c r="J234" i="2"/>
  <c r="I234" i="2"/>
  <c r="J167" i="2"/>
  <c r="K167" i="2"/>
  <c r="I167" i="2"/>
  <c r="J105" i="2"/>
  <c r="K105" i="2"/>
  <c r="I105" i="2"/>
  <c r="K2" i="2"/>
  <c r="K84" i="2"/>
  <c r="I84" i="2"/>
  <c r="J15" i="2"/>
  <c r="J5" i="2"/>
  <c r="R362" i="2"/>
  <c r="Q362" i="2"/>
  <c r="Q501" i="2"/>
  <c r="R501" i="2"/>
  <c r="Q253" i="2"/>
  <c r="R253" i="2"/>
  <c r="I253" i="2"/>
  <c r="K253" i="2"/>
  <c r="K210" i="2"/>
  <c r="J210" i="2"/>
  <c r="I210" i="2"/>
  <c r="I165" i="2"/>
  <c r="J165" i="2"/>
  <c r="K165" i="2"/>
  <c r="K126" i="2"/>
  <c r="J126" i="2"/>
  <c r="I126" i="2"/>
  <c r="R91" i="2"/>
  <c r="Q91" i="2"/>
  <c r="R431" i="2"/>
  <c r="Q431" i="2"/>
  <c r="I373" i="2"/>
  <c r="J373" i="2"/>
  <c r="K373" i="2"/>
  <c r="I213" i="2"/>
  <c r="K213" i="2"/>
  <c r="J213" i="2"/>
  <c r="J225" i="2"/>
  <c r="K225" i="2"/>
  <c r="I225" i="2"/>
  <c r="K402" i="2"/>
  <c r="R276" i="2"/>
  <c r="Q317" i="2"/>
  <c r="Q272" i="2"/>
  <c r="I2" i="2"/>
  <c r="R55" i="2"/>
  <c r="Q13" i="2"/>
  <c r="Q25" i="2"/>
  <c r="Q38" i="2"/>
  <c r="R356" i="2"/>
  <c r="Q356" i="2"/>
  <c r="Q379" i="2"/>
  <c r="R379" i="2"/>
  <c r="I499" i="2"/>
  <c r="K499" i="2"/>
  <c r="R359" i="2"/>
  <c r="Q359" i="2"/>
  <c r="J396" i="2"/>
  <c r="K396" i="2"/>
  <c r="J185" i="2"/>
  <c r="K185" i="2"/>
  <c r="I185" i="2"/>
  <c r="I153" i="2"/>
  <c r="J153" i="2"/>
  <c r="K153" i="2"/>
  <c r="K147" i="2"/>
  <c r="J147" i="2"/>
  <c r="I147" i="2"/>
  <c r="I259" i="2"/>
  <c r="K259" i="2"/>
  <c r="K156" i="2"/>
  <c r="I156" i="2"/>
  <c r="J156" i="2"/>
  <c r="K222" i="2"/>
  <c r="J222" i="2"/>
  <c r="I222" i="2"/>
  <c r="I452" i="2"/>
  <c r="I372" i="2"/>
  <c r="Q293" i="2"/>
  <c r="R236" i="2"/>
  <c r="Q438" i="2"/>
  <c r="R438" i="2"/>
  <c r="Q309" i="2"/>
  <c r="R309" i="2"/>
  <c r="R457" i="2"/>
  <c r="Q457" i="2"/>
  <c r="R326" i="2"/>
  <c r="Q326" i="2"/>
  <c r="I231" i="2"/>
  <c r="J231" i="2"/>
  <c r="K231" i="2"/>
  <c r="J233" i="2"/>
  <c r="K233" i="2"/>
  <c r="I233" i="2"/>
  <c r="J201" i="2"/>
  <c r="K201" i="2"/>
  <c r="I201" i="2"/>
  <c r="K158" i="2"/>
  <c r="I158" i="2"/>
  <c r="J158" i="2"/>
  <c r="R103" i="2"/>
  <c r="Q103" i="2"/>
  <c r="I219" i="2"/>
  <c r="J219" i="2"/>
  <c r="K219" i="2"/>
  <c r="K236" i="2"/>
  <c r="I236" i="2"/>
  <c r="J236" i="2"/>
  <c r="K188" i="2"/>
  <c r="I188" i="2"/>
  <c r="J188" i="2"/>
  <c r="I177" i="2"/>
  <c r="K177" i="2"/>
  <c r="J177" i="2"/>
  <c r="I129" i="2"/>
  <c r="K129" i="2"/>
  <c r="J129" i="2"/>
  <c r="J197" i="2"/>
  <c r="I197" i="2"/>
  <c r="K197" i="2"/>
  <c r="K134" i="2"/>
  <c r="J134" i="2"/>
  <c r="I134" i="2"/>
  <c r="K206" i="2"/>
  <c r="I206" i="2"/>
  <c r="J206" i="2"/>
  <c r="J203" i="2"/>
  <c r="K203" i="2"/>
  <c r="I203" i="2"/>
  <c r="I195" i="2"/>
  <c r="K195" i="2"/>
  <c r="J195" i="2"/>
  <c r="K140" i="2"/>
  <c r="I140" i="2"/>
  <c r="J140" i="2"/>
  <c r="R367" i="2"/>
  <c r="Q367" i="2"/>
  <c r="Q343" i="2"/>
  <c r="R343" i="2"/>
  <c r="Q448" i="2"/>
  <c r="R448" i="2"/>
  <c r="I402" i="2"/>
  <c r="K265" i="2"/>
  <c r="R235" i="2"/>
  <c r="Q495" i="2"/>
  <c r="R495" i="2"/>
  <c r="Q385" i="2"/>
  <c r="R385" i="2"/>
  <c r="I361" i="2"/>
  <c r="K361" i="2"/>
  <c r="J361" i="2"/>
  <c r="R320" i="2"/>
  <c r="Q320" i="2"/>
  <c r="R306" i="2"/>
  <c r="Q306" i="2"/>
  <c r="K224" i="2"/>
  <c r="J224" i="2"/>
  <c r="I224" i="2"/>
  <c r="Q301" i="2"/>
  <c r="R301" i="2"/>
  <c r="R242" i="2"/>
  <c r="Q242" i="2"/>
  <c r="J179" i="2"/>
  <c r="I179" i="2"/>
  <c r="K179" i="2"/>
  <c r="J155" i="2"/>
  <c r="K155" i="2"/>
  <c r="K99" i="2"/>
  <c r="I99" i="2"/>
  <c r="J99" i="2"/>
  <c r="K122" i="2"/>
  <c r="I122" i="2"/>
  <c r="K138" i="2"/>
  <c r="J138" i="2"/>
  <c r="I138" i="2"/>
  <c r="K116" i="2"/>
  <c r="I116" i="2"/>
  <c r="J116" i="2"/>
  <c r="J173" i="2"/>
  <c r="K173" i="2"/>
  <c r="I173" i="2"/>
  <c r="J8" i="2"/>
  <c r="K8" i="2"/>
  <c r="I8" i="2"/>
  <c r="Q436" i="2"/>
  <c r="R436" i="2"/>
  <c r="R227" i="2"/>
  <c r="Q227" i="2"/>
  <c r="I291" i="2"/>
  <c r="K291" i="2"/>
  <c r="J291" i="2"/>
  <c r="R213" i="2"/>
  <c r="Q213" i="2"/>
  <c r="J151" i="2"/>
  <c r="K151" i="2"/>
  <c r="I151" i="2"/>
  <c r="Q180" i="2"/>
  <c r="R180" i="2"/>
  <c r="J157" i="2"/>
  <c r="K157" i="2"/>
  <c r="I157" i="2"/>
  <c r="J310" i="2"/>
  <c r="I310" i="2"/>
  <c r="K310" i="2"/>
  <c r="J163" i="2"/>
  <c r="I163" i="2"/>
  <c r="K163" i="2"/>
  <c r="R66" i="2"/>
  <c r="Q66" i="2"/>
  <c r="J24" i="2"/>
  <c r="K24" i="2"/>
  <c r="I24" i="2"/>
  <c r="I53" i="2"/>
  <c r="K53" i="2"/>
  <c r="J53" i="2"/>
  <c r="J235" i="2"/>
  <c r="I235" i="2"/>
  <c r="K235" i="2"/>
  <c r="K121" i="2"/>
  <c r="I121" i="2"/>
  <c r="J121" i="2"/>
  <c r="K63" i="2"/>
  <c r="I63" i="2"/>
  <c r="J63" i="2"/>
  <c r="R30" i="2"/>
  <c r="Q30" i="2"/>
  <c r="I17" i="2"/>
  <c r="J17" i="2"/>
  <c r="K17" i="2"/>
  <c r="J10" i="2"/>
  <c r="I10" i="2"/>
  <c r="K10" i="2"/>
  <c r="J58" i="2"/>
  <c r="I58" i="2"/>
  <c r="K58" i="2"/>
  <c r="K39" i="2"/>
  <c r="J39" i="2"/>
  <c r="I39" i="2"/>
  <c r="I11" i="2"/>
  <c r="K11" i="2"/>
  <c r="J11" i="2"/>
  <c r="K88" i="2"/>
  <c r="J88" i="2"/>
  <c r="I88" i="2"/>
  <c r="K69" i="2"/>
  <c r="I69" i="2"/>
  <c r="J69" i="2"/>
  <c r="I489" i="2"/>
  <c r="J489" i="2"/>
  <c r="K489" i="2"/>
  <c r="I471" i="2"/>
  <c r="J471" i="2"/>
  <c r="K471" i="2"/>
  <c r="J490" i="2"/>
  <c r="K490" i="2"/>
  <c r="I490" i="2"/>
  <c r="J454" i="2"/>
  <c r="K454" i="2"/>
  <c r="I454" i="2"/>
  <c r="Q430" i="2"/>
  <c r="R430" i="2"/>
  <c r="J436" i="2"/>
  <c r="I436" i="2"/>
  <c r="K436" i="2"/>
  <c r="J398" i="2"/>
  <c r="I398" i="2"/>
  <c r="K398" i="2"/>
  <c r="I393" i="2"/>
  <c r="K393" i="2"/>
  <c r="J393" i="2"/>
  <c r="J362" i="2"/>
  <c r="I362" i="2"/>
  <c r="K362" i="2"/>
  <c r="R221" i="2"/>
  <c r="Q221" i="2"/>
  <c r="R185" i="2"/>
  <c r="Q185" i="2"/>
  <c r="Q149" i="2"/>
  <c r="R149" i="2"/>
  <c r="I485" i="2"/>
  <c r="K485" i="2"/>
  <c r="J485" i="2"/>
  <c r="J404" i="2"/>
  <c r="I404" i="2"/>
  <c r="K404" i="2"/>
  <c r="I399" i="2"/>
  <c r="K399" i="2"/>
  <c r="J399" i="2"/>
  <c r="I309" i="2"/>
  <c r="K309" i="2"/>
  <c r="J309" i="2"/>
  <c r="I357" i="2"/>
  <c r="J357" i="2"/>
  <c r="K357" i="2"/>
  <c r="R207" i="2"/>
  <c r="Q207" i="2"/>
  <c r="R171" i="2"/>
  <c r="Q171" i="2"/>
  <c r="R135" i="2"/>
  <c r="Q135" i="2"/>
  <c r="R99" i="2"/>
  <c r="Q99" i="2"/>
  <c r="J294" i="2"/>
  <c r="K294" i="2"/>
  <c r="I294" i="2"/>
  <c r="Q114" i="2"/>
  <c r="R114" i="2"/>
  <c r="Q222" i="2"/>
  <c r="R222" i="2"/>
  <c r="Q168" i="2"/>
  <c r="R168" i="2"/>
  <c r="Q156" i="2"/>
  <c r="R156" i="2"/>
  <c r="I127" i="2"/>
  <c r="K127" i="2"/>
  <c r="J127" i="2"/>
  <c r="I103" i="2"/>
  <c r="J103" i="2"/>
  <c r="K103" i="2"/>
  <c r="J352" i="2"/>
  <c r="K352" i="2"/>
  <c r="I352" i="2"/>
  <c r="J223" i="2"/>
  <c r="I223" i="2"/>
  <c r="K223" i="2"/>
  <c r="J169" i="2"/>
  <c r="I169" i="2"/>
  <c r="K169" i="2"/>
  <c r="J113" i="2"/>
  <c r="I113" i="2"/>
  <c r="K113" i="2"/>
  <c r="J89" i="2"/>
  <c r="I89" i="2"/>
  <c r="K89" i="2"/>
  <c r="J292" i="2"/>
  <c r="I292" i="2"/>
  <c r="K292" i="2"/>
  <c r="J6" i="2"/>
  <c r="K6" i="2"/>
  <c r="I6" i="2"/>
  <c r="I29" i="2"/>
  <c r="K29" i="2"/>
  <c r="J29" i="2"/>
  <c r="K97" i="2"/>
  <c r="I97" i="2"/>
  <c r="J97" i="2"/>
  <c r="J28" i="2"/>
  <c r="I28" i="2"/>
  <c r="K28" i="2"/>
  <c r="K9" i="2"/>
  <c r="I9" i="2"/>
  <c r="J9" i="2"/>
  <c r="J76" i="2"/>
  <c r="I76" i="2"/>
  <c r="K76" i="2"/>
  <c r="I47" i="2"/>
  <c r="K47" i="2"/>
  <c r="J47" i="2"/>
  <c r="Q174" i="2"/>
  <c r="R174" i="2"/>
  <c r="K3" i="2"/>
  <c r="I3" i="2"/>
  <c r="J3" i="2"/>
  <c r="J470" i="2"/>
  <c r="K470" i="2"/>
  <c r="I470" i="2"/>
  <c r="I353" i="2"/>
  <c r="K353" i="2"/>
  <c r="J353" i="2"/>
  <c r="I345" i="2"/>
  <c r="J345" i="2"/>
  <c r="K345" i="2"/>
  <c r="R105" i="2"/>
  <c r="Q105" i="2"/>
  <c r="J356" i="2"/>
  <c r="K356" i="2"/>
  <c r="I356" i="2"/>
  <c r="J320" i="2"/>
  <c r="K320" i="2"/>
  <c r="I320" i="2"/>
  <c r="I261" i="2"/>
  <c r="K261" i="2"/>
  <c r="J261" i="2"/>
  <c r="I327" i="2"/>
  <c r="J327" i="2"/>
  <c r="K327" i="2"/>
  <c r="J229" i="2"/>
  <c r="I229" i="2"/>
  <c r="K229" i="2"/>
  <c r="J494" i="2"/>
  <c r="K494" i="2"/>
  <c r="I494" i="2"/>
  <c r="J476" i="2"/>
  <c r="K476" i="2"/>
  <c r="I476" i="2"/>
  <c r="J458" i="2"/>
  <c r="K458" i="2"/>
  <c r="I458" i="2"/>
  <c r="I449" i="2"/>
  <c r="J449" i="2"/>
  <c r="K449" i="2"/>
  <c r="J376" i="2"/>
  <c r="K376" i="2"/>
  <c r="I376" i="2"/>
  <c r="I339" i="2"/>
  <c r="J339" i="2"/>
  <c r="K339" i="2"/>
  <c r="K87" i="2"/>
  <c r="I87" i="2"/>
  <c r="J87" i="2"/>
  <c r="J488" i="2"/>
  <c r="K488" i="2"/>
  <c r="I488" i="2"/>
  <c r="Q155" i="2"/>
  <c r="R155" i="2"/>
  <c r="R177" i="2"/>
  <c r="Q177" i="2"/>
  <c r="I297" i="2"/>
  <c r="K297" i="2"/>
  <c r="J297" i="2"/>
  <c r="I243" i="2"/>
  <c r="K243" i="2"/>
  <c r="J243" i="2"/>
  <c r="J258" i="2"/>
  <c r="K258" i="2"/>
  <c r="I258" i="2"/>
  <c r="I305" i="2"/>
  <c r="K305" i="2"/>
  <c r="J305" i="2"/>
  <c r="R215" i="2"/>
  <c r="Q215" i="2"/>
  <c r="Q143" i="2"/>
  <c r="R143" i="2"/>
  <c r="I329" i="2"/>
  <c r="K329" i="2"/>
  <c r="J329" i="2"/>
  <c r="R237" i="2"/>
  <c r="Q237" i="2"/>
  <c r="R165" i="2"/>
  <c r="Q165" i="2"/>
  <c r="R129" i="2"/>
  <c r="Q129" i="2"/>
  <c r="R93" i="2"/>
  <c r="Q93" i="2"/>
  <c r="I363" i="2"/>
  <c r="J363" i="2"/>
  <c r="K363" i="2"/>
  <c r="J276" i="2"/>
  <c r="K276" i="2"/>
  <c r="I276" i="2"/>
  <c r="J133" i="2"/>
  <c r="K133" i="2"/>
  <c r="I133" i="2"/>
  <c r="J181" i="2"/>
  <c r="I181" i="2"/>
  <c r="K181" i="2"/>
  <c r="Q125" i="2"/>
  <c r="R125" i="2"/>
  <c r="I35" i="2"/>
  <c r="J35" i="2"/>
  <c r="K35" i="2"/>
  <c r="J460" i="2"/>
  <c r="K460" i="2"/>
  <c r="I460" i="2"/>
  <c r="J338" i="2"/>
  <c r="K338" i="2"/>
  <c r="I338" i="2"/>
  <c r="R209" i="2"/>
  <c r="Q209" i="2"/>
  <c r="R173" i="2"/>
  <c r="Q173" i="2"/>
  <c r="Q137" i="2"/>
  <c r="R137" i="2"/>
  <c r="R231" i="2"/>
  <c r="Q231" i="2"/>
  <c r="R195" i="2"/>
  <c r="Q195" i="2"/>
  <c r="R159" i="2"/>
  <c r="Q159" i="2"/>
  <c r="R123" i="2"/>
  <c r="Q123" i="2"/>
  <c r="I315" i="2"/>
  <c r="K315" i="2"/>
  <c r="J315" i="2"/>
  <c r="I279" i="2"/>
  <c r="K279" i="2"/>
  <c r="J279" i="2"/>
  <c r="J139" i="2"/>
  <c r="K139" i="2"/>
  <c r="I139" i="2"/>
  <c r="J107" i="2"/>
  <c r="I107" i="2"/>
  <c r="K107" i="2"/>
  <c r="J328" i="2"/>
  <c r="K328" i="2"/>
  <c r="I328" i="2"/>
  <c r="Q186" i="2"/>
  <c r="R186" i="2"/>
  <c r="Q132" i="2"/>
  <c r="R132" i="2"/>
  <c r="I287" i="2"/>
  <c r="K287" i="2"/>
  <c r="J287" i="2"/>
  <c r="J466" i="2"/>
  <c r="K466" i="2"/>
  <c r="I466" i="2"/>
  <c r="J386" i="2"/>
  <c r="I386" i="2"/>
  <c r="K386" i="2"/>
  <c r="J205" i="2"/>
  <c r="I205" i="2"/>
  <c r="K205" i="2"/>
  <c r="I251" i="2"/>
  <c r="K251" i="2"/>
  <c r="J251" i="2"/>
  <c r="J70" i="2"/>
  <c r="I70" i="2"/>
  <c r="K70" i="2"/>
  <c r="Q58" i="2"/>
  <c r="R58" i="2"/>
  <c r="K37" i="2"/>
  <c r="J37" i="2"/>
  <c r="I37" i="2"/>
  <c r="I375" i="2"/>
  <c r="J375" i="2"/>
  <c r="K375" i="2"/>
  <c r="Q124" i="2"/>
  <c r="R124" i="2"/>
  <c r="K81" i="2"/>
  <c r="I81" i="2"/>
  <c r="J81" i="2"/>
  <c r="J46" i="2"/>
  <c r="I46" i="2"/>
  <c r="K46" i="2"/>
  <c r="I65" i="2"/>
  <c r="K65" i="2"/>
  <c r="J65" i="2"/>
  <c r="K55" i="2"/>
  <c r="J55" i="2"/>
  <c r="I55" i="2"/>
  <c r="J36" i="2"/>
  <c r="K36" i="2"/>
  <c r="I36" i="2"/>
  <c r="J7" i="2"/>
  <c r="I7" i="2"/>
  <c r="K7" i="2"/>
  <c r="K109" i="2"/>
  <c r="I109" i="2"/>
  <c r="J109" i="2"/>
  <c r="I501" i="2"/>
  <c r="J501" i="2"/>
  <c r="K501" i="2"/>
  <c r="K441" i="2"/>
  <c r="J441" i="2"/>
  <c r="I441" i="2"/>
  <c r="J374" i="2"/>
  <c r="K374" i="2"/>
  <c r="I374" i="2"/>
  <c r="R191" i="2"/>
  <c r="Q191" i="2"/>
  <c r="R141" i="2"/>
  <c r="Q141" i="2"/>
  <c r="J119" i="2"/>
  <c r="I119" i="2"/>
  <c r="K119" i="2"/>
  <c r="J175" i="2"/>
  <c r="I175" i="2"/>
  <c r="K175" i="2"/>
  <c r="I419" i="2"/>
  <c r="J419" i="2"/>
  <c r="K419" i="2"/>
  <c r="I411" i="2"/>
  <c r="J411" i="2"/>
  <c r="K411" i="2"/>
  <c r="I407" i="2"/>
  <c r="J407" i="2"/>
  <c r="K407" i="2"/>
  <c r="R179" i="2"/>
  <c r="Q179" i="2"/>
  <c r="I431" i="2"/>
  <c r="K431" i="2"/>
  <c r="J431" i="2"/>
  <c r="J392" i="2"/>
  <c r="I392" i="2"/>
  <c r="K392" i="2"/>
  <c r="I387" i="2"/>
  <c r="K387" i="2"/>
  <c r="J387" i="2"/>
  <c r="I269" i="2"/>
  <c r="K269" i="2"/>
  <c r="J269" i="2"/>
  <c r="J308" i="2"/>
  <c r="K308" i="2"/>
  <c r="I308" i="2"/>
  <c r="I303" i="2"/>
  <c r="K303" i="2"/>
  <c r="J303" i="2"/>
  <c r="Q216" i="2"/>
  <c r="R216" i="2"/>
  <c r="Q76" i="2"/>
  <c r="R76" i="2"/>
  <c r="K21" i="2"/>
  <c r="J21" i="2"/>
  <c r="I21" i="2"/>
  <c r="J464" i="2"/>
  <c r="K464" i="2"/>
  <c r="I464" i="2"/>
  <c r="J472" i="2"/>
  <c r="K472" i="2"/>
  <c r="I472" i="2"/>
  <c r="I465" i="2"/>
  <c r="J465" i="2"/>
  <c r="K465" i="2"/>
  <c r="J478" i="2"/>
  <c r="K478" i="2"/>
  <c r="I478" i="2"/>
  <c r="J442" i="2"/>
  <c r="I442" i="2"/>
  <c r="K442" i="2"/>
  <c r="I437" i="2"/>
  <c r="K437" i="2"/>
  <c r="J437" i="2"/>
  <c r="J400" i="2"/>
  <c r="K400" i="2"/>
  <c r="I400" i="2"/>
  <c r="J326" i="2"/>
  <c r="I326" i="2"/>
  <c r="K326" i="2"/>
  <c r="R239" i="2"/>
  <c r="Q239" i="2"/>
  <c r="R203" i="2"/>
  <c r="Q203" i="2"/>
  <c r="R167" i="2"/>
  <c r="Q167" i="2"/>
  <c r="Q131" i="2"/>
  <c r="R131" i="2"/>
  <c r="I341" i="2"/>
  <c r="K341" i="2"/>
  <c r="J341" i="2"/>
  <c r="I299" i="2"/>
  <c r="K299" i="2"/>
  <c r="J299" i="2"/>
  <c r="I255" i="2"/>
  <c r="K255" i="2"/>
  <c r="J255" i="2"/>
  <c r="I405" i="2"/>
  <c r="K405" i="2"/>
  <c r="J405" i="2"/>
  <c r="I321" i="2"/>
  <c r="J321" i="2"/>
  <c r="K321" i="2"/>
  <c r="R225" i="2"/>
  <c r="Q225" i="2"/>
  <c r="R189" i="2"/>
  <c r="Q189" i="2"/>
  <c r="R153" i="2"/>
  <c r="Q153" i="2"/>
  <c r="R117" i="2"/>
  <c r="Q117" i="2"/>
  <c r="J380" i="2"/>
  <c r="I380" i="2"/>
  <c r="K380" i="2"/>
  <c r="J344" i="2"/>
  <c r="K344" i="2"/>
  <c r="I344" i="2"/>
  <c r="J272" i="2"/>
  <c r="K272" i="2"/>
  <c r="I272" i="2"/>
  <c r="I267" i="2"/>
  <c r="K267" i="2"/>
  <c r="J267" i="2"/>
  <c r="Q126" i="2"/>
  <c r="R126" i="2"/>
  <c r="J274" i="2"/>
  <c r="I274" i="2"/>
  <c r="K274" i="2"/>
  <c r="J211" i="2"/>
  <c r="I211" i="2"/>
  <c r="K211" i="2"/>
  <c r="I115" i="2"/>
  <c r="K115" i="2"/>
  <c r="J115" i="2"/>
  <c r="K91" i="2"/>
  <c r="J91" i="2"/>
  <c r="I91" i="2"/>
  <c r="I381" i="2"/>
  <c r="K381" i="2"/>
  <c r="J381" i="2"/>
  <c r="I351" i="2"/>
  <c r="J351" i="2"/>
  <c r="K351" i="2"/>
  <c r="Q198" i="2"/>
  <c r="R198" i="2"/>
  <c r="J145" i="2"/>
  <c r="K145" i="2"/>
  <c r="I145" i="2"/>
  <c r="J125" i="2"/>
  <c r="I125" i="2"/>
  <c r="K125" i="2"/>
  <c r="J101" i="2"/>
  <c r="I101" i="2"/>
  <c r="K101" i="2"/>
  <c r="J382" i="2"/>
  <c r="K382" i="2"/>
  <c r="I382" i="2"/>
  <c r="J256" i="2"/>
  <c r="I256" i="2"/>
  <c r="K256" i="2"/>
  <c r="J52" i="2"/>
  <c r="I52" i="2"/>
  <c r="K52" i="2"/>
  <c r="K79" i="2"/>
  <c r="J79" i="2"/>
  <c r="I79" i="2"/>
  <c r="K61" i="2"/>
  <c r="J61" i="2"/>
  <c r="I61" i="2"/>
  <c r="I495" i="2"/>
  <c r="J495" i="2"/>
  <c r="K495" i="2"/>
  <c r="Q90" i="2"/>
  <c r="R90" i="2"/>
  <c r="K45" i="2"/>
  <c r="I45" i="2"/>
  <c r="J45" i="2"/>
  <c r="Q12" i="2"/>
  <c r="R12" i="2"/>
  <c r="I83" i="2"/>
  <c r="K83" i="2"/>
  <c r="J83" i="2"/>
  <c r="K73" i="2"/>
  <c r="J73" i="2"/>
  <c r="I73" i="2"/>
  <c r="J43" i="2"/>
  <c r="I43" i="2"/>
  <c r="K43" i="2"/>
  <c r="J25" i="2"/>
  <c r="I25" i="2"/>
  <c r="K25" i="2"/>
  <c r="J18" i="2"/>
  <c r="K18" i="2"/>
  <c r="I18" i="2"/>
  <c r="K19" i="2"/>
  <c r="J19" i="2"/>
  <c r="I19" i="2"/>
  <c r="J217" i="2"/>
  <c r="I217" i="2"/>
  <c r="K217" i="2"/>
  <c r="I459" i="2"/>
  <c r="J459" i="2"/>
  <c r="K459" i="2"/>
  <c r="J340" i="2"/>
  <c r="K340" i="2"/>
  <c r="I340" i="2"/>
  <c r="I423" i="2"/>
  <c r="J423" i="2"/>
  <c r="K423" i="2"/>
  <c r="I415" i="2"/>
  <c r="J415" i="2"/>
  <c r="K415" i="2"/>
  <c r="J350" i="2"/>
  <c r="K350" i="2"/>
  <c r="I350" i="2"/>
  <c r="I365" i="2"/>
  <c r="K365" i="2"/>
  <c r="J365" i="2"/>
  <c r="I369" i="2"/>
  <c r="J369" i="2"/>
  <c r="K369" i="2"/>
  <c r="R201" i="2"/>
  <c r="Q201" i="2"/>
  <c r="J368" i="2"/>
  <c r="K368" i="2"/>
  <c r="I368" i="2"/>
  <c r="J332" i="2"/>
  <c r="K332" i="2"/>
  <c r="I332" i="2"/>
  <c r="J193" i="2"/>
  <c r="I193" i="2"/>
  <c r="K193" i="2"/>
  <c r="Q162" i="2"/>
  <c r="R162" i="2"/>
  <c r="Q108" i="2"/>
  <c r="R108" i="2"/>
  <c r="R48" i="2"/>
  <c r="Q48" i="2"/>
  <c r="K27" i="2"/>
  <c r="I27" i="2"/>
  <c r="J27" i="2"/>
  <c r="J500" i="2"/>
  <c r="K500" i="2"/>
  <c r="I500" i="2"/>
  <c r="J482" i="2"/>
  <c r="K482" i="2"/>
  <c r="I482" i="2"/>
  <c r="Q442" i="2"/>
  <c r="R442" i="2"/>
  <c r="I425" i="2"/>
  <c r="K425" i="2"/>
  <c r="J425" i="2"/>
  <c r="I421" i="2"/>
  <c r="K421" i="2"/>
  <c r="J421" i="2"/>
  <c r="I417" i="2"/>
  <c r="K417" i="2"/>
  <c r="J417" i="2"/>
  <c r="I413" i="2"/>
  <c r="K413" i="2"/>
  <c r="J413" i="2"/>
  <c r="I409" i="2"/>
  <c r="K409" i="2"/>
  <c r="J409" i="2"/>
  <c r="I483" i="2"/>
  <c r="J483" i="2"/>
  <c r="K483" i="2"/>
  <c r="J448" i="2"/>
  <c r="I448" i="2"/>
  <c r="K448" i="2"/>
  <c r="I443" i="2"/>
  <c r="K443" i="2"/>
  <c r="J443" i="2"/>
  <c r="J496" i="2"/>
  <c r="K496" i="2"/>
  <c r="I496" i="2"/>
  <c r="R233" i="2"/>
  <c r="Q233" i="2"/>
  <c r="R197" i="2"/>
  <c r="Q197" i="2"/>
  <c r="R161" i="2"/>
  <c r="Q161" i="2"/>
  <c r="I467" i="2"/>
  <c r="K467" i="2"/>
  <c r="J467" i="2"/>
  <c r="J430" i="2"/>
  <c r="I430" i="2"/>
  <c r="K430" i="2"/>
  <c r="J406" i="2"/>
  <c r="K406" i="2"/>
  <c r="I406" i="2"/>
  <c r="I317" i="2"/>
  <c r="K317" i="2"/>
  <c r="J317" i="2"/>
  <c r="I273" i="2"/>
  <c r="K273" i="2"/>
  <c r="J273" i="2"/>
  <c r="K447" i="2"/>
  <c r="J447" i="2"/>
  <c r="I447" i="2"/>
  <c r="I333" i="2"/>
  <c r="J333" i="2"/>
  <c r="K333" i="2"/>
  <c r="R219" i="2"/>
  <c r="Q219" i="2"/>
  <c r="R183" i="2"/>
  <c r="Q183" i="2"/>
  <c r="R147" i="2"/>
  <c r="Q147" i="2"/>
  <c r="R111" i="2"/>
  <c r="Q111" i="2"/>
  <c r="J312" i="2"/>
  <c r="K312" i="2"/>
  <c r="I312" i="2"/>
  <c r="J364" i="2"/>
  <c r="K364" i="2"/>
  <c r="I364" i="2"/>
  <c r="Q204" i="2"/>
  <c r="R204" i="2"/>
  <c r="Q144" i="2"/>
  <c r="R144" i="2"/>
  <c r="J290" i="2"/>
  <c r="K290" i="2"/>
  <c r="I290" i="2"/>
  <c r="I285" i="2"/>
  <c r="K285" i="2"/>
  <c r="J285" i="2"/>
  <c r="J484" i="2"/>
  <c r="K484" i="2"/>
  <c r="I484" i="2"/>
  <c r="J187" i="2"/>
  <c r="I187" i="2"/>
  <c r="K187" i="2"/>
  <c r="Q120" i="2"/>
  <c r="R120" i="2"/>
  <c r="Q96" i="2"/>
  <c r="R96" i="2"/>
  <c r="J254" i="2"/>
  <c r="K254" i="2"/>
  <c r="I254" i="2"/>
  <c r="I249" i="2"/>
  <c r="K249" i="2"/>
  <c r="J249" i="2"/>
  <c r="R84" i="2"/>
  <c r="Q84" i="2"/>
  <c r="J42" i="2"/>
  <c r="K42" i="2"/>
  <c r="I42" i="2"/>
  <c r="K51" i="2"/>
  <c r="I51" i="2"/>
  <c r="J51" i="2"/>
  <c r="J95" i="2"/>
  <c r="I95" i="2"/>
  <c r="K95" i="2"/>
  <c r="I477" i="2"/>
  <c r="J477" i="2"/>
  <c r="K477" i="2"/>
  <c r="J199" i="2"/>
  <c r="I199" i="2"/>
  <c r="K199" i="2"/>
  <c r="K532" i="3" l="1"/>
  <c r="J532" i="3" s="1"/>
  <c r="K316" i="3"/>
  <c r="E316" i="3" s="1"/>
  <c r="A532" i="3"/>
  <c r="G532" i="3"/>
  <c r="F532" i="3"/>
  <c r="I316" i="3"/>
  <c r="G316" i="3"/>
  <c r="A316" i="3"/>
  <c r="H316" i="3"/>
  <c r="F316" i="3"/>
  <c r="J316" i="3"/>
  <c r="K382" i="3"/>
  <c r="K30" i="3"/>
  <c r="K120" i="3"/>
  <c r="L98" i="3"/>
  <c r="C98" i="3" s="1"/>
  <c r="K84" i="3"/>
  <c r="L84" i="3"/>
  <c r="L56" i="3"/>
  <c r="L150" i="3"/>
  <c r="L261" i="3"/>
  <c r="L102" i="3"/>
  <c r="C102" i="3" s="1"/>
  <c r="L220" i="3"/>
  <c r="K64" i="3"/>
  <c r="L126" i="3"/>
  <c r="L356" i="3"/>
  <c r="L79" i="3"/>
  <c r="K134" i="3"/>
  <c r="K217" i="3"/>
  <c r="K333" i="3"/>
  <c r="L258" i="3"/>
  <c r="K136" i="3"/>
  <c r="K211" i="3"/>
  <c r="L322" i="3"/>
  <c r="K232" i="3"/>
  <c r="L302" i="3"/>
  <c r="K234" i="3"/>
  <c r="L455" i="3"/>
  <c r="K343" i="3"/>
  <c r="L379" i="3"/>
  <c r="C379" i="3" s="1"/>
  <c r="L454" i="3"/>
  <c r="K488" i="3"/>
  <c r="L90" i="3"/>
  <c r="K109" i="3"/>
  <c r="K123" i="3"/>
  <c r="L27" i="3"/>
  <c r="C27" i="3" s="1"/>
  <c r="K187" i="3"/>
  <c r="L136" i="3"/>
  <c r="C136" i="3" s="1"/>
  <c r="K72" i="3"/>
  <c r="L33" i="3"/>
  <c r="L99" i="3"/>
  <c r="L42" i="3"/>
  <c r="C42" i="3" s="1"/>
  <c r="L188" i="3"/>
  <c r="K37" i="3"/>
  <c r="L152" i="3"/>
  <c r="K230" i="3"/>
  <c r="L30" i="3"/>
  <c r="C30" i="3" s="1"/>
  <c r="K67" i="3"/>
  <c r="K108" i="3"/>
  <c r="L144" i="3"/>
  <c r="K174" i="3"/>
  <c r="L351" i="3"/>
  <c r="K53" i="3"/>
  <c r="K94" i="3"/>
  <c r="K143" i="3"/>
  <c r="K22" i="3"/>
  <c r="K52" i="3"/>
  <c r="K93" i="3"/>
  <c r="L143" i="3"/>
  <c r="K173" i="3"/>
  <c r="L381" i="3"/>
  <c r="K40" i="3"/>
  <c r="K61" i="3"/>
  <c r="K81" i="3"/>
  <c r="K107" i="3"/>
  <c r="L130" i="3"/>
  <c r="C130" i="3" s="1"/>
  <c r="L155" i="3"/>
  <c r="L174" i="3"/>
  <c r="C174" i="3" s="1"/>
  <c r="K189" i="3"/>
  <c r="L214" i="3"/>
  <c r="L266" i="3"/>
  <c r="K404" i="3"/>
  <c r="K65" i="3"/>
  <c r="L81" i="3"/>
  <c r="C81" i="3" s="1"/>
  <c r="K106" i="3"/>
  <c r="K126" i="3"/>
  <c r="K151" i="3"/>
  <c r="L185" i="3"/>
  <c r="C185" i="3" s="1"/>
  <c r="K227" i="3"/>
  <c r="K265" i="3"/>
  <c r="K23" i="3"/>
  <c r="L44" i="3"/>
  <c r="L65" i="3"/>
  <c r="K90" i="3"/>
  <c r="L106" i="3"/>
  <c r="C106" i="3" s="1"/>
  <c r="K131" i="3"/>
  <c r="K205" i="3"/>
  <c r="L280" i="3"/>
  <c r="K392" i="3"/>
  <c r="K44" i="3"/>
  <c r="K62" i="3"/>
  <c r="K80" i="3"/>
  <c r="K98" i="3"/>
  <c r="K116" i="3"/>
  <c r="K147" i="3"/>
  <c r="L168" i="3"/>
  <c r="C168" i="3" s="1"/>
  <c r="K198" i="3"/>
  <c r="K219" i="3"/>
  <c r="L252" i="3"/>
  <c r="K298" i="3"/>
  <c r="K371" i="3"/>
  <c r="L198" i="3"/>
  <c r="C198" i="3" s="1"/>
  <c r="K233" i="3"/>
  <c r="K263" i="3"/>
  <c r="K317" i="3"/>
  <c r="L421" i="3"/>
  <c r="K140" i="3"/>
  <c r="L161" i="3"/>
  <c r="C161" i="3" s="1"/>
  <c r="L187" i="3"/>
  <c r="C187" i="3" s="1"/>
  <c r="L222" i="3"/>
  <c r="L254" i="3"/>
  <c r="L278" i="3"/>
  <c r="L327" i="3"/>
  <c r="K142" i="3"/>
  <c r="K166" i="3"/>
  <c r="L201" i="3"/>
  <c r="L237" i="3"/>
  <c r="L272" i="3"/>
  <c r="K319" i="3"/>
  <c r="K437" i="3"/>
  <c r="L307" i="3"/>
  <c r="K340" i="3"/>
  <c r="L405" i="3"/>
  <c r="L239" i="3"/>
  <c r="K285" i="3"/>
  <c r="L340" i="3"/>
  <c r="C340" i="3" s="1"/>
  <c r="L478" i="3"/>
  <c r="K270" i="3"/>
  <c r="K306" i="3"/>
  <c r="K348" i="3"/>
  <c r="L507" i="3"/>
  <c r="K314" i="3"/>
  <c r="K384" i="3"/>
  <c r="K338" i="3"/>
  <c r="L398" i="3"/>
  <c r="L446" i="3"/>
  <c r="K481" i="3"/>
  <c r="K485" i="3"/>
  <c r="L519" i="3"/>
  <c r="L513" i="3"/>
  <c r="L518" i="3"/>
  <c r="L59" i="3"/>
  <c r="K125" i="3"/>
  <c r="L29" i="3"/>
  <c r="K28" i="3"/>
  <c r="K169" i="3"/>
  <c r="L368" i="3"/>
  <c r="L283" i="3"/>
  <c r="K102" i="3"/>
  <c r="L210" i="3"/>
  <c r="C210" i="3" s="1"/>
  <c r="L76" i="3"/>
  <c r="K146" i="3"/>
  <c r="L39" i="3"/>
  <c r="K105" i="3"/>
  <c r="K241" i="3"/>
  <c r="L61" i="3"/>
  <c r="C61" i="3" s="1"/>
  <c r="L115" i="3"/>
  <c r="L194" i="3"/>
  <c r="K277" i="3"/>
  <c r="L226" i="3"/>
  <c r="K410" i="3"/>
  <c r="K186" i="3"/>
  <c r="K274" i="3"/>
  <c r="L165" i="3"/>
  <c r="K428" i="3"/>
  <c r="K395" i="3"/>
  <c r="L335" i="3"/>
  <c r="L269" i="3"/>
  <c r="C269" i="3" s="1"/>
  <c r="L472" i="3"/>
  <c r="L450" i="3"/>
  <c r="K452" i="3"/>
  <c r="L498" i="3"/>
  <c r="L157" i="3"/>
  <c r="K139" i="3"/>
  <c r="L134" i="3"/>
  <c r="K48" i="3"/>
  <c r="L25" i="3"/>
  <c r="K149" i="3"/>
  <c r="K103" i="3"/>
  <c r="L38" i="3"/>
  <c r="K119" i="3"/>
  <c r="K51" i="3"/>
  <c r="L218" i="3"/>
  <c r="K58" i="3"/>
  <c r="L162" i="3"/>
  <c r="L241" i="3"/>
  <c r="C241" i="3" s="1"/>
  <c r="K34" i="3"/>
  <c r="K77" i="3"/>
  <c r="K118" i="3"/>
  <c r="L149" i="3"/>
  <c r="C149" i="3" s="1"/>
  <c r="K179" i="3"/>
  <c r="L365" i="3"/>
  <c r="C365" i="3" s="1"/>
  <c r="L54" i="3"/>
  <c r="L95" i="3"/>
  <c r="L205" i="3"/>
  <c r="C205" i="3" s="1"/>
  <c r="L24" i="3"/>
  <c r="L53" i="3"/>
  <c r="C53" i="3" s="1"/>
  <c r="L94" i="3"/>
  <c r="C94" i="3" s="1"/>
  <c r="L148" i="3"/>
  <c r="K201" i="3"/>
  <c r="K21" i="3"/>
  <c r="L41" i="3"/>
  <c r="K66" i="3"/>
  <c r="L82" i="3"/>
  <c r="C82" i="3" s="1"/>
  <c r="L108" i="3"/>
  <c r="C108" i="3" s="1"/>
  <c r="L132" i="3"/>
  <c r="L160" i="3"/>
  <c r="K175" i="3"/>
  <c r="K194" i="3"/>
  <c r="K221" i="3"/>
  <c r="L271" i="3"/>
  <c r="K527" i="3"/>
  <c r="L66" i="3"/>
  <c r="C66" i="3" s="1"/>
  <c r="L86" i="3"/>
  <c r="L107" i="3"/>
  <c r="C107" i="3" s="1"/>
  <c r="L128" i="3"/>
  <c r="C128" i="3" s="1"/>
  <c r="K156" i="3"/>
  <c r="L190" i="3"/>
  <c r="L238" i="3"/>
  <c r="K293" i="3"/>
  <c r="L28" i="3"/>
  <c r="K49" i="3"/>
  <c r="K69" i="3"/>
  <c r="K95" i="3"/>
  <c r="L111" i="3"/>
  <c r="K133" i="3"/>
  <c r="L206" i="3"/>
  <c r="K289" i="3"/>
  <c r="L486" i="3"/>
  <c r="L49" i="3"/>
  <c r="L67" i="3"/>
  <c r="L85" i="3"/>
  <c r="L103" i="3"/>
  <c r="C103" i="3" s="1"/>
  <c r="K122" i="3"/>
  <c r="K152" i="3"/>
  <c r="L173" i="3"/>
  <c r="L199" i="3"/>
  <c r="L228" i="3"/>
  <c r="K257" i="3"/>
  <c r="K308" i="3"/>
  <c r="L386" i="3"/>
  <c r="L203" i="3"/>
  <c r="L235" i="3"/>
  <c r="K273" i="3"/>
  <c r="L360" i="3"/>
  <c r="L123" i="3"/>
  <c r="C123" i="3" s="1"/>
  <c r="K145" i="3"/>
  <c r="L166" i="3"/>
  <c r="C166" i="3" s="1"/>
  <c r="L192" i="3"/>
  <c r="L224" i="3"/>
  <c r="L259" i="3"/>
  <c r="K279" i="3"/>
  <c r="K342" i="3"/>
  <c r="L147" i="3"/>
  <c r="C147" i="3" s="1"/>
  <c r="L177" i="3"/>
  <c r="L213" i="3"/>
  <c r="L246" i="3"/>
  <c r="K292" i="3"/>
  <c r="K339" i="3"/>
  <c r="K281" i="3"/>
  <c r="L320" i="3"/>
  <c r="K354" i="3"/>
  <c r="L215" i="3"/>
  <c r="K254" i="3"/>
  <c r="K295" i="3"/>
  <c r="K360" i="3"/>
  <c r="K246" i="3"/>
  <c r="K282" i="3"/>
  <c r="L318" i="3"/>
  <c r="L359" i="3"/>
  <c r="C359" i="3" s="1"/>
  <c r="L383" i="3"/>
  <c r="K336" i="3"/>
  <c r="L406" i="3"/>
  <c r="K356" i="3"/>
  <c r="K420" i="3"/>
  <c r="L384" i="3"/>
  <c r="C384" i="3" s="1"/>
  <c r="K453" i="3"/>
  <c r="K490" i="3"/>
  <c r="L461" i="3"/>
  <c r="L488" i="3"/>
  <c r="C488" i="3" s="1"/>
  <c r="L536" i="3"/>
  <c r="L167" i="3"/>
  <c r="C167" i="3" s="1"/>
  <c r="K88" i="3"/>
  <c r="K204" i="3"/>
  <c r="L139" i="3"/>
  <c r="K138" i="3"/>
  <c r="L138" i="3"/>
  <c r="L77" i="3"/>
  <c r="C77" i="3" s="1"/>
  <c r="K185" i="3"/>
  <c r="K60" i="3"/>
  <c r="L122" i="3"/>
  <c r="L22" i="3"/>
  <c r="C22" i="3" s="1"/>
  <c r="K85" i="3"/>
  <c r="L191" i="3"/>
  <c r="C191" i="3" s="1"/>
  <c r="L43" i="3"/>
  <c r="L97" i="3"/>
  <c r="K167" i="3"/>
  <c r="K248" i="3"/>
  <c r="K197" i="3"/>
  <c r="L295" i="3"/>
  <c r="C295" i="3" s="1"/>
  <c r="L156" i="3"/>
  <c r="C156" i="3" s="1"/>
  <c r="L249" i="3"/>
  <c r="L141" i="3"/>
  <c r="K271" i="3"/>
  <c r="L339" i="3"/>
  <c r="K280" i="3"/>
  <c r="L305" i="3"/>
  <c r="L470" i="3"/>
  <c r="K332" i="3"/>
  <c r="L418" i="3"/>
  <c r="L500" i="3"/>
  <c r="L419" i="3"/>
  <c r="C419" i="3" s="1"/>
  <c r="K36" i="3"/>
  <c r="L193" i="3"/>
  <c r="K79" i="3"/>
  <c r="L58" i="3"/>
  <c r="C58" i="3" s="1"/>
  <c r="K236" i="3"/>
  <c r="K310" i="3"/>
  <c r="L48" i="3"/>
  <c r="C48" i="3" s="1"/>
  <c r="K144" i="3"/>
  <c r="L62" i="3"/>
  <c r="C62" i="3" s="1"/>
  <c r="K315" i="3"/>
  <c r="L69" i="3"/>
  <c r="L172" i="3"/>
  <c r="K247" i="3"/>
  <c r="K39" i="3"/>
  <c r="L78" i="3"/>
  <c r="L119" i="3"/>
  <c r="C119" i="3" s="1"/>
  <c r="L154" i="3"/>
  <c r="K200" i="3"/>
  <c r="K451" i="3"/>
  <c r="K63" i="3"/>
  <c r="L105" i="3"/>
  <c r="C105" i="3" s="1"/>
  <c r="K212" i="3"/>
  <c r="K31" i="3"/>
  <c r="L63" i="3"/>
  <c r="C63" i="3" s="1"/>
  <c r="L104" i="3"/>
  <c r="K153" i="3"/>
  <c r="K218" i="3"/>
  <c r="L26" i="3"/>
  <c r="K45" i="3"/>
  <c r="K71" i="3"/>
  <c r="L87" i="3"/>
  <c r="K112" i="3"/>
  <c r="K137" i="3"/>
  <c r="L164" i="3"/>
  <c r="L179" i="3"/>
  <c r="C179" i="3" s="1"/>
  <c r="K199" i="3"/>
  <c r="L232" i="3"/>
  <c r="C232" i="3" s="1"/>
  <c r="L276" i="3"/>
  <c r="L45" i="3"/>
  <c r="C45" i="3" s="1"/>
  <c r="K70" i="3"/>
  <c r="K91" i="3"/>
  <c r="K111" i="3"/>
  <c r="K135" i="3"/>
  <c r="K161" i="3"/>
  <c r="K195" i="3"/>
  <c r="K245" i="3"/>
  <c r="L304" i="3"/>
  <c r="K29" i="3"/>
  <c r="K54" i="3"/>
  <c r="L70" i="3"/>
  <c r="L96" i="3"/>
  <c r="L116" i="3"/>
  <c r="C116" i="3" s="1"/>
  <c r="L176" i="3"/>
  <c r="L216" i="3"/>
  <c r="L300" i="3"/>
  <c r="K32" i="3"/>
  <c r="K50" i="3"/>
  <c r="K68" i="3"/>
  <c r="K86" i="3"/>
  <c r="K104" i="3"/>
  <c r="L127" i="3"/>
  <c r="K157" i="3"/>
  <c r="L178" i="3"/>
  <c r="K203" i="3"/>
  <c r="K235" i="3"/>
  <c r="K262" i="3"/>
  <c r="L309" i="3"/>
  <c r="K396" i="3"/>
  <c r="L208" i="3"/>
  <c r="L244" i="3"/>
  <c r="K278" i="3"/>
  <c r="K364" i="3"/>
  <c r="K124" i="3"/>
  <c r="L146" i="3"/>
  <c r="C146" i="3" s="1"/>
  <c r="K176" i="3"/>
  <c r="L197" i="3"/>
  <c r="C197" i="3" s="1"/>
  <c r="K229" i="3"/>
  <c r="L264" i="3"/>
  <c r="C264" i="3" s="1"/>
  <c r="K283" i="3"/>
  <c r="K347" i="3"/>
  <c r="K148" i="3"/>
  <c r="K178" i="3"/>
  <c r="K214" i="3"/>
  <c r="K251" i="3"/>
  <c r="K297" i="3"/>
  <c r="L348" i="3"/>
  <c r="C348" i="3" s="1"/>
  <c r="K286" i="3"/>
  <c r="L324" i="3"/>
  <c r="K359" i="3"/>
  <c r="K216" i="3"/>
  <c r="L255" i="3"/>
  <c r="L296" i="3"/>
  <c r="K365" i="3"/>
  <c r="L251" i="3"/>
  <c r="L287" i="3"/>
  <c r="K322" i="3"/>
  <c r="L364" i="3"/>
  <c r="L393" i="3"/>
  <c r="L342" i="3"/>
  <c r="C342" i="3" s="1"/>
  <c r="K419" i="3"/>
  <c r="K374" i="3"/>
  <c r="L456" i="3"/>
  <c r="C456" i="3" s="1"/>
  <c r="L402" i="3"/>
  <c r="K482" i="3"/>
  <c r="L435" i="3"/>
  <c r="L479" i="3"/>
  <c r="K508" i="3"/>
  <c r="L114" i="3"/>
  <c r="C114" i="3" s="1"/>
  <c r="L32" i="3"/>
  <c r="C32" i="3" s="1"/>
  <c r="L290" i="3"/>
  <c r="K168" i="3"/>
  <c r="K170" i="3"/>
  <c r="L180" i="3"/>
  <c r="K196" i="3"/>
  <c r="K99" i="3"/>
  <c r="L52" i="3"/>
  <c r="C52" i="3" s="1"/>
  <c r="K210" i="3"/>
  <c r="L110" i="3"/>
  <c r="L89" i="3"/>
  <c r="L274" i="3"/>
  <c r="C274" i="3" s="1"/>
  <c r="K361" i="3"/>
  <c r="K57" i="3"/>
  <c r="L211" i="3"/>
  <c r="C211" i="3" s="1"/>
  <c r="K82" i="3"/>
  <c r="L341" i="3"/>
  <c r="K89" i="3"/>
  <c r="K182" i="3"/>
  <c r="L289" i="3"/>
  <c r="K46" i="3"/>
  <c r="K87" i="3"/>
  <c r="L125" i="3"/>
  <c r="C125" i="3" s="1"/>
  <c r="K159" i="3"/>
  <c r="K225" i="3"/>
  <c r="K24" i="3"/>
  <c r="L64" i="3"/>
  <c r="C64" i="3" s="1"/>
  <c r="K115" i="3"/>
  <c r="L223" i="3"/>
  <c r="L35" i="3"/>
  <c r="C35" i="3" s="1"/>
  <c r="K73" i="3"/>
  <c r="K114" i="3"/>
  <c r="K158" i="3"/>
  <c r="L229" i="3"/>
  <c r="C229" i="3" s="1"/>
  <c r="K27" i="3"/>
  <c r="L46" i="3"/>
  <c r="C46" i="3" s="1"/>
  <c r="L72" i="3"/>
  <c r="C72" i="3" s="1"/>
  <c r="L92" i="3"/>
  <c r="L113" i="3"/>
  <c r="L140" i="3"/>
  <c r="C140" i="3" s="1"/>
  <c r="K165" i="3"/>
  <c r="K180" i="3"/>
  <c r="L200" i="3"/>
  <c r="K239" i="3"/>
  <c r="K299" i="3"/>
  <c r="L50" i="3"/>
  <c r="C50" i="3" s="1"/>
  <c r="L71" i="3"/>
  <c r="K96" i="3"/>
  <c r="L112" i="3"/>
  <c r="C112" i="3" s="1"/>
  <c r="L137" i="3"/>
  <c r="C137" i="3" s="1"/>
  <c r="L170" i="3"/>
  <c r="C170" i="3" s="1"/>
  <c r="L196" i="3"/>
  <c r="K250" i="3"/>
  <c r="L391" i="3"/>
  <c r="C391" i="3" s="1"/>
  <c r="K33" i="3"/>
  <c r="K59" i="3"/>
  <c r="L75" i="3"/>
  <c r="K100" i="3"/>
  <c r="K121" i="3"/>
  <c r="L181" i="3"/>
  <c r="C181" i="3" s="1"/>
  <c r="K223" i="3"/>
  <c r="L336" i="3"/>
  <c r="C336" i="3" s="1"/>
  <c r="L37" i="3"/>
  <c r="C37" i="3" s="1"/>
  <c r="L55" i="3"/>
  <c r="L73" i="3"/>
  <c r="L91" i="3"/>
  <c r="C91" i="3" s="1"/>
  <c r="L109" i="3"/>
  <c r="C109" i="3" s="1"/>
  <c r="K128" i="3"/>
  <c r="L158" i="3"/>
  <c r="C158" i="3" s="1"/>
  <c r="K183" i="3"/>
  <c r="L209" i="3"/>
  <c r="K237" i="3"/>
  <c r="K267" i="3"/>
  <c r="K318" i="3"/>
  <c r="K414" i="3"/>
  <c r="L217" i="3"/>
  <c r="C217" i="3" s="1"/>
  <c r="L248" i="3"/>
  <c r="C248" i="3" s="1"/>
  <c r="K284" i="3"/>
  <c r="K369" i="3"/>
  <c r="L129" i="3"/>
  <c r="L151" i="3"/>
  <c r="C151" i="3" s="1"/>
  <c r="K181" i="3"/>
  <c r="L202" i="3"/>
  <c r="K231" i="3"/>
  <c r="L268" i="3"/>
  <c r="K304" i="3"/>
  <c r="K352" i="3"/>
  <c r="L159" i="3"/>
  <c r="L183" i="3"/>
  <c r="C183" i="3" s="1"/>
  <c r="L219" i="3"/>
  <c r="C219" i="3" s="1"/>
  <c r="K256" i="3"/>
  <c r="L298" i="3"/>
  <c r="C298" i="3" s="1"/>
  <c r="L353" i="3"/>
  <c r="K291" i="3"/>
  <c r="K325" i="3"/>
  <c r="K366" i="3"/>
  <c r="L221" i="3"/>
  <c r="K259" i="3"/>
  <c r="L301" i="3"/>
  <c r="L366" i="3"/>
  <c r="K252" i="3"/>
  <c r="K288" i="3"/>
  <c r="L323" i="3"/>
  <c r="K399" i="3"/>
  <c r="L423" i="3"/>
  <c r="L352" i="3"/>
  <c r="K502" i="3"/>
  <c r="K398" i="3"/>
  <c r="K370" i="3"/>
  <c r="L420" i="3"/>
  <c r="C420" i="3" s="1"/>
  <c r="L521" i="3"/>
  <c r="L453" i="3"/>
  <c r="C453" i="3" s="1"/>
  <c r="L505" i="3"/>
  <c r="K78" i="3"/>
  <c r="K41" i="3"/>
  <c r="K113" i="3"/>
  <c r="L57" i="3"/>
  <c r="C57" i="3" s="1"/>
  <c r="K43" i="3"/>
  <c r="K42" i="3"/>
  <c r="L36" i="3"/>
  <c r="C36" i="3" s="1"/>
  <c r="L118" i="3"/>
  <c r="C118" i="3" s="1"/>
  <c r="L315" i="3"/>
  <c r="C315" i="3" s="1"/>
  <c r="K260" i="3"/>
  <c r="K531" i="3"/>
  <c r="K513" i="3"/>
  <c r="K536" i="3"/>
  <c r="K518" i="3"/>
  <c r="L527" i="3"/>
  <c r="C527" i="3" s="1"/>
  <c r="L504" i="3"/>
  <c r="L533" i="3"/>
  <c r="L511" i="3"/>
  <c r="K493" i="3"/>
  <c r="L528" i="3"/>
  <c r="L493" i="3"/>
  <c r="K474" i="3"/>
  <c r="K456" i="3"/>
  <c r="K509" i="3"/>
  <c r="K484" i="3"/>
  <c r="K466" i="3"/>
  <c r="K448" i="3"/>
  <c r="L534" i="3"/>
  <c r="K483" i="3"/>
  <c r="L484" i="3"/>
  <c r="K447" i="3"/>
  <c r="L422" i="3"/>
  <c r="K517" i="3"/>
  <c r="L481" i="3"/>
  <c r="C481" i="3" s="1"/>
  <c r="L448" i="3"/>
  <c r="C448" i="3" s="1"/>
  <c r="L480" i="3"/>
  <c r="L449" i="3"/>
  <c r="K433" i="3"/>
  <c r="K415" i="3"/>
  <c r="K397" i="3"/>
  <c r="K379" i="3"/>
  <c r="K445" i="3"/>
  <c r="K416" i="3"/>
  <c r="K386" i="3"/>
  <c r="L369" i="3"/>
  <c r="K446" i="3"/>
  <c r="K418" i="3"/>
  <c r="K528" i="3"/>
  <c r="K449" i="3"/>
  <c r="L415" i="3"/>
  <c r="L394" i="3"/>
  <c r="L373" i="3"/>
  <c r="L355" i="3"/>
  <c r="L337" i="3"/>
  <c r="L319" i="3"/>
  <c r="C319" i="3" s="1"/>
  <c r="L412" i="3"/>
  <c r="K380" i="3"/>
  <c r="L357" i="3"/>
  <c r="K341" i="3"/>
  <c r="L313" i="3"/>
  <c r="K430" i="3"/>
  <c r="L388" i="3"/>
  <c r="L475" i="3"/>
  <c r="L400" i="3"/>
  <c r="K363" i="3"/>
  <c r="L530" i="3"/>
  <c r="L512" i="3"/>
  <c r="C512" i="3" s="1"/>
  <c r="L535" i="3"/>
  <c r="L517" i="3"/>
  <c r="C517" i="3" s="1"/>
  <c r="L525" i="3"/>
  <c r="K503" i="3"/>
  <c r="L531" i="3"/>
  <c r="C531" i="3" s="1"/>
  <c r="K510" i="3"/>
  <c r="L492" i="3"/>
  <c r="L526" i="3"/>
  <c r="K491" i="3"/>
  <c r="L473" i="3"/>
  <c r="K529" i="3"/>
  <c r="K504" i="3"/>
  <c r="L483" i="3"/>
  <c r="C483" i="3" s="1"/>
  <c r="L465" i="3"/>
  <c r="L447" i="3"/>
  <c r="K523" i="3"/>
  <c r="L482" i="3"/>
  <c r="C482" i="3" s="1"/>
  <c r="L469" i="3"/>
  <c r="C469" i="3" s="1"/>
  <c r="L442" i="3"/>
  <c r="K417" i="3"/>
  <c r="L514" i="3"/>
  <c r="K471" i="3"/>
  <c r="L443" i="3"/>
  <c r="K473" i="3"/>
  <c r="L444" i="3"/>
  <c r="L432" i="3"/>
  <c r="L414" i="3"/>
  <c r="C414" i="3" s="1"/>
  <c r="L396" i="3"/>
  <c r="C396" i="3" s="1"/>
  <c r="K476" i="3"/>
  <c r="K440" i="3"/>
  <c r="K407" i="3"/>
  <c r="L382" i="3"/>
  <c r="C382" i="3" s="1"/>
  <c r="K515" i="3"/>
  <c r="K439" i="3"/>
  <c r="L413" i="3"/>
  <c r="K498" i="3"/>
  <c r="L438" i="3"/>
  <c r="K413" i="3"/>
  <c r="K393" i="3"/>
  <c r="K368" i="3"/>
  <c r="K350" i="3"/>
  <c r="K525" i="3"/>
  <c r="K507" i="3"/>
  <c r="K530" i="3"/>
  <c r="K512" i="3"/>
  <c r="K516" i="3"/>
  <c r="K495" i="3"/>
  <c r="K522" i="3"/>
  <c r="K505" i="3"/>
  <c r="K487" i="3"/>
  <c r="L532" i="3"/>
  <c r="C532" i="3" s="1"/>
  <c r="K486" i="3"/>
  <c r="K468" i="3"/>
  <c r="L522" i="3"/>
  <c r="C522" i="3" s="1"/>
  <c r="L499" i="3"/>
  <c r="K478" i="3"/>
  <c r="K460" i="3"/>
  <c r="K442" i="3"/>
  <c r="L508" i="3"/>
  <c r="C508" i="3" s="1"/>
  <c r="K477" i="3"/>
  <c r="K467" i="3"/>
  <c r="L437" i="3"/>
  <c r="L416" i="3"/>
  <c r="K511" i="3"/>
  <c r="K469" i="3"/>
  <c r="L520" i="3"/>
  <c r="L466" i="3"/>
  <c r="C466" i="3" s="1"/>
  <c r="K443" i="3"/>
  <c r="K427" i="3"/>
  <c r="K409" i="3"/>
  <c r="K391" i="3"/>
  <c r="K470" i="3"/>
  <c r="K435" i="3"/>
  <c r="K402" i="3"/>
  <c r="K381" i="3"/>
  <c r="L487" i="3"/>
  <c r="C487" i="3" s="1"/>
  <c r="K434" i="3"/>
  <c r="L411" i="3"/>
  <c r="C411" i="3" s="1"/>
  <c r="K479" i="3"/>
  <c r="L433" i="3"/>
  <c r="L409" i="3"/>
  <c r="C409" i="3" s="1"/>
  <c r="L389" i="3"/>
  <c r="L367" i="3"/>
  <c r="L349" i="3"/>
  <c r="C349" i="3" s="1"/>
  <c r="L331" i="3"/>
  <c r="K465" i="3"/>
  <c r="K405" i="3"/>
  <c r="K377" i="3"/>
  <c r="K351" i="3"/>
  <c r="K331" i="3"/>
  <c r="K459" i="3"/>
  <c r="K412" i="3"/>
  <c r="L374" i="3"/>
  <c r="C374" i="3" s="1"/>
  <c r="K461" i="3"/>
  <c r="L378" i="3"/>
  <c r="K358" i="3"/>
  <c r="L333" i="3"/>
  <c r="C333" i="3" s="1"/>
  <c r="L317" i="3"/>
  <c r="C317" i="3" s="1"/>
  <c r="L299" i="3"/>
  <c r="C299" i="3" s="1"/>
  <c r="L281" i="3"/>
  <c r="C281" i="3" s="1"/>
  <c r="L263" i="3"/>
  <c r="C263" i="3" s="1"/>
  <c r="L245" i="3"/>
  <c r="C245" i="3" s="1"/>
  <c r="K401" i="3"/>
  <c r="K355" i="3"/>
  <c r="K321" i="3"/>
  <c r="L291" i="3"/>
  <c r="C291" i="3" s="1"/>
  <c r="L270" i="3"/>
  <c r="C270" i="3" s="1"/>
  <c r="L250" i="3"/>
  <c r="C250" i="3" s="1"/>
  <c r="K228" i="3"/>
  <c r="K494" i="3"/>
  <c r="L385" i="3"/>
  <c r="K349" i="3"/>
  <c r="L334" i="3"/>
  <c r="L316" i="3"/>
  <c r="C316" i="3" s="1"/>
  <c r="L297" i="3"/>
  <c r="C297" i="3" s="1"/>
  <c r="L491" i="3"/>
  <c r="C491" i="3" s="1"/>
  <c r="K378" i="3"/>
  <c r="K334" i="3"/>
  <c r="K307" i="3"/>
  <c r="K287" i="3"/>
  <c r="K266" i="3"/>
  <c r="K244" i="3"/>
  <c r="K226" i="3"/>
  <c r="K208" i="3"/>
  <c r="K190" i="3"/>
  <c r="K172" i="3"/>
  <c r="K154" i="3"/>
  <c r="L502" i="3"/>
  <c r="C502" i="3" s="1"/>
  <c r="K337" i="3"/>
  <c r="L294" i="3"/>
  <c r="L538" i="3"/>
  <c r="L524" i="3"/>
  <c r="L506" i="3"/>
  <c r="L529" i="3"/>
  <c r="C529" i="3" s="1"/>
  <c r="K535" i="3"/>
  <c r="K514" i="3"/>
  <c r="L494" i="3"/>
  <c r="C494" i="3" s="1"/>
  <c r="K520" i="3"/>
  <c r="K500" i="3"/>
  <c r="K538" i="3"/>
  <c r="K521" i="3"/>
  <c r="L485" i="3"/>
  <c r="L467" i="3"/>
  <c r="L497" i="3"/>
  <c r="C497" i="3" s="1"/>
  <c r="K497" i="3"/>
  <c r="L477" i="3"/>
  <c r="L459" i="3"/>
  <c r="L441" i="3"/>
  <c r="L503" i="3"/>
  <c r="C503" i="3" s="1"/>
  <c r="L476" i="3"/>
  <c r="C476" i="3" s="1"/>
  <c r="L460" i="3"/>
  <c r="C460" i="3" s="1"/>
  <c r="K429" i="3"/>
  <c r="K411" i="3"/>
  <c r="K506" i="3"/>
  <c r="L464" i="3"/>
  <c r="L496" i="3"/>
  <c r="C496" i="3" s="1"/>
  <c r="K464" i="3"/>
  <c r="L439" i="3"/>
  <c r="C439" i="3" s="1"/>
  <c r="L426" i="3"/>
  <c r="L408" i="3"/>
  <c r="L390" i="3"/>
  <c r="L463" i="3"/>
  <c r="C463" i="3" s="1"/>
  <c r="L427" i="3"/>
  <c r="C427" i="3" s="1"/>
  <c r="L397" i="3"/>
  <c r="C397" i="3" s="1"/>
  <c r="K376" i="3"/>
  <c r="L474" i="3"/>
  <c r="C474" i="3" s="1"/>
  <c r="L431" i="3"/>
  <c r="K408" i="3"/>
  <c r="L468" i="3"/>
  <c r="C468" i="3" s="1"/>
  <c r="K431" i="3"/>
  <c r="L404" i="3"/>
  <c r="K388" i="3"/>
  <c r="K362" i="3"/>
  <c r="K344" i="3"/>
  <c r="K326" i="3"/>
  <c r="L452" i="3"/>
  <c r="C452" i="3" s="1"/>
  <c r="K394" i="3"/>
  <c r="L372" i="3"/>
  <c r="L347" i="3"/>
  <c r="C347" i="3" s="1"/>
  <c r="L326" i="3"/>
  <c r="C326" i="3" s="1"/>
  <c r="L445" i="3"/>
  <c r="C445" i="3" s="1"/>
  <c r="L407" i="3"/>
  <c r="K372" i="3"/>
  <c r="L451" i="3"/>
  <c r="C451" i="3" s="1"/>
  <c r="L376" i="3"/>
  <c r="L354" i="3"/>
  <c r="C354" i="3" s="1"/>
  <c r="L328" i="3"/>
  <c r="K312" i="3"/>
  <c r="K294" i="3"/>
  <c r="K276" i="3"/>
  <c r="K258" i="3"/>
  <c r="L516" i="3"/>
  <c r="C516" i="3" s="1"/>
  <c r="L395" i="3"/>
  <c r="C395" i="3" s="1"/>
  <c r="L350" i="3"/>
  <c r="C350" i="3" s="1"/>
  <c r="K311" i="3"/>
  <c r="K290" i="3"/>
  <c r="L265" i="3"/>
  <c r="C265" i="3" s="1"/>
  <c r="K249" i="3"/>
  <c r="L227" i="3"/>
  <c r="C227" i="3" s="1"/>
  <c r="K450" i="3"/>
  <c r="L380" i="3"/>
  <c r="C380" i="3" s="1"/>
  <c r="K345" i="3"/>
  <c r="K330" i="3"/>
  <c r="L314" i="3"/>
  <c r="C314" i="3" s="1"/>
  <c r="K296" i="3"/>
  <c r="K475" i="3"/>
  <c r="L371" i="3"/>
  <c r="C371" i="3" s="1"/>
  <c r="K329" i="3"/>
  <c r="L303" i="3"/>
  <c r="L282" i="3"/>
  <c r="C282" i="3" s="1"/>
  <c r="L262" i="3"/>
  <c r="L243" i="3"/>
  <c r="L225" i="3"/>
  <c r="C225" i="3" s="1"/>
  <c r="L207" i="3"/>
  <c r="L189" i="3"/>
  <c r="C189" i="3" s="1"/>
  <c r="L171" i="3"/>
  <c r="C171" i="3" s="1"/>
  <c r="L153" i="3"/>
  <c r="C153" i="3" s="1"/>
  <c r="K375" i="3"/>
  <c r="L332" i="3"/>
  <c r="C332" i="3" s="1"/>
  <c r="L284" i="3"/>
  <c r="K269" i="3"/>
  <c r="L242" i="3"/>
  <c r="C242" i="3" s="1"/>
  <c r="K213" i="3"/>
  <c r="K191" i="3"/>
  <c r="K171" i="3"/>
  <c r="K150" i="3"/>
  <c r="K130" i="3"/>
  <c r="L401" i="3"/>
  <c r="C401" i="3" s="1"/>
  <c r="K305" i="3"/>
  <c r="K268" i="3"/>
  <c r="K242" i="3"/>
  <c r="K215" i="3"/>
  <c r="L425" i="3"/>
  <c r="K328" i="3"/>
  <c r="L288" i="3"/>
  <c r="K253" i="3"/>
  <c r="L230" i="3"/>
  <c r="C230" i="3" s="1"/>
  <c r="L204" i="3"/>
  <c r="C204" i="3" s="1"/>
  <c r="K188" i="3"/>
  <c r="L163" i="3"/>
  <c r="L142" i="3"/>
  <c r="L121" i="3"/>
  <c r="C121" i="3" s="1"/>
  <c r="K537" i="3"/>
  <c r="K519" i="3"/>
  <c r="K501" i="3"/>
  <c r="K524" i="3"/>
  <c r="K534" i="3"/>
  <c r="L509" i="3"/>
  <c r="C509" i="3" s="1"/>
  <c r="K489" i="3"/>
  <c r="L515" i="3"/>
  <c r="C515" i="3" s="1"/>
  <c r="K499" i="3"/>
  <c r="L537" i="3"/>
  <c r="C537" i="3" s="1"/>
  <c r="L510" i="3"/>
  <c r="K480" i="3"/>
  <c r="K462" i="3"/>
  <c r="K526" i="3"/>
  <c r="L490" i="3"/>
  <c r="C490" i="3" s="1"/>
  <c r="K472" i="3"/>
  <c r="K454" i="3"/>
  <c r="K436" i="3"/>
  <c r="K492" i="3"/>
  <c r="L495" i="3"/>
  <c r="C495" i="3" s="1"/>
  <c r="K458" i="3"/>
  <c r="L428" i="3"/>
  <c r="C428" i="3" s="1"/>
  <c r="L410" i="3"/>
  <c r="C410" i="3" s="1"/>
  <c r="L501" i="3"/>
  <c r="C501" i="3" s="1"/>
  <c r="L462" i="3"/>
  <c r="C462" i="3" s="1"/>
  <c r="L489" i="3"/>
  <c r="L457" i="3"/>
  <c r="K438" i="3"/>
  <c r="K421" i="3"/>
  <c r="K403" i="3"/>
  <c r="K385" i="3"/>
  <c r="K455" i="3"/>
  <c r="K425" i="3"/>
  <c r="L392" i="3"/>
  <c r="C392" i="3" s="1"/>
  <c r="L375" i="3"/>
  <c r="C375" i="3" s="1"/>
  <c r="K463" i="3"/>
  <c r="L429" i="3"/>
  <c r="C429" i="3" s="1"/>
  <c r="L403" i="3"/>
  <c r="C403" i="3" s="1"/>
  <c r="K457" i="3"/>
  <c r="L424" i="3"/>
  <c r="C424" i="3" s="1"/>
  <c r="L399" i="3"/>
  <c r="C399" i="3" s="1"/>
  <c r="K383" i="3"/>
  <c r="L361" i="3"/>
  <c r="C361" i="3" s="1"/>
  <c r="L343" i="3"/>
  <c r="C343" i="3" s="1"/>
  <c r="L325" i="3"/>
  <c r="C325" i="3" s="1"/>
  <c r="L430" i="3"/>
  <c r="C430" i="3" s="1"/>
  <c r="K389" i="3"/>
  <c r="L370" i="3"/>
  <c r="K346" i="3"/>
  <c r="L321" i="3"/>
  <c r="C321" i="3" s="1"/>
  <c r="K441" i="3"/>
  <c r="K406" i="3"/>
  <c r="L363" i="3"/>
  <c r="C363" i="3" s="1"/>
  <c r="K424" i="3"/>
  <c r="K367" i="3"/>
  <c r="K353" i="3"/>
  <c r="K327" i="3"/>
  <c r="L311" i="3"/>
  <c r="C311" i="3" s="1"/>
  <c r="L293" i="3"/>
  <c r="C293" i="3" s="1"/>
  <c r="L275" i="3"/>
  <c r="L257" i="3"/>
  <c r="C257" i="3" s="1"/>
  <c r="K496" i="3"/>
  <c r="K373" i="3"/>
  <c r="L345" i="3"/>
  <c r="C345" i="3" s="1"/>
  <c r="L306" i="3"/>
  <c r="C306" i="3" s="1"/>
  <c r="L286" i="3"/>
  <c r="C286" i="3" s="1"/>
  <c r="L260" i="3"/>
  <c r="C260" i="3" s="1"/>
  <c r="K240" i="3"/>
  <c r="K222" i="3"/>
  <c r="K426" i="3"/>
  <c r="L377" i="3"/>
  <c r="C377" i="3" s="1"/>
  <c r="L344" i="3"/>
  <c r="L329" i="3"/>
  <c r="C329" i="3" s="1"/>
  <c r="L312" i="3"/>
  <c r="C312" i="3" s="1"/>
  <c r="L292" i="3"/>
  <c r="L458" i="3"/>
  <c r="C458" i="3" s="1"/>
  <c r="L358" i="3"/>
  <c r="K324" i="3"/>
  <c r="K302" i="3"/>
  <c r="L277" i="3"/>
  <c r="C277" i="3" s="1"/>
  <c r="K261" i="3"/>
  <c r="K238" i="3"/>
  <c r="K220" i="3"/>
  <c r="K202" i="3"/>
  <c r="K184" i="3"/>
  <c r="K177" i="3"/>
  <c r="K47" i="3"/>
  <c r="L83" i="3"/>
  <c r="C83" i="3" s="1"/>
  <c r="K243" i="3"/>
  <c r="K129" i="3"/>
  <c r="L120" i="3"/>
  <c r="C120" i="3" s="1"/>
  <c r="L31" i="3"/>
  <c r="C31" i="3" s="1"/>
  <c r="L23" i="3"/>
  <c r="C23" i="3" s="1"/>
  <c r="L68" i="3"/>
  <c r="C68" i="3" s="1"/>
  <c r="K303" i="3"/>
  <c r="L93" i="3"/>
  <c r="C93" i="3" s="1"/>
  <c r="K25" i="3"/>
  <c r="L100" i="3"/>
  <c r="C100" i="3" s="1"/>
  <c r="K192" i="3"/>
  <c r="L21" i="3"/>
  <c r="C21" i="3" s="1"/>
  <c r="L47" i="3"/>
  <c r="C47" i="3" s="1"/>
  <c r="L88" i="3"/>
  <c r="C88" i="3" s="1"/>
  <c r="K132" i="3"/>
  <c r="K164" i="3"/>
  <c r="L236" i="3"/>
  <c r="C236" i="3" s="1"/>
  <c r="K26" i="3"/>
  <c r="L74" i="3"/>
  <c r="L131" i="3"/>
  <c r="C131" i="3" s="1"/>
  <c r="K309" i="3"/>
  <c r="L40" i="3"/>
  <c r="C40" i="3" s="1"/>
  <c r="K83" i="3"/>
  <c r="K127" i="3"/>
  <c r="K163" i="3"/>
  <c r="L279" i="3"/>
  <c r="K35" i="3"/>
  <c r="L51" i="3"/>
  <c r="C51" i="3" s="1"/>
  <c r="K76" i="3"/>
  <c r="K97" i="3"/>
  <c r="K117" i="3"/>
  <c r="L145" i="3"/>
  <c r="C145" i="3" s="1"/>
  <c r="L169" i="3"/>
  <c r="C169" i="3" s="1"/>
  <c r="L184" i="3"/>
  <c r="K209" i="3"/>
  <c r="L256" i="3"/>
  <c r="C256" i="3" s="1"/>
  <c r="L310" i="3"/>
  <c r="K55" i="3"/>
  <c r="K75" i="3"/>
  <c r="K101" i="3"/>
  <c r="L117" i="3"/>
  <c r="K141" i="3"/>
  <c r="L175" i="3"/>
  <c r="C175" i="3" s="1"/>
  <c r="K206" i="3"/>
  <c r="K255" i="3"/>
  <c r="L440" i="3"/>
  <c r="L34" i="3"/>
  <c r="C34" i="3" s="1"/>
  <c r="L60" i="3"/>
  <c r="C60" i="3" s="1"/>
  <c r="L80" i="3"/>
  <c r="C80" i="3" s="1"/>
  <c r="L101" i="3"/>
  <c r="C101" i="3" s="1"/>
  <c r="L124" i="3"/>
  <c r="C124" i="3" s="1"/>
  <c r="L186" i="3"/>
  <c r="L234" i="3"/>
  <c r="C234" i="3" s="1"/>
  <c r="L346" i="3"/>
  <c r="C346" i="3" s="1"/>
  <c r="K38" i="3"/>
  <c r="K56" i="3"/>
  <c r="K74" i="3"/>
  <c r="K92" i="3"/>
  <c r="K110" i="3"/>
  <c r="L133" i="3"/>
  <c r="C133" i="3" s="1"/>
  <c r="K162" i="3"/>
  <c r="K193" i="3"/>
  <c r="L212" i="3"/>
  <c r="C212" i="3" s="1"/>
  <c r="L247" i="3"/>
  <c r="C247" i="3" s="1"/>
  <c r="K272" i="3"/>
  <c r="K323" i="3"/>
  <c r="K444" i="3"/>
  <c r="K224" i="3"/>
  <c r="L253" i="3"/>
  <c r="C253" i="3" s="1"/>
  <c r="L285" i="3"/>
  <c r="C285" i="3" s="1"/>
  <c r="K387" i="3"/>
  <c r="L135" i="3"/>
  <c r="C135" i="3" s="1"/>
  <c r="K155" i="3"/>
  <c r="L182" i="3"/>
  <c r="C182" i="3" s="1"/>
  <c r="K207" i="3"/>
  <c r="L240" i="3"/>
  <c r="C240" i="3" s="1"/>
  <c r="L273" i="3"/>
  <c r="C273" i="3" s="1"/>
  <c r="K313" i="3"/>
  <c r="K357" i="3"/>
  <c r="K160" i="3"/>
  <c r="L195" i="3"/>
  <c r="C195" i="3" s="1"/>
  <c r="L231" i="3"/>
  <c r="L267" i="3"/>
  <c r="C267" i="3" s="1"/>
  <c r="L308" i="3"/>
  <c r="C308" i="3" s="1"/>
  <c r="K400" i="3"/>
  <c r="K301" i="3"/>
  <c r="K335" i="3"/>
  <c r="K390" i="3"/>
  <c r="L233" i="3"/>
  <c r="C233" i="3" s="1"/>
  <c r="K275" i="3"/>
  <c r="L330" i="3"/>
  <c r="C330" i="3" s="1"/>
  <c r="K432" i="3"/>
  <c r="K264" i="3"/>
  <c r="K300" i="3"/>
  <c r="L338" i="3"/>
  <c r="C338" i="3" s="1"/>
  <c r="L417" i="3"/>
  <c r="C417" i="3" s="1"/>
  <c r="L436" i="3"/>
  <c r="C436" i="3" s="1"/>
  <c r="L362" i="3"/>
  <c r="C362" i="3" s="1"/>
  <c r="K320" i="3"/>
  <c r="K422" i="3"/>
  <c r="L387" i="3"/>
  <c r="C387" i="3" s="1"/>
  <c r="L434" i="3"/>
  <c r="C434" i="3" s="1"/>
  <c r="K423" i="3"/>
  <c r="L471" i="3"/>
  <c r="C471" i="3" s="1"/>
  <c r="K533" i="3"/>
  <c r="L523" i="3"/>
  <c r="C523" i="3" s="1"/>
  <c r="C431" i="3" l="1"/>
  <c r="C413" i="3"/>
  <c r="C138" i="3"/>
  <c r="B316" i="3"/>
  <c r="B532" i="3"/>
  <c r="I532" i="3"/>
  <c r="D316" i="3"/>
  <c r="E532" i="3"/>
  <c r="D532" i="3"/>
  <c r="C178" i="3"/>
  <c r="H532" i="3"/>
  <c r="C310" i="3"/>
  <c r="C74" i="3"/>
  <c r="C358" i="3"/>
  <c r="C510" i="3"/>
  <c r="C142" i="3"/>
  <c r="C288" i="3"/>
  <c r="C262" i="3"/>
  <c r="C506" i="3"/>
  <c r="C499" i="3"/>
  <c r="C442" i="3"/>
  <c r="C492" i="3"/>
  <c r="C535" i="3"/>
  <c r="C388" i="3"/>
  <c r="C412" i="3"/>
  <c r="C415" i="3"/>
  <c r="C528" i="3"/>
  <c r="C268" i="3"/>
  <c r="C402" i="3"/>
  <c r="C87" i="3"/>
  <c r="C271" i="3"/>
  <c r="E423" i="3"/>
  <c r="I423" i="3"/>
  <c r="J423" i="3"/>
  <c r="A423" i="3"/>
  <c r="H423" i="3"/>
  <c r="G423" i="3"/>
  <c r="M423" i="3"/>
  <c r="F423" i="3"/>
  <c r="D423" i="3"/>
  <c r="B423" i="3"/>
  <c r="J155" i="3"/>
  <c r="D155" i="3"/>
  <c r="H155" i="3"/>
  <c r="A155" i="3"/>
  <c r="E155" i="3"/>
  <c r="M155" i="3"/>
  <c r="B155" i="3"/>
  <c r="G155" i="3"/>
  <c r="F155" i="3"/>
  <c r="I155" i="3"/>
  <c r="M389" i="3"/>
  <c r="G389" i="3"/>
  <c r="A389" i="3"/>
  <c r="H389" i="3"/>
  <c r="E389" i="3"/>
  <c r="B389" i="3"/>
  <c r="J389" i="3"/>
  <c r="I389" i="3"/>
  <c r="D389" i="3"/>
  <c r="F389" i="3"/>
  <c r="F408" i="3"/>
  <c r="M408" i="3"/>
  <c r="E408" i="3"/>
  <c r="D408" i="3"/>
  <c r="J408" i="3"/>
  <c r="A408" i="3"/>
  <c r="I408" i="3"/>
  <c r="G408" i="3"/>
  <c r="B408" i="3"/>
  <c r="H408" i="3"/>
  <c r="F331" i="3"/>
  <c r="D331" i="3"/>
  <c r="I331" i="3"/>
  <c r="B331" i="3"/>
  <c r="J331" i="3"/>
  <c r="H331" i="3"/>
  <c r="G331" i="3"/>
  <c r="A331" i="3"/>
  <c r="M331" i="3"/>
  <c r="E331" i="3"/>
  <c r="M440" i="3"/>
  <c r="G440" i="3"/>
  <c r="A440" i="3"/>
  <c r="I440" i="3"/>
  <c r="B440" i="3"/>
  <c r="F440" i="3"/>
  <c r="J440" i="3"/>
  <c r="H440" i="3"/>
  <c r="D440" i="3"/>
  <c r="E440" i="3"/>
  <c r="F416" i="3"/>
  <c r="J416" i="3"/>
  <c r="D416" i="3"/>
  <c r="B416" i="3"/>
  <c r="I416" i="3"/>
  <c r="A416" i="3"/>
  <c r="H416" i="3"/>
  <c r="M416" i="3"/>
  <c r="G416" i="3"/>
  <c r="E416" i="3"/>
  <c r="M493" i="3"/>
  <c r="G493" i="3"/>
  <c r="A493" i="3"/>
  <c r="E493" i="3"/>
  <c r="I493" i="3"/>
  <c r="H493" i="3"/>
  <c r="B493" i="3"/>
  <c r="F493" i="3"/>
  <c r="D493" i="3"/>
  <c r="J493" i="3"/>
  <c r="J398" i="3"/>
  <c r="D398" i="3"/>
  <c r="M398" i="3"/>
  <c r="F398" i="3"/>
  <c r="B398" i="3"/>
  <c r="A398" i="3"/>
  <c r="I398" i="3"/>
  <c r="H398" i="3"/>
  <c r="E398" i="3"/>
  <c r="G398" i="3"/>
  <c r="H231" i="3"/>
  <c r="B231" i="3"/>
  <c r="F231" i="3"/>
  <c r="J231" i="3"/>
  <c r="A231" i="3"/>
  <c r="I231" i="3"/>
  <c r="M231" i="3"/>
  <c r="G231" i="3"/>
  <c r="E231" i="3"/>
  <c r="D231" i="3"/>
  <c r="I180" i="3"/>
  <c r="J180" i="3"/>
  <c r="B180" i="3"/>
  <c r="G180" i="3"/>
  <c r="M180" i="3"/>
  <c r="D180" i="3"/>
  <c r="A180" i="3"/>
  <c r="F180" i="3"/>
  <c r="E180" i="3"/>
  <c r="H180" i="3"/>
  <c r="H89" i="3"/>
  <c r="B89" i="3"/>
  <c r="J89" i="3"/>
  <c r="I89" i="3"/>
  <c r="A89" i="3"/>
  <c r="G89" i="3"/>
  <c r="E89" i="3"/>
  <c r="D89" i="3"/>
  <c r="M89" i="3"/>
  <c r="F89" i="3"/>
  <c r="C216" i="3"/>
  <c r="H71" i="3"/>
  <c r="B71" i="3"/>
  <c r="M71" i="3"/>
  <c r="F71" i="3"/>
  <c r="E71" i="3"/>
  <c r="D71" i="3"/>
  <c r="I71" i="3"/>
  <c r="G71" i="3"/>
  <c r="J71" i="3"/>
  <c r="A71" i="3"/>
  <c r="M310" i="3"/>
  <c r="G310" i="3"/>
  <c r="A310" i="3"/>
  <c r="J310" i="3"/>
  <c r="I310" i="3"/>
  <c r="B310" i="3"/>
  <c r="H310" i="3"/>
  <c r="E310" i="3"/>
  <c r="D310" i="3"/>
  <c r="F310" i="3"/>
  <c r="H279" i="3"/>
  <c r="B279" i="3"/>
  <c r="J279" i="3"/>
  <c r="G279" i="3"/>
  <c r="I279" i="3"/>
  <c r="F279" i="3"/>
  <c r="D279" i="3"/>
  <c r="A279" i="3"/>
  <c r="E279" i="3"/>
  <c r="M279" i="3"/>
  <c r="J289" i="3"/>
  <c r="D289" i="3"/>
  <c r="I289" i="3"/>
  <c r="B289" i="3"/>
  <c r="H289" i="3"/>
  <c r="A289" i="3"/>
  <c r="G289" i="3"/>
  <c r="E289" i="3"/>
  <c r="M289" i="3"/>
  <c r="F289" i="3"/>
  <c r="F221" i="3"/>
  <c r="J221" i="3"/>
  <c r="D221" i="3"/>
  <c r="G221" i="3"/>
  <c r="E221" i="3"/>
  <c r="M221" i="3"/>
  <c r="A221" i="3"/>
  <c r="H221" i="3"/>
  <c r="B221" i="3"/>
  <c r="I221" i="3"/>
  <c r="M90" i="3"/>
  <c r="G90" i="3"/>
  <c r="A90" i="3"/>
  <c r="D90" i="3"/>
  <c r="J90" i="3"/>
  <c r="I90" i="3"/>
  <c r="B90" i="3"/>
  <c r="F90" i="3"/>
  <c r="E90" i="3"/>
  <c r="H90" i="3"/>
  <c r="J173" i="3"/>
  <c r="D173" i="3"/>
  <c r="G173" i="3"/>
  <c r="E173" i="3"/>
  <c r="H173" i="3"/>
  <c r="F173" i="3"/>
  <c r="I173" i="3"/>
  <c r="B173" i="3"/>
  <c r="M173" i="3"/>
  <c r="A173" i="3"/>
  <c r="C322" i="3"/>
  <c r="M134" i="3"/>
  <c r="G134" i="3"/>
  <c r="A134" i="3"/>
  <c r="E134" i="3"/>
  <c r="H134" i="3"/>
  <c r="F134" i="3"/>
  <c r="D134" i="3"/>
  <c r="J134" i="3"/>
  <c r="I134" i="3"/>
  <c r="B134" i="3"/>
  <c r="I387" i="3"/>
  <c r="E387" i="3"/>
  <c r="J387" i="3"/>
  <c r="B387" i="3"/>
  <c r="F387" i="3"/>
  <c r="D387" i="3"/>
  <c r="M387" i="3"/>
  <c r="A387" i="3"/>
  <c r="H387" i="3"/>
  <c r="G387" i="3"/>
  <c r="I272" i="3"/>
  <c r="G272" i="3"/>
  <c r="E272" i="3"/>
  <c r="D272" i="3"/>
  <c r="M272" i="3"/>
  <c r="B272" i="3"/>
  <c r="A272" i="3"/>
  <c r="H272" i="3"/>
  <c r="F272" i="3"/>
  <c r="J272" i="3"/>
  <c r="E110" i="3"/>
  <c r="J110" i="3"/>
  <c r="I110" i="3"/>
  <c r="B110" i="3"/>
  <c r="H110" i="3"/>
  <c r="A110" i="3"/>
  <c r="F110" i="3"/>
  <c r="D110" i="3"/>
  <c r="M110" i="3"/>
  <c r="G110" i="3"/>
  <c r="C117" i="3"/>
  <c r="J209" i="3"/>
  <c r="D209" i="3"/>
  <c r="G209" i="3"/>
  <c r="M209" i="3"/>
  <c r="F209" i="3"/>
  <c r="E209" i="3"/>
  <c r="B209" i="3"/>
  <c r="A209" i="3"/>
  <c r="I209" i="3"/>
  <c r="H209" i="3"/>
  <c r="I76" i="3"/>
  <c r="M76" i="3"/>
  <c r="F76" i="3"/>
  <c r="E76" i="3"/>
  <c r="D76" i="3"/>
  <c r="A76" i="3"/>
  <c r="J76" i="3"/>
  <c r="G76" i="3"/>
  <c r="B76" i="3"/>
  <c r="H76" i="3"/>
  <c r="H83" i="3"/>
  <c r="B83" i="3"/>
  <c r="I83" i="3"/>
  <c r="A83" i="3"/>
  <c r="G83" i="3"/>
  <c r="M83" i="3"/>
  <c r="F83" i="3"/>
  <c r="J83" i="3"/>
  <c r="E83" i="3"/>
  <c r="D83" i="3"/>
  <c r="I192" i="3"/>
  <c r="E192" i="3"/>
  <c r="J192" i="3"/>
  <c r="B192" i="3"/>
  <c r="H192" i="3"/>
  <c r="G192" i="3"/>
  <c r="F192" i="3"/>
  <c r="A192" i="3"/>
  <c r="D192" i="3"/>
  <c r="M192" i="3"/>
  <c r="H47" i="3"/>
  <c r="B47" i="3"/>
  <c r="I47" i="3"/>
  <c r="A47" i="3"/>
  <c r="G47" i="3"/>
  <c r="M47" i="3"/>
  <c r="F47" i="3"/>
  <c r="D47" i="3"/>
  <c r="J47" i="3"/>
  <c r="E47" i="3"/>
  <c r="H261" i="3"/>
  <c r="B261" i="3"/>
  <c r="M261" i="3"/>
  <c r="F261" i="3"/>
  <c r="D261" i="3"/>
  <c r="G261" i="3"/>
  <c r="E261" i="3"/>
  <c r="J261" i="3"/>
  <c r="A261" i="3"/>
  <c r="I261" i="3"/>
  <c r="C292" i="3"/>
  <c r="E222" i="3"/>
  <c r="I222" i="3"/>
  <c r="B222" i="3"/>
  <c r="J222" i="3"/>
  <c r="A222" i="3"/>
  <c r="H222" i="3"/>
  <c r="F222" i="3"/>
  <c r="D222" i="3"/>
  <c r="M222" i="3"/>
  <c r="G222" i="3"/>
  <c r="H373" i="3"/>
  <c r="B373" i="3"/>
  <c r="F373" i="3"/>
  <c r="I373" i="3"/>
  <c r="G373" i="3"/>
  <c r="E373" i="3"/>
  <c r="J373" i="3"/>
  <c r="D373" i="3"/>
  <c r="A373" i="3"/>
  <c r="M373" i="3"/>
  <c r="J327" i="3"/>
  <c r="D327" i="3"/>
  <c r="M327" i="3"/>
  <c r="F327" i="3"/>
  <c r="H327" i="3"/>
  <c r="G327" i="3"/>
  <c r="E327" i="3"/>
  <c r="I327" i="3"/>
  <c r="B327" i="3"/>
  <c r="A327" i="3"/>
  <c r="F441" i="3"/>
  <c r="J441" i="3"/>
  <c r="H441" i="3"/>
  <c r="A441" i="3"/>
  <c r="I441" i="3"/>
  <c r="G441" i="3"/>
  <c r="E441" i="3"/>
  <c r="M441" i="3"/>
  <c r="D441" i="3"/>
  <c r="B441" i="3"/>
  <c r="J457" i="3"/>
  <c r="D457" i="3"/>
  <c r="H457" i="3"/>
  <c r="B457" i="3"/>
  <c r="F457" i="3"/>
  <c r="M457" i="3"/>
  <c r="E457" i="3"/>
  <c r="G457" i="3"/>
  <c r="A457" i="3"/>
  <c r="I457" i="3"/>
  <c r="I425" i="3"/>
  <c r="M425" i="3"/>
  <c r="G425" i="3"/>
  <c r="A425" i="3"/>
  <c r="B425" i="3"/>
  <c r="J425" i="3"/>
  <c r="H425" i="3"/>
  <c r="E425" i="3"/>
  <c r="D425" i="3"/>
  <c r="F425" i="3"/>
  <c r="C457" i="3"/>
  <c r="I458" i="3"/>
  <c r="M458" i="3"/>
  <c r="G458" i="3"/>
  <c r="A458" i="3"/>
  <c r="B458" i="3"/>
  <c r="J458" i="3"/>
  <c r="H458" i="3"/>
  <c r="E458" i="3"/>
  <c r="D458" i="3"/>
  <c r="F458" i="3"/>
  <c r="M499" i="3"/>
  <c r="G499" i="3"/>
  <c r="A499" i="3"/>
  <c r="E499" i="3"/>
  <c r="F499" i="3"/>
  <c r="D499" i="3"/>
  <c r="J499" i="3"/>
  <c r="B499" i="3"/>
  <c r="I499" i="3"/>
  <c r="H499" i="3"/>
  <c r="E501" i="3"/>
  <c r="H501" i="3"/>
  <c r="A501" i="3"/>
  <c r="M501" i="3"/>
  <c r="F501" i="3"/>
  <c r="J501" i="3"/>
  <c r="I501" i="3"/>
  <c r="G501" i="3"/>
  <c r="D501" i="3"/>
  <c r="B501" i="3"/>
  <c r="M188" i="3"/>
  <c r="G188" i="3"/>
  <c r="A188" i="3"/>
  <c r="F188" i="3"/>
  <c r="D188" i="3"/>
  <c r="H188" i="3"/>
  <c r="E188" i="3"/>
  <c r="J188" i="3"/>
  <c r="I188" i="3"/>
  <c r="B188" i="3"/>
  <c r="C425" i="3"/>
  <c r="E130" i="3"/>
  <c r="I130" i="3"/>
  <c r="F130" i="3"/>
  <c r="M130" i="3"/>
  <c r="D130" i="3"/>
  <c r="B130" i="3"/>
  <c r="H130" i="3"/>
  <c r="G130" i="3"/>
  <c r="A130" i="3"/>
  <c r="J130" i="3"/>
  <c r="F269" i="3"/>
  <c r="J269" i="3"/>
  <c r="H269" i="3"/>
  <c r="A269" i="3"/>
  <c r="I269" i="3"/>
  <c r="G269" i="3"/>
  <c r="D269" i="3"/>
  <c r="B269" i="3"/>
  <c r="M269" i="3"/>
  <c r="E269" i="3"/>
  <c r="C303" i="3"/>
  <c r="M330" i="3"/>
  <c r="G330" i="3"/>
  <c r="A330" i="3"/>
  <c r="J330" i="3"/>
  <c r="H330" i="3"/>
  <c r="B330" i="3"/>
  <c r="I330" i="3"/>
  <c r="F330" i="3"/>
  <c r="D330" i="3"/>
  <c r="E330" i="3"/>
  <c r="E258" i="3"/>
  <c r="I258" i="3"/>
  <c r="B258" i="3"/>
  <c r="G258" i="3"/>
  <c r="M258" i="3"/>
  <c r="A258" i="3"/>
  <c r="J258" i="3"/>
  <c r="H258" i="3"/>
  <c r="F258" i="3"/>
  <c r="D258" i="3"/>
  <c r="C376" i="3"/>
  <c r="E362" i="3"/>
  <c r="D362" i="3"/>
  <c r="J362" i="3"/>
  <c r="I362" i="3"/>
  <c r="B362" i="3"/>
  <c r="G362" i="3"/>
  <c r="F362" i="3"/>
  <c r="M362" i="3"/>
  <c r="H362" i="3"/>
  <c r="A362" i="3"/>
  <c r="C390" i="3"/>
  <c r="C464" i="3"/>
  <c r="C467" i="3"/>
  <c r="C538" i="3"/>
  <c r="E190" i="3"/>
  <c r="I190" i="3"/>
  <c r="B190" i="3"/>
  <c r="G190" i="3"/>
  <c r="M190" i="3"/>
  <c r="A190" i="3"/>
  <c r="J190" i="3"/>
  <c r="F190" i="3"/>
  <c r="D190" i="3"/>
  <c r="H190" i="3"/>
  <c r="J307" i="3"/>
  <c r="D307" i="3"/>
  <c r="M307" i="3"/>
  <c r="F307" i="3"/>
  <c r="E307" i="3"/>
  <c r="A307" i="3"/>
  <c r="I307" i="3"/>
  <c r="G307" i="3"/>
  <c r="B307" i="3"/>
  <c r="H307" i="3"/>
  <c r="C334" i="3"/>
  <c r="C378" i="3"/>
  <c r="J351" i="3"/>
  <c r="D351" i="3"/>
  <c r="H351" i="3"/>
  <c r="A351" i="3"/>
  <c r="I351" i="3"/>
  <c r="G351" i="3"/>
  <c r="F351" i="3"/>
  <c r="B351" i="3"/>
  <c r="M351" i="3"/>
  <c r="E351" i="3"/>
  <c r="C367" i="3"/>
  <c r="M434" i="3"/>
  <c r="G434" i="3"/>
  <c r="A434" i="3"/>
  <c r="H434" i="3"/>
  <c r="E434" i="3"/>
  <c r="B434" i="3"/>
  <c r="J434" i="3"/>
  <c r="I434" i="3"/>
  <c r="F434" i="3"/>
  <c r="D434" i="3"/>
  <c r="E391" i="3"/>
  <c r="J391" i="3"/>
  <c r="H391" i="3"/>
  <c r="A391" i="3"/>
  <c r="G391" i="3"/>
  <c r="F391" i="3"/>
  <c r="D391" i="3"/>
  <c r="M391" i="3"/>
  <c r="I391" i="3"/>
  <c r="B391" i="3"/>
  <c r="J469" i="3"/>
  <c r="D469" i="3"/>
  <c r="H469" i="3"/>
  <c r="B469" i="3"/>
  <c r="A469" i="3"/>
  <c r="I469" i="3"/>
  <c r="F469" i="3"/>
  <c r="E469" i="3"/>
  <c r="M469" i="3"/>
  <c r="G469" i="3"/>
  <c r="E468" i="3"/>
  <c r="I468" i="3"/>
  <c r="G468" i="3"/>
  <c r="F468" i="3"/>
  <c r="M468" i="3"/>
  <c r="D468" i="3"/>
  <c r="A468" i="3"/>
  <c r="H468" i="3"/>
  <c r="B468" i="3"/>
  <c r="J468" i="3"/>
  <c r="E495" i="3"/>
  <c r="I495" i="3"/>
  <c r="M495" i="3"/>
  <c r="D495" i="3"/>
  <c r="J495" i="3"/>
  <c r="A495" i="3"/>
  <c r="H495" i="3"/>
  <c r="G495" i="3"/>
  <c r="F495" i="3"/>
  <c r="B495" i="3"/>
  <c r="E350" i="3"/>
  <c r="I350" i="3"/>
  <c r="B350" i="3"/>
  <c r="G350" i="3"/>
  <c r="A350" i="3"/>
  <c r="J350" i="3"/>
  <c r="H350" i="3"/>
  <c r="M350" i="3"/>
  <c r="F350" i="3"/>
  <c r="D350" i="3"/>
  <c r="I476" i="3"/>
  <c r="M476" i="3"/>
  <c r="G476" i="3"/>
  <c r="A476" i="3"/>
  <c r="F476" i="3"/>
  <c r="H476" i="3"/>
  <c r="E476" i="3"/>
  <c r="D476" i="3"/>
  <c r="J476" i="3"/>
  <c r="B476" i="3"/>
  <c r="C443" i="3"/>
  <c r="M529" i="3"/>
  <c r="G529" i="3"/>
  <c r="A529" i="3"/>
  <c r="F529" i="3"/>
  <c r="D529" i="3"/>
  <c r="J529" i="3"/>
  <c r="B529" i="3"/>
  <c r="I529" i="3"/>
  <c r="H529" i="3"/>
  <c r="E529" i="3"/>
  <c r="C530" i="3"/>
  <c r="C313" i="3"/>
  <c r="C337" i="3"/>
  <c r="H528" i="3"/>
  <c r="B528" i="3"/>
  <c r="M528" i="3"/>
  <c r="G528" i="3"/>
  <c r="A528" i="3"/>
  <c r="I528" i="3"/>
  <c r="E528" i="3"/>
  <c r="D528" i="3"/>
  <c r="J528" i="3"/>
  <c r="F528" i="3"/>
  <c r="H445" i="3"/>
  <c r="B445" i="3"/>
  <c r="I445" i="3"/>
  <c r="A445" i="3"/>
  <c r="G445" i="3"/>
  <c r="M445" i="3"/>
  <c r="F445" i="3"/>
  <c r="J445" i="3"/>
  <c r="E445" i="3"/>
  <c r="D445" i="3"/>
  <c r="C480" i="3"/>
  <c r="C484" i="3"/>
  <c r="I509" i="3"/>
  <c r="E509" i="3"/>
  <c r="J509" i="3"/>
  <c r="B509" i="3"/>
  <c r="D509" i="3"/>
  <c r="M509" i="3"/>
  <c r="A509" i="3"/>
  <c r="H509" i="3"/>
  <c r="G509" i="3"/>
  <c r="F509" i="3"/>
  <c r="C511" i="3"/>
  <c r="E513" i="3"/>
  <c r="J513" i="3"/>
  <c r="D513" i="3"/>
  <c r="F513" i="3"/>
  <c r="B513" i="3"/>
  <c r="H513" i="3"/>
  <c r="G513" i="3"/>
  <c r="A513" i="3"/>
  <c r="M513" i="3"/>
  <c r="I513" i="3"/>
  <c r="M42" i="3"/>
  <c r="G42" i="3"/>
  <c r="A42" i="3"/>
  <c r="I42" i="3"/>
  <c r="B42" i="3"/>
  <c r="H42" i="3"/>
  <c r="F42" i="3"/>
  <c r="J42" i="3"/>
  <c r="E42" i="3"/>
  <c r="D42" i="3"/>
  <c r="C505" i="3"/>
  <c r="J502" i="3"/>
  <c r="D502" i="3"/>
  <c r="I502" i="3"/>
  <c r="B502" i="3"/>
  <c r="G502" i="3"/>
  <c r="H502" i="3"/>
  <c r="F502" i="3"/>
  <c r="E502" i="3"/>
  <c r="M502" i="3"/>
  <c r="A502" i="3"/>
  <c r="E252" i="3"/>
  <c r="H252" i="3"/>
  <c r="A252" i="3"/>
  <c r="M252" i="3"/>
  <c r="F252" i="3"/>
  <c r="D252" i="3"/>
  <c r="B252" i="3"/>
  <c r="I252" i="3"/>
  <c r="G252" i="3"/>
  <c r="J252" i="3"/>
  <c r="F325" i="3"/>
  <c r="J325" i="3"/>
  <c r="H325" i="3"/>
  <c r="A325" i="3"/>
  <c r="M325" i="3"/>
  <c r="B325" i="3"/>
  <c r="I325" i="3"/>
  <c r="G325" i="3"/>
  <c r="E325" i="3"/>
  <c r="D325" i="3"/>
  <c r="C202" i="3"/>
  <c r="C209" i="3"/>
  <c r="C73" i="3"/>
  <c r="F121" i="3"/>
  <c r="D121" i="3"/>
  <c r="J121" i="3"/>
  <c r="I121" i="3"/>
  <c r="B121" i="3"/>
  <c r="G121" i="3"/>
  <c r="E121" i="3"/>
  <c r="A121" i="3"/>
  <c r="H121" i="3"/>
  <c r="M121" i="3"/>
  <c r="M250" i="3"/>
  <c r="G250" i="3"/>
  <c r="A250" i="3"/>
  <c r="E250" i="3"/>
  <c r="J250" i="3"/>
  <c r="I250" i="3"/>
  <c r="H250" i="3"/>
  <c r="F250" i="3"/>
  <c r="D250" i="3"/>
  <c r="B250" i="3"/>
  <c r="C71" i="3"/>
  <c r="F165" i="3"/>
  <c r="J165" i="3"/>
  <c r="H165" i="3"/>
  <c r="A165" i="3"/>
  <c r="D165" i="3"/>
  <c r="M165" i="3"/>
  <c r="B165" i="3"/>
  <c r="G165" i="3"/>
  <c r="E165" i="3"/>
  <c r="I165" i="3"/>
  <c r="M27" i="3"/>
  <c r="G27" i="3"/>
  <c r="A27" i="3"/>
  <c r="E27" i="3"/>
  <c r="I27" i="3"/>
  <c r="H27" i="3"/>
  <c r="F27" i="3"/>
  <c r="B27" i="3"/>
  <c r="J27" i="3"/>
  <c r="D27" i="3"/>
  <c r="C223" i="3"/>
  <c r="C341" i="3"/>
  <c r="C89" i="3"/>
  <c r="C180" i="3"/>
  <c r="J508" i="3"/>
  <c r="D508" i="3"/>
  <c r="H508" i="3"/>
  <c r="A508" i="3"/>
  <c r="F508" i="3"/>
  <c r="E508" i="3"/>
  <c r="M508" i="3"/>
  <c r="B508" i="3"/>
  <c r="I508" i="3"/>
  <c r="G508" i="3"/>
  <c r="M374" i="3"/>
  <c r="G374" i="3"/>
  <c r="A374" i="3"/>
  <c r="E374" i="3"/>
  <c r="D374" i="3"/>
  <c r="J374" i="3"/>
  <c r="B374" i="3"/>
  <c r="I374" i="3"/>
  <c r="H374" i="3"/>
  <c r="F374" i="3"/>
  <c r="C287" i="3"/>
  <c r="H359" i="3"/>
  <c r="B359" i="3"/>
  <c r="G359" i="3"/>
  <c r="E359" i="3"/>
  <c r="M359" i="3"/>
  <c r="A359" i="3"/>
  <c r="J359" i="3"/>
  <c r="F359" i="3"/>
  <c r="D359" i="3"/>
  <c r="I359" i="3"/>
  <c r="M214" i="3"/>
  <c r="G214" i="3"/>
  <c r="A214" i="3"/>
  <c r="E214" i="3"/>
  <c r="H214" i="3"/>
  <c r="F214" i="3"/>
  <c r="D214" i="3"/>
  <c r="B214" i="3"/>
  <c r="J214" i="3"/>
  <c r="I214" i="3"/>
  <c r="J229" i="3"/>
  <c r="D229" i="3"/>
  <c r="H229" i="3"/>
  <c r="B229" i="3"/>
  <c r="A229" i="3"/>
  <c r="I229" i="3"/>
  <c r="G229" i="3"/>
  <c r="E229" i="3"/>
  <c r="F229" i="3"/>
  <c r="M229" i="3"/>
  <c r="I278" i="3"/>
  <c r="H278" i="3"/>
  <c r="A278" i="3"/>
  <c r="M278" i="3"/>
  <c r="F278" i="3"/>
  <c r="B278" i="3"/>
  <c r="J278" i="3"/>
  <c r="G278" i="3"/>
  <c r="E278" i="3"/>
  <c r="D278" i="3"/>
  <c r="J235" i="3"/>
  <c r="D235" i="3"/>
  <c r="H235" i="3"/>
  <c r="B235" i="3"/>
  <c r="M235" i="3"/>
  <c r="E235" i="3"/>
  <c r="A235" i="3"/>
  <c r="I235" i="3"/>
  <c r="F235" i="3"/>
  <c r="G235" i="3"/>
  <c r="E86" i="3"/>
  <c r="M86" i="3"/>
  <c r="F86" i="3"/>
  <c r="D86" i="3"/>
  <c r="J86" i="3"/>
  <c r="A86" i="3"/>
  <c r="I86" i="3"/>
  <c r="H86" i="3"/>
  <c r="B86" i="3"/>
  <c r="G86" i="3"/>
  <c r="C176" i="3"/>
  <c r="C304" i="3"/>
  <c r="F91" i="3"/>
  <c r="M91" i="3"/>
  <c r="E91" i="3"/>
  <c r="D91" i="3"/>
  <c r="J91" i="3"/>
  <c r="H91" i="3"/>
  <c r="G91" i="3"/>
  <c r="B91" i="3"/>
  <c r="I91" i="3"/>
  <c r="A91" i="3"/>
  <c r="J45" i="3"/>
  <c r="D45" i="3"/>
  <c r="M45" i="3"/>
  <c r="F45" i="3"/>
  <c r="E45" i="3"/>
  <c r="A45" i="3"/>
  <c r="I45" i="3"/>
  <c r="G45" i="3"/>
  <c r="B45" i="3"/>
  <c r="H45" i="3"/>
  <c r="I31" i="3"/>
  <c r="M31" i="3"/>
  <c r="G31" i="3"/>
  <c r="A31" i="3"/>
  <c r="B31" i="3"/>
  <c r="J31" i="3"/>
  <c r="H31" i="3"/>
  <c r="E31" i="3"/>
  <c r="D31" i="3"/>
  <c r="F31" i="3"/>
  <c r="C154" i="3"/>
  <c r="C69" i="3"/>
  <c r="I236" i="3"/>
  <c r="M236" i="3"/>
  <c r="G236" i="3"/>
  <c r="A236" i="3"/>
  <c r="J236" i="3"/>
  <c r="H236" i="3"/>
  <c r="F236" i="3"/>
  <c r="D236" i="3"/>
  <c r="B236" i="3"/>
  <c r="E236" i="3"/>
  <c r="C500" i="3"/>
  <c r="C339" i="3"/>
  <c r="J197" i="3"/>
  <c r="D197" i="3"/>
  <c r="E197" i="3"/>
  <c r="I197" i="3"/>
  <c r="B197" i="3"/>
  <c r="M197" i="3"/>
  <c r="H197" i="3"/>
  <c r="F197" i="3"/>
  <c r="A197" i="3"/>
  <c r="G197" i="3"/>
  <c r="F85" i="3"/>
  <c r="D85" i="3"/>
  <c r="J85" i="3"/>
  <c r="I85" i="3"/>
  <c r="B85" i="3"/>
  <c r="M85" i="3"/>
  <c r="H85" i="3"/>
  <c r="E85" i="3"/>
  <c r="A85" i="3"/>
  <c r="G85" i="3"/>
  <c r="C536" i="3"/>
  <c r="H420" i="3"/>
  <c r="B420" i="3"/>
  <c r="F420" i="3"/>
  <c r="M420" i="3"/>
  <c r="D420" i="3"/>
  <c r="J420" i="3"/>
  <c r="A420" i="3"/>
  <c r="I420" i="3"/>
  <c r="G420" i="3"/>
  <c r="E420" i="3"/>
  <c r="C318" i="3"/>
  <c r="C215" i="3"/>
  <c r="C246" i="3"/>
  <c r="C259" i="3"/>
  <c r="C360" i="3"/>
  <c r="F257" i="3"/>
  <c r="H257" i="3"/>
  <c r="A257" i="3"/>
  <c r="M257" i="3"/>
  <c r="E257" i="3"/>
  <c r="D257" i="3"/>
  <c r="B257" i="3"/>
  <c r="I257" i="3"/>
  <c r="G257" i="3"/>
  <c r="J257" i="3"/>
  <c r="C206" i="3"/>
  <c r="C28" i="3"/>
  <c r="M194" i="3"/>
  <c r="G194" i="3"/>
  <c r="A194" i="3"/>
  <c r="H194" i="3"/>
  <c r="E194" i="3"/>
  <c r="D194" i="3"/>
  <c r="B194" i="3"/>
  <c r="J194" i="3"/>
  <c r="I194" i="3"/>
  <c r="F194" i="3"/>
  <c r="M66" i="3"/>
  <c r="G66" i="3"/>
  <c r="A66" i="3"/>
  <c r="F66" i="3"/>
  <c r="E66" i="3"/>
  <c r="D66" i="3"/>
  <c r="B66" i="3"/>
  <c r="J66" i="3"/>
  <c r="I66" i="3"/>
  <c r="H66" i="3"/>
  <c r="J179" i="3"/>
  <c r="D179" i="3"/>
  <c r="H179" i="3"/>
  <c r="A179" i="3"/>
  <c r="M179" i="3"/>
  <c r="F179" i="3"/>
  <c r="E179" i="3"/>
  <c r="B179" i="3"/>
  <c r="G179" i="3"/>
  <c r="I179" i="3"/>
  <c r="C162" i="3"/>
  <c r="F103" i="3"/>
  <c r="H103" i="3"/>
  <c r="A103" i="3"/>
  <c r="G103" i="3"/>
  <c r="M103" i="3"/>
  <c r="E103" i="3"/>
  <c r="J103" i="3"/>
  <c r="I103" i="3"/>
  <c r="D103" i="3"/>
  <c r="B103" i="3"/>
  <c r="C157" i="3"/>
  <c r="C335" i="3"/>
  <c r="J410" i="3"/>
  <c r="D410" i="3"/>
  <c r="H410" i="3"/>
  <c r="A410" i="3"/>
  <c r="G410" i="3"/>
  <c r="F410" i="3"/>
  <c r="B410" i="3"/>
  <c r="M410" i="3"/>
  <c r="I410" i="3"/>
  <c r="E410" i="3"/>
  <c r="J241" i="3"/>
  <c r="D241" i="3"/>
  <c r="H241" i="3"/>
  <c r="B241" i="3"/>
  <c r="G241" i="3"/>
  <c r="F241" i="3"/>
  <c r="M241" i="3"/>
  <c r="E241" i="3"/>
  <c r="I241" i="3"/>
  <c r="A241" i="3"/>
  <c r="M102" i="3"/>
  <c r="G102" i="3"/>
  <c r="A102" i="3"/>
  <c r="F102" i="3"/>
  <c r="E102" i="3"/>
  <c r="D102" i="3"/>
  <c r="I102" i="3"/>
  <c r="H102" i="3"/>
  <c r="J102" i="3"/>
  <c r="B102" i="3"/>
  <c r="J125" i="3"/>
  <c r="D125" i="3"/>
  <c r="H125" i="3"/>
  <c r="B125" i="3"/>
  <c r="G125" i="3"/>
  <c r="F125" i="3"/>
  <c r="M125" i="3"/>
  <c r="E125" i="3"/>
  <c r="A125" i="3"/>
  <c r="I125" i="3"/>
  <c r="J481" i="3"/>
  <c r="D481" i="3"/>
  <c r="H481" i="3"/>
  <c r="B481" i="3"/>
  <c r="M481" i="3"/>
  <c r="G481" i="3"/>
  <c r="A481" i="3"/>
  <c r="I481" i="3"/>
  <c r="E481" i="3"/>
  <c r="F481" i="3"/>
  <c r="C507" i="3"/>
  <c r="H285" i="3"/>
  <c r="B285" i="3"/>
  <c r="D285" i="3"/>
  <c r="J285" i="3"/>
  <c r="I285" i="3"/>
  <c r="A285" i="3"/>
  <c r="M285" i="3"/>
  <c r="G285" i="3"/>
  <c r="E285" i="3"/>
  <c r="F285" i="3"/>
  <c r="F319" i="3"/>
  <c r="I319" i="3"/>
  <c r="B319" i="3"/>
  <c r="G319" i="3"/>
  <c r="D319" i="3"/>
  <c r="M319" i="3"/>
  <c r="A319" i="3"/>
  <c r="H319" i="3"/>
  <c r="E319" i="3"/>
  <c r="J319" i="3"/>
  <c r="C327" i="3"/>
  <c r="M140" i="3"/>
  <c r="G140" i="3"/>
  <c r="A140" i="3"/>
  <c r="D140" i="3"/>
  <c r="I140" i="3"/>
  <c r="B140" i="3"/>
  <c r="E140" i="3"/>
  <c r="H140" i="3"/>
  <c r="F140" i="3"/>
  <c r="J140" i="3"/>
  <c r="J371" i="3"/>
  <c r="D371" i="3"/>
  <c r="H371" i="3"/>
  <c r="B371" i="3"/>
  <c r="G371" i="3"/>
  <c r="F371" i="3"/>
  <c r="M371" i="3"/>
  <c r="E371" i="3"/>
  <c r="A371" i="3"/>
  <c r="I371" i="3"/>
  <c r="F147" i="3"/>
  <c r="G147" i="3"/>
  <c r="D147" i="3"/>
  <c r="J147" i="3"/>
  <c r="A147" i="3"/>
  <c r="I147" i="3"/>
  <c r="H147" i="3"/>
  <c r="B147" i="3"/>
  <c r="M147" i="3"/>
  <c r="E147" i="3"/>
  <c r="J392" i="3"/>
  <c r="D392" i="3"/>
  <c r="E392" i="3"/>
  <c r="I392" i="3"/>
  <c r="B392" i="3"/>
  <c r="F392" i="3"/>
  <c r="M392" i="3"/>
  <c r="A392" i="3"/>
  <c r="H392" i="3"/>
  <c r="G392" i="3"/>
  <c r="C65" i="3"/>
  <c r="H151" i="3"/>
  <c r="B151" i="3"/>
  <c r="E151" i="3"/>
  <c r="J151" i="3"/>
  <c r="M151" i="3"/>
  <c r="A151" i="3"/>
  <c r="I151" i="3"/>
  <c r="G151" i="3"/>
  <c r="F151" i="3"/>
  <c r="D151" i="3"/>
  <c r="C266" i="3"/>
  <c r="H107" i="3"/>
  <c r="B107" i="3"/>
  <c r="M107" i="3"/>
  <c r="F107" i="3"/>
  <c r="E107" i="3"/>
  <c r="D107" i="3"/>
  <c r="A107" i="3"/>
  <c r="J107" i="3"/>
  <c r="G107" i="3"/>
  <c r="I107" i="3"/>
  <c r="C143" i="3"/>
  <c r="H53" i="3"/>
  <c r="B53" i="3"/>
  <c r="J53" i="3"/>
  <c r="I53" i="3"/>
  <c r="A53" i="3"/>
  <c r="G53" i="3"/>
  <c r="F53" i="3"/>
  <c r="M53" i="3"/>
  <c r="E53" i="3"/>
  <c r="D53" i="3"/>
  <c r="C99" i="3"/>
  <c r="J123" i="3"/>
  <c r="D123" i="3"/>
  <c r="G123" i="3"/>
  <c r="F123" i="3"/>
  <c r="M123" i="3"/>
  <c r="E123" i="3"/>
  <c r="I123" i="3"/>
  <c r="H123" i="3"/>
  <c r="A123" i="3"/>
  <c r="B123" i="3"/>
  <c r="F343" i="3"/>
  <c r="G343" i="3"/>
  <c r="D343" i="3"/>
  <c r="E343" i="3"/>
  <c r="M343" i="3"/>
  <c r="B343" i="3"/>
  <c r="J343" i="3"/>
  <c r="H343" i="3"/>
  <c r="A343" i="3"/>
  <c r="I343" i="3"/>
  <c r="J211" i="3"/>
  <c r="H211" i="3"/>
  <c r="B211" i="3"/>
  <c r="I211" i="3"/>
  <c r="A211" i="3"/>
  <c r="G211" i="3"/>
  <c r="E211" i="3"/>
  <c r="D211" i="3"/>
  <c r="M211" i="3"/>
  <c r="F211" i="3"/>
  <c r="C79" i="3"/>
  <c r="C261" i="3"/>
  <c r="M120" i="3"/>
  <c r="G120" i="3"/>
  <c r="A120" i="3"/>
  <c r="J120" i="3"/>
  <c r="I120" i="3"/>
  <c r="B120" i="3"/>
  <c r="H120" i="3"/>
  <c r="E120" i="3"/>
  <c r="D120" i="3"/>
  <c r="F120" i="3"/>
  <c r="I444" i="3"/>
  <c r="G444" i="3"/>
  <c r="M444" i="3"/>
  <c r="F444" i="3"/>
  <c r="E444" i="3"/>
  <c r="J444" i="3"/>
  <c r="H444" i="3"/>
  <c r="D444" i="3"/>
  <c r="A444" i="3"/>
  <c r="B444" i="3"/>
  <c r="H303" i="3"/>
  <c r="B303" i="3"/>
  <c r="G303" i="3"/>
  <c r="M303" i="3"/>
  <c r="F303" i="3"/>
  <c r="E303" i="3"/>
  <c r="J303" i="3"/>
  <c r="I303" i="3"/>
  <c r="D303" i="3"/>
  <c r="A303" i="3"/>
  <c r="F97" i="3"/>
  <c r="G97" i="3"/>
  <c r="M97" i="3"/>
  <c r="E97" i="3"/>
  <c r="D97" i="3"/>
  <c r="B97" i="3"/>
  <c r="A97" i="3"/>
  <c r="J97" i="3"/>
  <c r="I97" i="3"/>
  <c r="H97" i="3"/>
  <c r="M472" i="3"/>
  <c r="G472" i="3"/>
  <c r="A472" i="3"/>
  <c r="E472" i="3"/>
  <c r="I472" i="3"/>
  <c r="H472" i="3"/>
  <c r="F472" i="3"/>
  <c r="B472" i="3"/>
  <c r="D472" i="3"/>
  <c r="J472" i="3"/>
  <c r="C163" i="3"/>
  <c r="C524" i="3"/>
  <c r="F287" i="3"/>
  <c r="G287" i="3"/>
  <c r="M287" i="3"/>
  <c r="E287" i="3"/>
  <c r="D287" i="3"/>
  <c r="B287" i="3"/>
  <c r="A287" i="3"/>
  <c r="J287" i="3"/>
  <c r="H287" i="3"/>
  <c r="I287" i="3"/>
  <c r="I358" i="3"/>
  <c r="M358" i="3"/>
  <c r="F358" i="3"/>
  <c r="D358" i="3"/>
  <c r="E358" i="3"/>
  <c r="B358" i="3"/>
  <c r="A358" i="3"/>
  <c r="J358" i="3"/>
  <c r="H358" i="3"/>
  <c r="G358" i="3"/>
  <c r="I470" i="3"/>
  <c r="M470" i="3"/>
  <c r="G470" i="3"/>
  <c r="A470" i="3"/>
  <c r="H470" i="3"/>
  <c r="F470" i="3"/>
  <c r="E470" i="3"/>
  <c r="J470" i="3"/>
  <c r="D470" i="3"/>
  <c r="B470" i="3"/>
  <c r="H498" i="3"/>
  <c r="B498" i="3"/>
  <c r="F498" i="3"/>
  <c r="J498" i="3"/>
  <c r="A498" i="3"/>
  <c r="I498" i="3"/>
  <c r="G498" i="3"/>
  <c r="E498" i="3"/>
  <c r="M498" i="3"/>
  <c r="D498" i="3"/>
  <c r="H504" i="3"/>
  <c r="B504" i="3"/>
  <c r="E504" i="3"/>
  <c r="J504" i="3"/>
  <c r="D504" i="3"/>
  <c r="M504" i="3"/>
  <c r="A504" i="3"/>
  <c r="I504" i="3"/>
  <c r="G504" i="3"/>
  <c r="F504" i="3"/>
  <c r="F447" i="3"/>
  <c r="D447" i="3"/>
  <c r="J447" i="3"/>
  <c r="I447" i="3"/>
  <c r="B447" i="3"/>
  <c r="M447" i="3"/>
  <c r="H447" i="3"/>
  <c r="G447" i="3"/>
  <c r="A447" i="3"/>
  <c r="E447" i="3"/>
  <c r="H237" i="3"/>
  <c r="B237" i="3"/>
  <c r="F237" i="3"/>
  <c r="E237" i="3"/>
  <c r="M237" i="3"/>
  <c r="D237" i="3"/>
  <c r="I237" i="3"/>
  <c r="G237" i="3"/>
  <c r="A237" i="3"/>
  <c r="J237" i="3"/>
  <c r="M96" i="3"/>
  <c r="G96" i="3"/>
  <c r="A96" i="3"/>
  <c r="E96" i="3"/>
  <c r="D96" i="3"/>
  <c r="J96" i="3"/>
  <c r="I96" i="3"/>
  <c r="F96" i="3"/>
  <c r="B96" i="3"/>
  <c r="H96" i="3"/>
  <c r="F159" i="3"/>
  <c r="I159" i="3"/>
  <c r="B159" i="3"/>
  <c r="G159" i="3"/>
  <c r="E159" i="3"/>
  <c r="D159" i="3"/>
  <c r="M159" i="3"/>
  <c r="H159" i="3"/>
  <c r="A159" i="3"/>
  <c r="J159" i="3"/>
  <c r="F251" i="3"/>
  <c r="G251" i="3"/>
  <c r="D251" i="3"/>
  <c r="H251" i="3"/>
  <c r="E251" i="3"/>
  <c r="A251" i="3"/>
  <c r="M251" i="3"/>
  <c r="J251" i="3"/>
  <c r="I251" i="3"/>
  <c r="B251" i="3"/>
  <c r="E104" i="3"/>
  <c r="I104" i="3"/>
  <c r="B104" i="3"/>
  <c r="H104" i="3"/>
  <c r="A104" i="3"/>
  <c r="G104" i="3"/>
  <c r="J104" i="3"/>
  <c r="F104" i="3"/>
  <c r="M104" i="3"/>
  <c r="D104" i="3"/>
  <c r="H199" i="3"/>
  <c r="B199" i="3"/>
  <c r="G199" i="3"/>
  <c r="M199" i="3"/>
  <c r="F199" i="3"/>
  <c r="E199" i="3"/>
  <c r="A199" i="3"/>
  <c r="I199" i="3"/>
  <c r="D199" i="3"/>
  <c r="J199" i="3"/>
  <c r="C172" i="3"/>
  <c r="F49" i="3"/>
  <c r="D49" i="3"/>
  <c r="J49" i="3"/>
  <c r="I49" i="3"/>
  <c r="B49" i="3"/>
  <c r="G49" i="3"/>
  <c r="E49" i="3"/>
  <c r="A49" i="3"/>
  <c r="M49" i="3"/>
  <c r="H49" i="3"/>
  <c r="H139" i="3"/>
  <c r="B139" i="3"/>
  <c r="J139" i="3"/>
  <c r="G139" i="3"/>
  <c r="F139" i="3"/>
  <c r="E139" i="3"/>
  <c r="M139" i="3"/>
  <c r="D139" i="3"/>
  <c r="I139" i="3"/>
  <c r="A139" i="3"/>
  <c r="I186" i="3"/>
  <c r="D186" i="3"/>
  <c r="H186" i="3"/>
  <c r="A186" i="3"/>
  <c r="J186" i="3"/>
  <c r="G186" i="3"/>
  <c r="M186" i="3"/>
  <c r="F186" i="3"/>
  <c r="B186" i="3"/>
  <c r="E186" i="3"/>
  <c r="F485" i="3"/>
  <c r="J485" i="3"/>
  <c r="D485" i="3"/>
  <c r="I485" i="3"/>
  <c r="H485" i="3"/>
  <c r="G485" i="3"/>
  <c r="M485" i="3"/>
  <c r="E485" i="3"/>
  <c r="A485" i="3"/>
  <c r="B485" i="3"/>
  <c r="I94" i="3"/>
  <c r="J94" i="3"/>
  <c r="B94" i="3"/>
  <c r="H94" i="3"/>
  <c r="A94" i="3"/>
  <c r="G94" i="3"/>
  <c r="F94" i="3"/>
  <c r="D94" i="3"/>
  <c r="M94" i="3"/>
  <c r="E94" i="3"/>
  <c r="F67" i="3"/>
  <c r="H67" i="3"/>
  <c r="A67" i="3"/>
  <c r="G67" i="3"/>
  <c r="M67" i="3"/>
  <c r="E67" i="3"/>
  <c r="B67" i="3"/>
  <c r="I67" i="3"/>
  <c r="D67" i="3"/>
  <c r="J67" i="3"/>
  <c r="M316" i="3"/>
  <c r="F422" i="3"/>
  <c r="J422" i="3"/>
  <c r="D422" i="3"/>
  <c r="E422" i="3"/>
  <c r="M422" i="3"/>
  <c r="B422" i="3"/>
  <c r="H422" i="3"/>
  <c r="G422" i="3"/>
  <c r="A422" i="3"/>
  <c r="I422" i="3"/>
  <c r="E300" i="3"/>
  <c r="J300" i="3"/>
  <c r="I300" i="3"/>
  <c r="B300" i="3"/>
  <c r="H300" i="3"/>
  <c r="A300" i="3"/>
  <c r="F300" i="3"/>
  <c r="D300" i="3"/>
  <c r="G300" i="3"/>
  <c r="M300" i="3"/>
  <c r="F390" i="3"/>
  <c r="I390" i="3"/>
  <c r="B390" i="3"/>
  <c r="G390" i="3"/>
  <c r="J390" i="3"/>
  <c r="H390" i="3"/>
  <c r="E390" i="3"/>
  <c r="M390" i="3"/>
  <c r="D390" i="3"/>
  <c r="A390" i="3"/>
  <c r="C231" i="3"/>
  <c r="E92" i="3"/>
  <c r="G92" i="3"/>
  <c r="M92" i="3"/>
  <c r="F92" i="3"/>
  <c r="D92" i="3"/>
  <c r="I92" i="3"/>
  <c r="H92" i="3"/>
  <c r="A92" i="3"/>
  <c r="J92" i="3"/>
  <c r="B92" i="3"/>
  <c r="C186" i="3"/>
  <c r="C440" i="3"/>
  <c r="H101" i="3"/>
  <c r="B101" i="3"/>
  <c r="E101" i="3"/>
  <c r="D101" i="3"/>
  <c r="J101" i="3"/>
  <c r="G101" i="3"/>
  <c r="F101" i="3"/>
  <c r="A101" i="3"/>
  <c r="M101" i="3"/>
  <c r="I101" i="3"/>
  <c r="C184" i="3"/>
  <c r="M164" i="3"/>
  <c r="G164" i="3"/>
  <c r="A164" i="3"/>
  <c r="I164" i="3"/>
  <c r="B164" i="3"/>
  <c r="F164" i="3"/>
  <c r="E164" i="3"/>
  <c r="D164" i="3"/>
  <c r="J164" i="3"/>
  <c r="H164" i="3"/>
  <c r="F177" i="3"/>
  <c r="M177" i="3"/>
  <c r="E177" i="3"/>
  <c r="J177" i="3"/>
  <c r="I177" i="3"/>
  <c r="H177" i="3"/>
  <c r="G177" i="3"/>
  <c r="B177" i="3"/>
  <c r="A177" i="3"/>
  <c r="D177" i="3"/>
  <c r="E240" i="3"/>
  <c r="I240" i="3"/>
  <c r="B240" i="3"/>
  <c r="J240" i="3"/>
  <c r="A240" i="3"/>
  <c r="H240" i="3"/>
  <c r="F240" i="3"/>
  <c r="D240" i="3"/>
  <c r="M240" i="3"/>
  <c r="G240" i="3"/>
  <c r="J496" i="3"/>
  <c r="D496" i="3"/>
  <c r="H496" i="3"/>
  <c r="B496" i="3"/>
  <c r="I496" i="3"/>
  <c r="G496" i="3"/>
  <c r="F496" i="3"/>
  <c r="M496" i="3"/>
  <c r="E496" i="3"/>
  <c r="A496" i="3"/>
  <c r="H353" i="3"/>
  <c r="B353" i="3"/>
  <c r="M353" i="3"/>
  <c r="F353" i="3"/>
  <c r="D353" i="3"/>
  <c r="E353" i="3"/>
  <c r="A353" i="3"/>
  <c r="J353" i="3"/>
  <c r="G353" i="3"/>
  <c r="I353" i="3"/>
  <c r="J455" i="3"/>
  <c r="D455" i="3"/>
  <c r="H455" i="3"/>
  <c r="A455" i="3"/>
  <c r="G455" i="3"/>
  <c r="M455" i="3"/>
  <c r="F455" i="3"/>
  <c r="I455" i="3"/>
  <c r="E455" i="3"/>
  <c r="B455" i="3"/>
  <c r="C489" i="3"/>
  <c r="J526" i="3"/>
  <c r="D526" i="3"/>
  <c r="I526" i="3"/>
  <c r="G526" i="3"/>
  <c r="M526" i="3"/>
  <c r="E526" i="3"/>
  <c r="B526" i="3"/>
  <c r="H526" i="3"/>
  <c r="F526" i="3"/>
  <c r="A526" i="3"/>
  <c r="E519" i="3"/>
  <c r="J519" i="3"/>
  <c r="D519" i="3"/>
  <c r="H519" i="3"/>
  <c r="F519" i="3"/>
  <c r="M519" i="3"/>
  <c r="A519" i="3"/>
  <c r="I519" i="3"/>
  <c r="G519" i="3"/>
  <c r="B519" i="3"/>
  <c r="F215" i="3"/>
  <c r="J215" i="3"/>
  <c r="D215" i="3"/>
  <c r="M215" i="3"/>
  <c r="B215" i="3"/>
  <c r="I215" i="3"/>
  <c r="A215" i="3"/>
  <c r="G215" i="3"/>
  <c r="E215" i="3"/>
  <c r="H215" i="3"/>
  <c r="I150" i="3"/>
  <c r="D150" i="3"/>
  <c r="H150" i="3"/>
  <c r="A150" i="3"/>
  <c r="E150" i="3"/>
  <c r="M150" i="3"/>
  <c r="B150" i="3"/>
  <c r="G150" i="3"/>
  <c r="F150" i="3"/>
  <c r="J150" i="3"/>
  <c r="C284" i="3"/>
  <c r="C207" i="3"/>
  <c r="H329" i="3"/>
  <c r="B329" i="3"/>
  <c r="I329" i="3"/>
  <c r="A329" i="3"/>
  <c r="M329" i="3"/>
  <c r="F329" i="3"/>
  <c r="D329" i="3"/>
  <c r="G329" i="3"/>
  <c r="E329" i="3"/>
  <c r="J329" i="3"/>
  <c r="J345" i="3"/>
  <c r="D345" i="3"/>
  <c r="I345" i="3"/>
  <c r="B345" i="3"/>
  <c r="G345" i="3"/>
  <c r="A345" i="3"/>
  <c r="H345" i="3"/>
  <c r="M345" i="3"/>
  <c r="F345" i="3"/>
  <c r="E345" i="3"/>
  <c r="I290" i="3"/>
  <c r="D290" i="3"/>
  <c r="J290" i="3"/>
  <c r="B290" i="3"/>
  <c r="H290" i="3"/>
  <c r="A290" i="3"/>
  <c r="F290" i="3"/>
  <c r="E290" i="3"/>
  <c r="M290" i="3"/>
  <c r="G290" i="3"/>
  <c r="E276" i="3"/>
  <c r="M276" i="3"/>
  <c r="F276" i="3"/>
  <c r="J276" i="3"/>
  <c r="G276" i="3"/>
  <c r="D276" i="3"/>
  <c r="B276" i="3"/>
  <c r="H276" i="3"/>
  <c r="A276" i="3"/>
  <c r="I276" i="3"/>
  <c r="C372" i="3"/>
  <c r="H388" i="3"/>
  <c r="B388" i="3"/>
  <c r="M388" i="3"/>
  <c r="F388" i="3"/>
  <c r="D388" i="3"/>
  <c r="A388" i="3"/>
  <c r="J388" i="3"/>
  <c r="I388" i="3"/>
  <c r="E388" i="3"/>
  <c r="G388" i="3"/>
  <c r="C408" i="3"/>
  <c r="F506" i="3"/>
  <c r="H506" i="3"/>
  <c r="A506" i="3"/>
  <c r="M506" i="3"/>
  <c r="E506" i="3"/>
  <c r="J506" i="3"/>
  <c r="I506" i="3"/>
  <c r="G506" i="3"/>
  <c r="D506" i="3"/>
  <c r="B506" i="3"/>
  <c r="C441" i="3"/>
  <c r="C485" i="3"/>
  <c r="J514" i="3"/>
  <c r="D514" i="3"/>
  <c r="I514" i="3"/>
  <c r="A514" i="3"/>
  <c r="G514" i="3"/>
  <c r="H514" i="3"/>
  <c r="F514" i="3"/>
  <c r="E514" i="3"/>
  <c r="B514" i="3"/>
  <c r="M514" i="3"/>
  <c r="C294" i="3"/>
  <c r="E208" i="3"/>
  <c r="M208" i="3"/>
  <c r="F208" i="3"/>
  <c r="D208" i="3"/>
  <c r="J208" i="3"/>
  <c r="A208" i="3"/>
  <c r="I208" i="3"/>
  <c r="G208" i="3"/>
  <c r="B208" i="3"/>
  <c r="H208" i="3"/>
  <c r="I334" i="3"/>
  <c r="H334" i="3"/>
  <c r="A334" i="3"/>
  <c r="M334" i="3"/>
  <c r="F334" i="3"/>
  <c r="D334" i="3"/>
  <c r="B334" i="3"/>
  <c r="G334" i="3"/>
  <c r="E334" i="3"/>
  <c r="J334" i="3"/>
  <c r="F349" i="3"/>
  <c r="H349" i="3"/>
  <c r="A349" i="3"/>
  <c r="M349" i="3"/>
  <c r="E349" i="3"/>
  <c r="B349" i="3"/>
  <c r="J349" i="3"/>
  <c r="G349" i="3"/>
  <c r="D349" i="3"/>
  <c r="I349" i="3"/>
  <c r="F461" i="3"/>
  <c r="J461" i="3"/>
  <c r="D461" i="3"/>
  <c r="H461" i="3"/>
  <c r="G461" i="3"/>
  <c r="E461" i="3"/>
  <c r="B461" i="3"/>
  <c r="A461" i="3"/>
  <c r="M461" i="3"/>
  <c r="I461" i="3"/>
  <c r="J377" i="3"/>
  <c r="D377" i="3"/>
  <c r="H377" i="3"/>
  <c r="B377" i="3"/>
  <c r="A377" i="3"/>
  <c r="I377" i="3"/>
  <c r="G377" i="3"/>
  <c r="M377" i="3"/>
  <c r="F377" i="3"/>
  <c r="E377" i="3"/>
  <c r="C389" i="3"/>
  <c r="E409" i="3"/>
  <c r="G409" i="3"/>
  <c r="M409" i="3"/>
  <c r="F409" i="3"/>
  <c r="D409" i="3"/>
  <c r="B409" i="3"/>
  <c r="A409" i="3"/>
  <c r="J409" i="3"/>
  <c r="I409" i="3"/>
  <c r="H409" i="3"/>
  <c r="M511" i="3"/>
  <c r="G511" i="3"/>
  <c r="A511" i="3"/>
  <c r="H511" i="3"/>
  <c r="E511" i="3"/>
  <c r="J511" i="3"/>
  <c r="I511" i="3"/>
  <c r="F511" i="3"/>
  <c r="D511" i="3"/>
  <c r="B511" i="3"/>
  <c r="E442" i="3"/>
  <c r="D442" i="3"/>
  <c r="J442" i="3"/>
  <c r="I442" i="3"/>
  <c r="B442" i="3"/>
  <c r="G442" i="3"/>
  <c r="F442" i="3"/>
  <c r="H442" i="3"/>
  <c r="A442" i="3"/>
  <c r="M442" i="3"/>
  <c r="E486" i="3"/>
  <c r="I486" i="3"/>
  <c r="H486" i="3"/>
  <c r="B486" i="3"/>
  <c r="J486" i="3"/>
  <c r="G486" i="3"/>
  <c r="F486" i="3"/>
  <c r="A486" i="3"/>
  <c r="M486" i="3"/>
  <c r="D486" i="3"/>
  <c r="H516" i="3"/>
  <c r="B516" i="3"/>
  <c r="M516" i="3"/>
  <c r="G516" i="3"/>
  <c r="A516" i="3"/>
  <c r="I516" i="3"/>
  <c r="J516" i="3"/>
  <c r="F516" i="3"/>
  <c r="E516" i="3"/>
  <c r="D516" i="3"/>
  <c r="M368" i="3"/>
  <c r="G368" i="3"/>
  <c r="A368" i="3"/>
  <c r="E368" i="3"/>
  <c r="J368" i="3"/>
  <c r="B368" i="3"/>
  <c r="I368" i="3"/>
  <c r="H368" i="3"/>
  <c r="D368" i="3"/>
  <c r="F368" i="3"/>
  <c r="H439" i="3"/>
  <c r="B439" i="3"/>
  <c r="G439" i="3"/>
  <c r="E439" i="3"/>
  <c r="M439" i="3"/>
  <c r="A439" i="3"/>
  <c r="J439" i="3"/>
  <c r="I439" i="3"/>
  <c r="D439" i="3"/>
  <c r="F439" i="3"/>
  <c r="H471" i="3"/>
  <c r="B471" i="3"/>
  <c r="F471" i="3"/>
  <c r="M471" i="3"/>
  <c r="D471" i="3"/>
  <c r="J471" i="3"/>
  <c r="A471" i="3"/>
  <c r="I471" i="3"/>
  <c r="E471" i="3"/>
  <c r="G471" i="3"/>
  <c r="M523" i="3"/>
  <c r="G523" i="3"/>
  <c r="A523" i="3"/>
  <c r="F523" i="3"/>
  <c r="J523" i="3"/>
  <c r="B523" i="3"/>
  <c r="H523" i="3"/>
  <c r="E523" i="3"/>
  <c r="I523" i="3"/>
  <c r="D523" i="3"/>
  <c r="C473" i="3"/>
  <c r="I503" i="3"/>
  <c r="D503" i="3"/>
  <c r="H503" i="3"/>
  <c r="A503" i="3"/>
  <c r="F503" i="3"/>
  <c r="E503" i="3"/>
  <c r="M503" i="3"/>
  <c r="B503" i="3"/>
  <c r="J503" i="3"/>
  <c r="G503" i="3"/>
  <c r="J363" i="3"/>
  <c r="D363" i="3"/>
  <c r="M363" i="3"/>
  <c r="F363" i="3"/>
  <c r="E363" i="3"/>
  <c r="H363" i="3"/>
  <c r="G363" i="3"/>
  <c r="B363" i="3"/>
  <c r="I363" i="3"/>
  <c r="A363" i="3"/>
  <c r="H341" i="3"/>
  <c r="B341" i="3"/>
  <c r="D341" i="3"/>
  <c r="I341" i="3"/>
  <c r="A341" i="3"/>
  <c r="J341" i="3"/>
  <c r="G341" i="3"/>
  <c r="F341" i="3"/>
  <c r="M341" i="3"/>
  <c r="E341" i="3"/>
  <c r="C355" i="3"/>
  <c r="J418" i="3"/>
  <c r="D418" i="3"/>
  <c r="H418" i="3"/>
  <c r="B418" i="3"/>
  <c r="A418" i="3"/>
  <c r="I418" i="3"/>
  <c r="F418" i="3"/>
  <c r="E418" i="3"/>
  <c r="M418" i="3"/>
  <c r="G418" i="3"/>
  <c r="H379" i="3"/>
  <c r="B379" i="3"/>
  <c r="M379" i="3"/>
  <c r="F379" i="3"/>
  <c r="J379" i="3"/>
  <c r="A379" i="3"/>
  <c r="I379" i="3"/>
  <c r="E379" i="3"/>
  <c r="D379" i="3"/>
  <c r="G379" i="3"/>
  <c r="H483" i="3"/>
  <c r="B483" i="3"/>
  <c r="F483" i="3"/>
  <c r="E483" i="3"/>
  <c r="M483" i="3"/>
  <c r="A483" i="3"/>
  <c r="J483" i="3"/>
  <c r="I483" i="3"/>
  <c r="G483" i="3"/>
  <c r="D483" i="3"/>
  <c r="I456" i="3"/>
  <c r="J456" i="3"/>
  <c r="B456" i="3"/>
  <c r="H456" i="3"/>
  <c r="A456" i="3"/>
  <c r="G456" i="3"/>
  <c r="M456" i="3"/>
  <c r="F456" i="3"/>
  <c r="E456" i="3"/>
  <c r="D456" i="3"/>
  <c r="C533" i="3"/>
  <c r="E531" i="3"/>
  <c r="J531" i="3"/>
  <c r="D531" i="3"/>
  <c r="F531" i="3"/>
  <c r="B531" i="3"/>
  <c r="I531" i="3"/>
  <c r="A531" i="3"/>
  <c r="G531" i="3"/>
  <c r="M531" i="3"/>
  <c r="H531" i="3"/>
  <c r="F43" i="3"/>
  <c r="J43" i="3"/>
  <c r="I43" i="3"/>
  <c r="B43" i="3"/>
  <c r="H43" i="3"/>
  <c r="A43" i="3"/>
  <c r="M43" i="3"/>
  <c r="G43" i="3"/>
  <c r="D43" i="3"/>
  <c r="E43" i="3"/>
  <c r="C352" i="3"/>
  <c r="C366" i="3"/>
  <c r="H291" i="3"/>
  <c r="B291" i="3"/>
  <c r="E291" i="3"/>
  <c r="D291" i="3"/>
  <c r="J291" i="3"/>
  <c r="G291" i="3"/>
  <c r="F291" i="3"/>
  <c r="A291" i="3"/>
  <c r="M291" i="3"/>
  <c r="I291" i="3"/>
  <c r="C159" i="3"/>
  <c r="H181" i="3"/>
  <c r="B181" i="3"/>
  <c r="D181" i="3"/>
  <c r="I181" i="3"/>
  <c r="A181" i="3"/>
  <c r="J181" i="3"/>
  <c r="G181" i="3"/>
  <c r="M181" i="3"/>
  <c r="F181" i="3"/>
  <c r="E181" i="3"/>
  <c r="F183" i="3"/>
  <c r="G183" i="3"/>
  <c r="D183" i="3"/>
  <c r="H183" i="3"/>
  <c r="E183" i="3"/>
  <c r="J183" i="3"/>
  <c r="I183" i="3"/>
  <c r="B183" i="3"/>
  <c r="M183" i="3"/>
  <c r="A183" i="3"/>
  <c r="C55" i="3"/>
  <c r="I100" i="3"/>
  <c r="D100" i="3"/>
  <c r="J100" i="3"/>
  <c r="B100" i="3"/>
  <c r="H100" i="3"/>
  <c r="A100" i="3"/>
  <c r="F100" i="3"/>
  <c r="E100" i="3"/>
  <c r="G100" i="3"/>
  <c r="M100" i="3"/>
  <c r="C196" i="3"/>
  <c r="F115" i="3"/>
  <c r="J115" i="3"/>
  <c r="I115" i="3"/>
  <c r="B115" i="3"/>
  <c r="H115" i="3"/>
  <c r="A115" i="3"/>
  <c r="M115" i="3"/>
  <c r="G115" i="3"/>
  <c r="E115" i="3"/>
  <c r="D115" i="3"/>
  <c r="J87" i="3"/>
  <c r="D87" i="3"/>
  <c r="G87" i="3"/>
  <c r="M87" i="3"/>
  <c r="F87" i="3"/>
  <c r="E87" i="3"/>
  <c r="B87" i="3"/>
  <c r="A87" i="3"/>
  <c r="H87" i="3"/>
  <c r="I87" i="3"/>
  <c r="I82" i="3"/>
  <c r="G82" i="3"/>
  <c r="M82" i="3"/>
  <c r="F82" i="3"/>
  <c r="E82" i="3"/>
  <c r="J82" i="3"/>
  <c r="H82" i="3"/>
  <c r="D82" i="3"/>
  <c r="B82" i="3"/>
  <c r="A82" i="3"/>
  <c r="C110" i="3"/>
  <c r="M170" i="3"/>
  <c r="G170" i="3"/>
  <c r="A170" i="3"/>
  <c r="J170" i="3"/>
  <c r="H170" i="3"/>
  <c r="D170" i="3"/>
  <c r="B170" i="3"/>
  <c r="F170" i="3"/>
  <c r="E170" i="3"/>
  <c r="I170" i="3"/>
  <c r="C479" i="3"/>
  <c r="I419" i="3"/>
  <c r="M419" i="3"/>
  <c r="G419" i="3"/>
  <c r="A419" i="3"/>
  <c r="H419" i="3"/>
  <c r="F419" i="3"/>
  <c r="E419" i="3"/>
  <c r="J419" i="3"/>
  <c r="D419" i="3"/>
  <c r="B419" i="3"/>
  <c r="C251" i="3"/>
  <c r="C324" i="3"/>
  <c r="E178" i="3"/>
  <c r="G178" i="3"/>
  <c r="D178" i="3"/>
  <c r="H178" i="3"/>
  <c r="F178" i="3"/>
  <c r="J178" i="3"/>
  <c r="I178" i="3"/>
  <c r="B178" i="3"/>
  <c r="M178" i="3"/>
  <c r="A178" i="3"/>
  <c r="C244" i="3"/>
  <c r="J203" i="3"/>
  <c r="D203" i="3"/>
  <c r="M203" i="3"/>
  <c r="F203" i="3"/>
  <c r="E203" i="3"/>
  <c r="H203" i="3"/>
  <c r="G203" i="3"/>
  <c r="B203" i="3"/>
  <c r="I203" i="3"/>
  <c r="A203" i="3"/>
  <c r="E68" i="3"/>
  <c r="I68" i="3"/>
  <c r="B68" i="3"/>
  <c r="H68" i="3"/>
  <c r="A68" i="3"/>
  <c r="G68" i="3"/>
  <c r="D68" i="3"/>
  <c r="M68" i="3"/>
  <c r="F68" i="3"/>
  <c r="J68" i="3"/>
  <c r="M245" i="3"/>
  <c r="F245" i="3"/>
  <c r="J245" i="3"/>
  <c r="D245" i="3"/>
  <c r="I245" i="3"/>
  <c r="A245" i="3"/>
  <c r="H245" i="3"/>
  <c r="G245" i="3"/>
  <c r="E245" i="3"/>
  <c r="B245" i="3"/>
  <c r="I70" i="3"/>
  <c r="E70" i="3"/>
  <c r="D70" i="3"/>
  <c r="J70" i="3"/>
  <c r="B70" i="3"/>
  <c r="G70" i="3"/>
  <c r="F70" i="3"/>
  <c r="A70" i="3"/>
  <c r="M70" i="3"/>
  <c r="H70" i="3"/>
  <c r="C164" i="3"/>
  <c r="C26" i="3"/>
  <c r="I212" i="3"/>
  <c r="M212" i="3"/>
  <c r="G212" i="3"/>
  <c r="A212" i="3"/>
  <c r="F212" i="3"/>
  <c r="E212" i="3"/>
  <c r="D212" i="3"/>
  <c r="J212" i="3"/>
  <c r="H212" i="3"/>
  <c r="B212" i="3"/>
  <c r="J315" i="3"/>
  <c r="D315" i="3"/>
  <c r="H315" i="3"/>
  <c r="B315" i="3"/>
  <c r="I315" i="3"/>
  <c r="G315" i="3"/>
  <c r="F315" i="3"/>
  <c r="A315" i="3"/>
  <c r="M315" i="3"/>
  <c r="E315" i="3"/>
  <c r="C418" i="3"/>
  <c r="J271" i="3"/>
  <c r="D271" i="3"/>
  <c r="M271" i="3"/>
  <c r="F271" i="3"/>
  <c r="G271" i="3"/>
  <c r="E271" i="3"/>
  <c r="B271" i="3"/>
  <c r="I271" i="3"/>
  <c r="H271" i="3"/>
  <c r="A271" i="3"/>
  <c r="I248" i="3"/>
  <c r="J248" i="3"/>
  <c r="B248" i="3"/>
  <c r="G248" i="3"/>
  <c r="M248" i="3"/>
  <c r="D248" i="3"/>
  <c r="A248" i="3"/>
  <c r="H248" i="3"/>
  <c r="F248" i="3"/>
  <c r="E248" i="3"/>
  <c r="I138" i="3"/>
  <c r="M138" i="3"/>
  <c r="G138" i="3"/>
  <c r="A138" i="3"/>
  <c r="J138" i="3"/>
  <c r="H138" i="3"/>
  <c r="F138" i="3"/>
  <c r="E138" i="3"/>
  <c r="D138" i="3"/>
  <c r="B138" i="3"/>
  <c r="E356" i="3"/>
  <c r="J356" i="3"/>
  <c r="H356" i="3"/>
  <c r="A356" i="3"/>
  <c r="I356" i="3"/>
  <c r="G356" i="3"/>
  <c r="F356" i="3"/>
  <c r="B356" i="3"/>
  <c r="D356" i="3"/>
  <c r="M356" i="3"/>
  <c r="E282" i="3"/>
  <c r="G282" i="3"/>
  <c r="M282" i="3"/>
  <c r="F282" i="3"/>
  <c r="D282" i="3"/>
  <c r="I282" i="3"/>
  <c r="H282" i="3"/>
  <c r="J282" i="3"/>
  <c r="B282" i="3"/>
  <c r="A282" i="3"/>
  <c r="M354" i="3"/>
  <c r="G354" i="3"/>
  <c r="A354" i="3"/>
  <c r="H354" i="3"/>
  <c r="E354" i="3"/>
  <c r="B354" i="3"/>
  <c r="J354" i="3"/>
  <c r="F354" i="3"/>
  <c r="D354" i="3"/>
  <c r="I354" i="3"/>
  <c r="C213" i="3"/>
  <c r="C224" i="3"/>
  <c r="H273" i="3"/>
  <c r="B273" i="3"/>
  <c r="I273" i="3"/>
  <c r="A273" i="3"/>
  <c r="M273" i="3"/>
  <c r="F273" i="3"/>
  <c r="J273" i="3"/>
  <c r="G273" i="3"/>
  <c r="D273" i="3"/>
  <c r="E273" i="3"/>
  <c r="C228" i="3"/>
  <c r="C85" i="3"/>
  <c r="H133" i="3"/>
  <c r="B133" i="3"/>
  <c r="F133" i="3"/>
  <c r="J133" i="3"/>
  <c r="A133" i="3"/>
  <c r="I133" i="3"/>
  <c r="E133" i="3"/>
  <c r="D133" i="3"/>
  <c r="M133" i="3"/>
  <c r="G133" i="3"/>
  <c r="F293" i="3"/>
  <c r="H293" i="3"/>
  <c r="A293" i="3"/>
  <c r="G293" i="3"/>
  <c r="M293" i="3"/>
  <c r="E293" i="3"/>
  <c r="J293" i="3"/>
  <c r="I293" i="3"/>
  <c r="D293" i="3"/>
  <c r="B293" i="3"/>
  <c r="C86" i="3"/>
  <c r="H175" i="3"/>
  <c r="B175" i="3"/>
  <c r="J175" i="3"/>
  <c r="G175" i="3"/>
  <c r="M175" i="3"/>
  <c r="D175" i="3"/>
  <c r="A175" i="3"/>
  <c r="F175" i="3"/>
  <c r="E175" i="3"/>
  <c r="I175" i="3"/>
  <c r="C41" i="3"/>
  <c r="C24" i="3"/>
  <c r="I58" i="3"/>
  <c r="J58" i="3"/>
  <c r="B58" i="3"/>
  <c r="H58" i="3"/>
  <c r="A58" i="3"/>
  <c r="G58" i="3"/>
  <c r="E58" i="3"/>
  <c r="D58" i="3"/>
  <c r="M58" i="3"/>
  <c r="F58" i="3"/>
  <c r="J149" i="3"/>
  <c r="D149" i="3"/>
  <c r="I149" i="3"/>
  <c r="B149" i="3"/>
  <c r="G149" i="3"/>
  <c r="F149" i="3"/>
  <c r="E149" i="3"/>
  <c r="M149" i="3"/>
  <c r="H149" i="3"/>
  <c r="A149" i="3"/>
  <c r="C498" i="3"/>
  <c r="M395" i="3"/>
  <c r="G395" i="3"/>
  <c r="A395" i="3"/>
  <c r="I395" i="3"/>
  <c r="B395" i="3"/>
  <c r="F395" i="3"/>
  <c r="J395" i="3"/>
  <c r="H395" i="3"/>
  <c r="E395" i="3"/>
  <c r="D395" i="3"/>
  <c r="C226" i="3"/>
  <c r="J105" i="3"/>
  <c r="D105" i="3"/>
  <c r="I105" i="3"/>
  <c r="B105" i="3"/>
  <c r="H105" i="3"/>
  <c r="A105" i="3"/>
  <c r="M105" i="3"/>
  <c r="G105" i="3"/>
  <c r="E105" i="3"/>
  <c r="F105" i="3"/>
  <c r="C283" i="3"/>
  <c r="C59" i="3"/>
  <c r="C446" i="3"/>
  <c r="M348" i="3"/>
  <c r="G348" i="3"/>
  <c r="A348" i="3"/>
  <c r="F348" i="3"/>
  <c r="D348" i="3"/>
  <c r="E348" i="3"/>
  <c r="B348" i="3"/>
  <c r="J348" i="3"/>
  <c r="I348" i="3"/>
  <c r="H348" i="3"/>
  <c r="C239" i="3"/>
  <c r="C272" i="3"/>
  <c r="C278" i="3"/>
  <c r="C421" i="3"/>
  <c r="M298" i="3"/>
  <c r="G298" i="3"/>
  <c r="A298" i="3"/>
  <c r="H298" i="3"/>
  <c r="F298" i="3"/>
  <c r="E298" i="3"/>
  <c r="B298" i="3"/>
  <c r="I298" i="3"/>
  <c r="D298" i="3"/>
  <c r="J298" i="3"/>
  <c r="E116" i="3"/>
  <c r="D116" i="3"/>
  <c r="J116" i="3"/>
  <c r="I116" i="3"/>
  <c r="B116" i="3"/>
  <c r="M116" i="3"/>
  <c r="H116" i="3"/>
  <c r="F116" i="3"/>
  <c r="A116" i="3"/>
  <c r="G116" i="3"/>
  <c r="C280" i="3"/>
  <c r="C44" i="3"/>
  <c r="I126" i="3"/>
  <c r="M126" i="3"/>
  <c r="G126" i="3"/>
  <c r="A126" i="3"/>
  <c r="D126" i="3"/>
  <c r="B126" i="3"/>
  <c r="J126" i="3"/>
  <c r="F126" i="3"/>
  <c r="E126" i="3"/>
  <c r="H126" i="3"/>
  <c r="C214" i="3"/>
  <c r="J81" i="3"/>
  <c r="D81" i="3"/>
  <c r="M81" i="3"/>
  <c r="F81" i="3"/>
  <c r="E81" i="3"/>
  <c r="H81" i="3"/>
  <c r="G81" i="3"/>
  <c r="B81" i="3"/>
  <c r="I81" i="3"/>
  <c r="A81" i="3"/>
  <c r="J93" i="3"/>
  <c r="D93" i="3"/>
  <c r="H93" i="3"/>
  <c r="A93" i="3"/>
  <c r="G93" i="3"/>
  <c r="M93" i="3"/>
  <c r="F93" i="3"/>
  <c r="I93" i="3"/>
  <c r="E93" i="3"/>
  <c r="B93" i="3"/>
  <c r="C351" i="3"/>
  <c r="I230" i="3"/>
  <c r="M230" i="3"/>
  <c r="G230" i="3"/>
  <c r="A230" i="3"/>
  <c r="F230" i="3"/>
  <c r="E230" i="3"/>
  <c r="D230" i="3"/>
  <c r="J230" i="3"/>
  <c r="H230" i="3"/>
  <c r="B230" i="3"/>
  <c r="C33" i="3"/>
  <c r="F109" i="3"/>
  <c r="I109" i="3"/>
  <c r="B109" i="3"/>
  <c r="H109" i="3"/>
  <c r="A109" i="3"/>
  <c r="G109" i="3"/>
  <c r="D109" i="3"/>
  <c r="M109" i="3"/>
  <c r="J109" i="3"/>
  <c r="E109" i="3"/>
  <c r="C455" i="3"/>
  <c r="E136" i="3"/>
  <c r="I136" i="3"/>
  <c r="H136" i="3"/>
  <c r="G136" i="3"/>
  <c r="F136" i="3"/>
  <c r="B136" i="3"/>
  <c r="A136" i="3"/>
  <c r="M136" i="3"/>
  <c r="J136" i="3"/>
  <c r="D136" i="3"/>
  <c r="C356" i="3"/>
  <c r="C150" i="3"/>
  <c r="J30" i="3"/>
  <c r="D30" i="3"/>
  <c r="H30" i="3"/>
  <c r="B30" i="3"/>
  <c r="F30" i="3"/>
  <c r="M30" i="3"/>
  <c r="E30" i="3"/>
  <c r="I30" i="3"/>
  <c r="G30" i="3"/>
  <c r="A30" i="3"/>
  <c r="M532" i="3"/>
  <c r="J357" i="3"/>
  <c r="D357" i="3"/>
  <c r="E357" i="3"/>
  <c r="I357" i="3"/>
  <c r="B357" i="3"/>
  <c r="G357" i="3"/>
  <c r="F357" i="3"/>
  <c r="H357" i="3"/>
  <c r="A357" i="3"/>
  <c r="M357" i="3"/>
  <c r="H163" i="3"/>
  <c r="B163" i="3"/>
  <c r="G163" i="3"/>
  <c r="E163" i="3"/>
  <c r="I163" i="3"/>
  <c r="F163" i="3"/>
  <c r="D163" i="3"/>
  <c r="J163" i="3"/>
  <c r="M163" i="3"/>
  <c r="A163" i="3"/>
  <c r="M220" i="3"/>
  <c r="G220" i="3"/>
  <c r="A220" i="3"/>
  <c r="E220" i="3"/>
  <c r="J220" i="3"/>
  <c r="B220" i="3"/>
  <c r="I220" i="3"/>
  <c r="H220" i="3"/>
  <c r="F220" i="3"/>
  <c r="D220" i="3"/>
  <c r="F275" i="3"/>
  <c r="D275" i="3"/>
  <c r="I275" i="3"/>
  <c r="B275" i="3"/>
  <c r="H275" i="3"/>
  <c r="G275" i="3"/>
  <c r="E275" i="3"/>
  <c r="M275" i="3"/>
  <c r="J275" i="3"/>
  <c r="A275" i="3"/>
  <c r="H323" i="3"/>
  <c r="B323" i="3"/>
  <c r="G323" i="3"/>
  <c r="E323" i="3"/>
  <c r="F323" i="3"/>
  <c r="D323" i="3"/>
  <c r="M323" i="3"/>
  <c r="I323" i="3"/>
  <c r="A323" i="3"/>
  <c r="J323" i="3"/>
  <c r="F141" i="3"/>
  <c r="M141" i="3"/>
  <c r="E141" i="3"/>
  <c r="J141" i="3"/>
  <c r="B141" i="3"/>
  <c r="A141" i="3"/>
  <c r="I141" i="3"/>
  <c r="H141" i="3"/>
  <c r="G141" i="3"/>
  <c r="D141" i="3"/>
  <c r="H26" i="3"/>
  <c r="B26" i="3"/>
  <c r="F26" i="3"/>
  <c r="M26" i="3"/>
  <c r="D26" i="3"/>
  <c r="J26" i="3"/>
  <c r="A26" i="3"/>
  <c r="I26" i="3"/>
  <c r="E26" i="3"/>
  <c r="G26" i="3"/>
  <c r="M238" i="3"/>
  <c r="G238" i="3"/>
  <c r="A238" i="3"/>
  <c r="E238" i="3"/>
  <c r="J238" i="3"/>
  <c r="B238" i="3"/>
  <c r="I238" i="3"/>
  <c r="H238" i="3"/>
  <c r="F238" i="3"/>
  <c r="D238" i="3"/>
  <c r="H426" i="3"/>
  <c r="B426" i="3"/>
  <c r="F426" i="3"/>
  <c r="G426" i="3"/>
  <c r="E426" i="3"/>
  <c r="M426" i="3"/>
  <c r="D426" i="3"/>
  <c r="J426" i="3"/>
  <c r="I426" i="3"/>
  <c r="A426" i="3"/>
  <c r="H406" i="3"/>
  <c r="B406" i="3"/>
  <c r="J406" i="3"/>
  <c r="I406" i="3"/>
  <c r="A406" i="3"/>
  <c r="G406" i="3"/>
  <c r="F406" i="3"/>
  <c r="D406" i="3"/>
  <c r="M406" i="3"/>
  <c r="E406" i="3"/>
  <c r="I438" i="3"/>
  <c r="M438" i="3"/>
  <c r="F438" i="3"/>
  <c r="D438" i="3"/>
  <c r="E438" i="3"/>
  <c r="B438" i="3"/>
  <c r="A438" i="3"/>
  <c r="H438" i="3"/>
  <c r="G438" i="3"/>
  <c r="J438" i="3"/>
  <c r="F524" i="3"/>
  <c r="E524" i="3"/>
  <c r="G524" i="3"/>
  <c r="M524" i="3"/>
  <c r="J524" i="3"/>
  <c r="B524" i="3"/>
  <c r="H524" i="3"/>
  <c r="D524" i="3"/>
  <c r="A524" i="3"/>
  <c r="I524" i="3"/>
  <c r="H249" i="3"/>
  <c r="B249" i="3"/>
  <c r="D249" i="3"/>
  <c r="I249" i="3"/>
  <c r="A249" i="3"/>
  <c r="J249" i="3"/>
  <c r="G249" i="3"/>
  <c r="E249" i="3"/>
  <c r="M249" i="3"/>
  <c r="F249" i="3"/>
  <c r="E344" i="3"/>
  <c r="H344" i="3"/>
  <c r="A344" i="3"/>
  <c r="M344" i="3"/>
  <c r="F344" i="3"/>
  <c r="B344" i="3"/>
  <c r="J344" i="3"/>
  <c r="G344" i="3"/>
  <c r="D344" i="3"/>
  <c r="I344" i="3"/>
  <c r="E172" i="3"/>
  <c r="M172" i="3"/>
  <c r="F172" i="3"/>
  <c r="J172" i="3"/>
  <c r="I172" i="3"/>
  <c r="H172" i="3"/>
  <c r="G172" i="3"/>
  <c r="B172" i="3"/>
  <c r="A172" i="3"/>
  <c r="D172" i="3"/>
  <c r="H477" i="3"/>
  <c r="B477" i="3"/>
  <c r="F477" i="3"/>
  <c r="E477" i="3"/>
  <c r="G477" i="3"/>
  <c r="D477" i="3"/>
  <c r="M477" i="3"/>
  <c r="I477" i="3"/>
  <c r="A477" i="3"/>
  <c r="J477" i="3"/>
  <c r="E525" i="3"/>
  <c r="J525" i="3"/>
  <c r="D525" i="3"/>
  <c r="B525" i="3"/>
  <c r="H525" i="3"/>
  <c r="G525" i="3"/>
  <c r="M525" i="3"/>
  <c r="I525" i="3"/>
  <c r="F525" i="3"/>
  <c r="A525" i="3"/>
  <c r="J430" i="3"/>
  <c r="D430" i="3"/>
  <c r="H430" i="3"/>
  <c r="B430" i="3"/>
  <c r="I430" i="3"/>
  <c r="G430" i="3"/>
  <c r="F430" i="3"/>
  <c r="E430" i="3"/>
  <c r="A430" i="3"/>
  <c r="M430" i="3"/>
  <c r="C449" i="3"/>
  <c r="F536" i="3"/>
  <c r="E536" i="3"/>
  <c r="J536" i="3"/>
  <c r="D536" i="3"/>
  <c r="G536" i="3"/>
  <c r="B536" i="3"/>
  <c r="M536" i="3"/>
  <c r="A536" i="3"/>
  <c r="I536" i="3"/>
  <c r="H536" i="3"/>
  <c r="E288" i="3"/>
  <c r="H288" i="3"/>
  <c r="A288" i="3"/>
  <c r="G288" i="3"/>
  <c r="M288" i="3"/>
  <c r="F288" i="3"/>
  <c r="B288" i="3"/>
  <c r="J288" i="3"/>
  <c r="D288" i="3"/>
  <c r="I288" i="3"/>
  <c r="I284" i="3"/>
  <c r="J284" i="3"/>
  <c r="B284" i="3"/>
  <c r="H284" i="3"/>
  <c r="A284" i="3"/>
  <c r="G284" i="3"/>
  <c r="F284" i="3"/>
  <c r="M284" i="3"/>
  <c r="E284" i="3"/>
  <c r="D284" i="3"/>
  <c r="E196" i="3"/>
  <c r="J196" i="3"/>
  <c r="I196" i="3"/>
  <c r="H196" i="3"/>
  <c r="A196" i="3"/>
  <c r="M196" i="3"/>
  <c r="G196" i="3"/>
  <c r="F196" i="3"/>
  <c r="B196" i="3"/>
  <c r="D196" i="3"/>
  <c r="E216" i="3"/>
  <c r="I216" i="3"/>
  <c r="H216" i="3"/>
  <c r="G216" i="3"/>
  <c r="F216" i="3"/>
  <c r="J216" i="3"/>
  <c r="D216" i="3"/>
  <c r="A216" i="3"/>
  <c r="B216" i="3"/>
  <c r="M216" i="3"/>
  <c r="M262" i="3"/>
  <c r="G262" i="3"/>
  <c r="A262" i="3"/>
  <c r="H262" i="3"/>
  <c r="E262" i="3"/>
  <c r="D262" i="3"/>
  <c r="B262" i="3"/>
  <c r="I262" i="3"/>
  <c r="F262" i="3"/>
  <c r="J262" i="3"/>
  <c r="J111" i="3"/>
  <c r="D111" i="3"/>
  <c r="E111" i="3"/>
  <c r="I111" i="3"/>
  <c r="B111" i="3"/>
  <c r="G111" i="3"/>
  <c r="F111" i="3"/>
  <c r="A111" i="3"/>
  <c r="M111" i="3"/>
  <c r="H111" i="3"/>
  <c r="M200" i="3"/>
  <c r="G200" i="3"/>
  <c r="A200" i="3"/>
  <c r="I200" i="3"/>
  <c r="B200" i="3"/>
  <c r="H200" i="3"/>
  <c r="F200" i="3"/>
  <c r="D200" i="3"/>
  <c r="E200" i="3"/>
  <c r="J200" i="3"/>
  <c r="M280" i="3"/>
  <c r="G280" i="3"/>
  <c r="A280" i="3"/>
  <c r="D280" i="3"/>
  <c r="I280" i="3"/>
  <c r="B280" i="3"/>
  <c r="H280" i="3"/>
  <c r="F280" i="3"/>
  <c r="E280" i="3"/>
  <c r="J280" i="3"/>
  <c r="M292" i="3"/>
  <c r="G292" i="3"/>
  <c r="A292" i="3"/>
  <c r="F292" i="3"/>
  <c r="E292" i="3"/>
  <c r="D292" i="3"/>
  <c r="I292" i="3"/>
  <c r="H292" i="3"/>
  <c r="J292" i="3"/>
  <c r="B292" i="3"/>
  <c r="E122" i="3"/>
  <c r="M122" i="3"/>
  <c r="F122" i="3"/>
  <c r="D122" i="3"/>
  <c r="J122" i="3"/>
  <c r="H122" i="3"/>
  <c r="G122" i="3"/>
  <c r="B122" i="3"/>
  <c r="I122" i="3"/>
  <c r="A122" i="3"/>
  <c r="C38" i="3"/>
  <c r="E314" i="3"/>
  <c r="I314" i="3"/>
  <c r="M314" i="3"/>
  <c r="D314" i="3"/>
  <c r="B314" i="3"/>
  <c r="J314" i="3"/>
  <c r="A314" i="3"/>
  <c r="H314" i="3"/>
  <c r="F314" i="3"/>
  <c r="G314" i="3"/>
  <c r="E142" i="3"/>
  <c r="G142" i="3"/>
  <c r="D142" i="3"/>
  <c r="J142" i="3"/>
  <c r="A142" i="3"/>
  <c r="I142" i="3"/>
  <c r="H142" i="3"/>
  <c r="B142" i="3"/>
  <c r="M142" i="3"/>
  <c r="F142" i="3"/>
  <c r="E44" i="3"/>
  <c r="D44" i="3"/>
  <c r="J44" i="3"/>
  <c r="I44" i="3"/>
  <c r="B44" i="3"/>
  <c r="M44" i="3"/>
  <c r="H44" i="3"/>
  <c r="G44" i="3"/>
  <c r="F44" i="3"/>
  <c r="A44" i="3"/>
  <c r="J404" i="3"/>
  <c r="D404" i="3"/>
  <c r="G404" i="3"/>
  <c r="M404" i="3"/>
  <c r="F404" i="3"/>
  <c r="E404" i="3"/>
  <c r="I404" i="3"/>
  <c r="H404" i="3"/>
  <c r="A404" i="3"/>
  <c r="B404" i="3"/>
  <c r="E320" i="3"/>
  <c r="J320" i="3"/>
  <c r="H320" i="3"/>
  <c r="A320" i="3"/>
  <c r="M320" i="3"/>
  <c r="B320" i="3"/>
  <c r="I320" i="3"/>
  <c r="G320" i="3"/>
  <c r="D320" i="3"/>
  <c r="F320" i="3"/>
  <c r="H335" i="3"/>
  <c r="B335" i="3"/>
  <c r="J335" i="3"/>
  <c r="G335" i="3"/>
  <c r="A335" i="3"/>
  <c r="I335" i="3"/>
  <c r="M335" i="3"/>
  <c r="F335" i="3"/>
  <c r="E335" i="3"/>
  <c r="D335" i="3"/>
  <c r="F207" i="3"/>
  <c r="D207" i="3"/>
  <c r="J207" i="3"/>
  <c r="I207" i="3"/>
  <c r="B207" i="3"/>
  <c r="M207" i="3"/>
  <c r="H207" i="3"/>
  <c r="G207" i="3"/>
  <c r="E207" i="3"/>
  <c r="A207" i="3"/>
  <c r="E74" i="3"/>
  <c r="J74" i="3"/>
  <c r="I74" i="3"/>
  <c r="B74" i="3"/>
  <c r="H74" i="3"/>
  <c r="A74" i="3"/>
  <c r="M74" i="3"/>
  <c r="G74" i="3"/>
  <c r="D74" i="3"/>
  <c r="F74" i="3"/>
  <c r="H255" i="3"/>
  <c r="B255" i="3"/>
  <c r="E255" i="3"/>
  <c r="J255" i="3"/>
  <c r="I255" i="3"/>
  <c r="G255" i="3"/>
  <c r="F255" i="3"/>
  <c r="M255" i="3"/>
  <c r="D255" i="3"/>
  <c r="A255" i="3"/>
  <c r="J75" i="3"/>
  <c r="D75" i="3"/>
  <c r="E75" i="3"/>
  <c r="I75" i="3"/>
  <c r="B75" i="3"/>
  <c r="M75" i="3"/>
  <c r="H75" i="3"/>
  <c r="G75" i="3"/>
  <c r="F75" i="3"/>
  <c r="A75" i="3"/>
  <c r="H35" i="3"/>
  <c r="B35" i="3"/>
  <c r="M35" i="3"/>
  <c r="F35" i="3"/>
  <c r="D35" i="3"/>
  <c r="A35" i="3"/>
  <c r="J35" i="3"/>
  <c r="I35" i="3"/>
  <c r="G35" i="3"/>
  <c r="E35" i="3"/>
  <c r="H309" i="3"/>
  <c r="B309" i="3"/>
  <c r="I309" i="3"/>
  <c r="A309" i="3"/>
  <c r="G309" i="3"/>
  <c r="M309" i="3"/>
  <c r="F309" i="3"/>
  <c r="D309" i="3"/>
  <c r="J309" i="3"/>
  <c r="E309" i="3"/>
  <c r="I132" i="3"/>
  <c r="M132" i="3"/>
  <c r="G132" i="3"/>
  <c r="A132" i="3"/>
  <c r="F132" i="3"/>
  <c r="E132" i="3"/>
  <c r="D132" i="3"/>
  <c r="J132" i="3"/>
  <c r="B132" i="3"/>
  <c r="H132" i="3"/>
  <c r="I25" i="3"/>
  <c r="M25" i="3"/>
  <c r="G25" i="3"/>
  <c r="A25" i="3"/>
  <c r="H25" i="3"/>
  <c r="F25" i="3"/>
  <c r="E25" i="3"/>
  <c r="J25" i="3"/>
  <c r="D25" i="3"/>
  <c r="B25" i="3"/>
  <c r="E184" i="3"/>
  <c r="H184" i="3"/>
  <c r="A184" i="3"/>
  <c r="M184" i="3"/>
  <c r="F184" i="3"/>
  <c r="D184" i="3"/>
  <c r="B184" i="3"/>
  <c r="J184" i="3"/>
  <c r="I184" i="3"/>
  <c r="G184" i="3"/>
  <c r="I302" i="3"/>
  <c r="M302" i="3"/>
  <c r="F302" i="3"/>
  <c r="E302" i="3"/>
  <c r="D302" i="3"/>
  <c r="H302" i="3"/>
  <c r="G302" i="3"/>
  <c r="B302" i="3"/>
  <c r="J302" i="3"/>
  <c r="A302" i="3"/>
  <c r="H367" i="3"/>
  <c r="B367" i="3"/>
  <c r="F367" i="3"/>
  <c r="E367" i="3"/>
  <c r="M367" i="3"/>
  <c r="D367" i="3"/>
  <c r="J367" i="3"/>
  <c r="G367" i="3"/>
  <c r="A367" i="3"/>
  <c r="I367" i="3"/>
  <c r="I346" i="3"/>
  <c r="D346" i="3"/>
  <c r="H346" i="3"/>
  <c r="A346" i="3"/>
  <c r="J346" i="3"/>
  <c r="G346" i="3"/>
  <c r="F346" i="3"/>
  <c r="B346" i="3"/>
  <c r="E346" i="3"/>
  <c r="M346" i="3"/>
  <c r="E385" i="3"/>
  <c r="I385" i="3"/>
  <c r="B385" i="3"/>
  <c r="G385" i="3"/>
  <c r="J385" i="3"/>
  <c r="H385" i="3"/>
  <c r="F385" i="3"/>
  <c r="M385" i="3"/>
  <c r="D385" i="3"/>
  <c r="A385" i="3"/>
  <c r="H492" i="3"/>
  <c r="B492" i="3"/>
  <c r="F492" i="3"/>
  <c r="G492" i="3"/>
  <c r="M492" i="3"/>
  <c r="D492" i="3"/>
  <c r="J492" i="3"/>
  <c r="I492" i="3"/>
  <c r="E492" i="3"/>
  <c r="A492" i="3"/>
  <c r="E462" i="3"/>
  <c r="I462" i="3"/>
  <c r="M462" i="3"/>
  <c r="D462" i="3"/>
  <c r="B462" i="3"/>
  <c r="J462" i="3"/>
  <c r="A462" i="3"/>
  <c r="G462" i="3"/>
  <c r="F462" i="3"/>
  <c r="H462" i="3"/>
  <c r="E489" i="3"/>
  <c r="I489" i="3"/>
  <c r="J489" i="3"/>
  <c r="A489" i="3"/>
  <c r="G489" i="3"/>
  <c r="F489" i="3"/>
  <c r="M489" i="3"/>
  <c r="H489" i="3"/>
  <c r="B489" i="3"/>
  <c r="D489" i="3"/>
  <c r="E537" i="3"/>
  <c r="J537" i="3"/>
  <c r="D537" i="3"/>
  <c r="I537" i="3"/>
  <c r="F537" i="3"/>
  <c r="M537" i="3"/>
  <c r="A537" i="3"/>
  <c r="G537" i="3"/>
  <c r="B537" i="3"/>
  <c r="H537" i="3"/>
  <c r="I242" i="3"/>
  <c r="M242" i="3"/>
  <c r="G242" i="3"/>
  <c r="A242" i="3"/>
  <c r="D242" i="3"/>
  <c r="B242" i="3"/>
  <c r="J242" i="3"/>
  <c r="H242" i="3"/>
  <c r="F242" i="3"/>
  <c r="E242" i="3"/>
  <c r="F171" i="3"/>
  <c r="D171" i="3"/>
  <c r="I171" i="3"/>
  <c r="B171" i="3"/>
  <c r="M171" i="3"/>
  <c r="A171" i="3"/>
  <c r="J171" i="3"/>
  <c r="H171" i="3"/>
  <c r="G171" i="3"/>
  <c r="E171" i="3"/>
  <c r="F311" i="3"/>
  <c r="D311" i="3"/>
  <c r="J311" i="3"/>
  <c r="I311" i="3"/>
  <c r="B311" i="3"/>
  <c r="G311" i="3"/>
  <c r="E311" i="3"/>
  <c r="A311" i="3"/>
  <c r="M311" i="3"/>
  <c r="H311" i="3"/>
  <c r="E294" i="3"/>
  <c r="I294" i="3"/>
  <c r="B294" i="3"/>
  <c r="H294" i="3"/>
  <c r="A294" i="3"/>
  <c r="G294" i="3"/>
  <c r="J294" i="3"/>
  <c r="F294" i="3"/>
  <c r="M294" i="3"/>
  <c r="D294" i="3"/>
  <c r="I372" i="3"/>
  <c r="M372" i="3"/>
  <c r="G372" i="3"/>
  <c r="A372" i="3"/>
  <c r="D372" i="3"/>
  <c r="B372" i="3"/>
  <c r="J372" i="3"/>
  <c r="F372" i="3"/>
  <c r="E372" i="3"/>
  <c r="H372" i="3"/>
  <c r="H394" i="3"/>
  <c r="B394" i="3"/>
  <c r="G394" i="3"/>
  <c r="E394" i="3"/>
  <c r="A394" i="3"/>
  <c r="J394" i="3"/>
  <c r="I394" i="3"/>
  <c r="D394" i="3"/>
  <c r="M394" i="3"/>
  <c r="F394" i="3"/>
  <c r="C404" i="3"/>
  <c r="E376" i="3"/>
  <c r="I376" i="3"/>
  <c r="F376" i="3"/>
  <c r="M376" i="3"/>
  <c r="D376" i="3"/>
  <c r="B376" i="3"/>
  <c r="H376" i="3"/>
  <c r="G376" i="3"/>
  <c r="A376" i="3"/>
  <c r="J376" i="3"/>
  <c r="C426" i="3"/>
  <c r="E411" i="3"/>
  <c r="I411" i="3"/>
  <c r="M411" i="3"/>
  <c r="D411" i="3"/>
  <c r="B411" i="3"/>
  <c r="J411" i="3"/>
  <c r="A411" i="3"/>
  <c r="G411" i="3"/>
  <c r="F411" i="3"/>
  <c r="H411" i="3"/>
  <c r="C459" i="3"/>
  <c r="I521" i="3"/>
  <c r="H521" i="3"/>
  <c r="B521" i="3"/>
  <c r="J521" i="3"/>
  <c r="F521" i="3"/>
  <c r="M521" i="3"/>
  <c r="E521" i="3"/>
  <c r="G521" i="3"/>
  <c r="D521" i="3"/>
  <c r="A521" i="3"/>
  <c r="M535" i="3"/>
  <c r="G535" i="3"/>
  <c r="A535" i="3"/>
  <c r="F535" i="3"/>
  <c r="H535" i="3"/>
  <c r="D535" i="3"/>
  <c r="I535" i="3"/>
  <c r="E535" i="3"/>
  <c r="B535" i="3"/>
  <c r="J535" i="3"/>
  <c r="F337" i="3"/>
  <c r="M337" i="3"/>
  <c r="E337" i="3"/>
  <c r="J337" i="3"/>
  <c r="H337" i="3"/>
  <c r="G337" i="3"/>
  <c r="D337" i="3"/>
  <c r="I337" i="3"/>
  <c r="B337" i="3"/>
  <c r="A337" i="3"/>
  <c r="M226" i="3"/>
  <c r="G226" i="3"/>
  <c r="A226" i="3"/>
  <c r="E226" i="3"/>
  <c r="D226" i="3"/>
  <c r="J226" i="3"/>
  <c r="B226" i="3"/>
  <c r="H226" i="3"/>
  <c r="F226" i="3"/>
  <c r="I226" i="3"/>
  <c r="I378" i="3"/>
  <c r="M378" i="3"/>
  <c r="G378" i="3"/>
  <c r="A378" i="3"/>
  <c r="F378" i="3"/>
  <c r="E378" i="3"/>
  <c r="D378" i="3"/>
  <c r="H378" i="3"/>
  <c r="B378" i="3"/>
  <c r="J378" i="3"/>
  <c r="C385" i="3"/>
  <c r="J321" i="3"/>
  <c r="D321" i="3"/>
  <c r="E321" i="3"/>
  <c r="I321" i="3"/>
  <c r="B321" i="3"/>
  <c r="H321" i="3"/>
  <c r="G321" i="3"/>
  <c r="A321" i="3"/>
  <c r="F321" i="3"/>
  <c r="M321" i="3"/>
  <c r="I405" i="3"/>
  <c r="H405" i="3"/>
  <c r="A405" i="3"/>
  <c r="G405" i="3"/>
  <c r="M405" i="3"/>
  <c r="F405" i="3"/>
  <c r="J405" i="3"/>
  <c r="E405" i="3"/>
  <c r="D405" i="3"/>
  <c r="B405" i="3"/>
  <c r="I381" i="3"/>
  <c r="D381" i="3"/>
  <c r="H381" i="3"/>
  <c r="A381" i="3"/>
  <c r="G381" i="3"/>
  <c r="F381" i="3"/>
  <c r="E381" i="3"/>
  <c r="M381" i="3"/>
  <c r="J381" i="3"/>
  <c r="B381" i="3"/>
  <c r="M427" i="3"/>
  <c r="G427" i="3"/>
  <c r="A427" i="3"/>
  <c r="E427" i="3"/>
  <c r="J427" i="3"/>
  <c r="B427" i="3"/>
  <c r="I427" i="3"/>
  <c r="H427" i="3"/>
  <c r="D427" i="3"/>
  <c r="F427" i="3"/>
  <c r="C416" i="3"/>
  <c r="M460" i="3"/>
  <c r="G460" i="3"/>
  <c r="A460" i="3"/>
  <c r="E460" i="3"/>
  <c r="J460" i="3"/>
  <c r="B460" i="3"/>
  <c r="I460" i="3"/>
  <c r="H460" i="3"/>
  <c r="D460" i="3"/>
  <c r="F460" i="3"/>
  <c r="F512" i="3"/>
  <c r="I512" i="3"/>
  <c r="B512" i="3"/>
  <c r="G512" i="3"/>
  <c r="H512" i="3"/>
  <c r="E512" i="3"/>
  <c r="D512" i="3"/>
  <c r="A512" i="3"/>
  <c r="J512" i="3"/>
  <c r="M512" i="3"/>
  <c r="I393" i="3"/>
  <c r="M393" i="3"/>
  <c r="F393" i="3"/>
  <c r="D393" i="3"/>
  <c r="B393" i="3"/>
  <c r="A393" i="3"/>
  <c r="J393" i="3"/>
  <c r="H393" i="3"/>
  <c r="G393" i="3"/>
  <c r="E393" i="3"/>
  <c r="I515" i="3"/>
  <c r="H515" i="3"/>
  <c r="B515" i="3"/>
  <c r="F515" i="3"/>
  <c r="D515" i="3"/>
  <c r="J515" i="3"/>
  <c r="G515" i="3"/>
  <c r="E515" i="3"/>
  <c r="A515" i="3"/>
  <c r="M515" i="3"/>
  <c r="C514" i="3"/>
  <c r="C447" i="3"/>
  <c r="I491" i="3"/>
  <c r="M491" i="3"/>
  <c r="G491" i="3"/>
  <c r="A491" i="3"/>
  <c r="B491" i="3"/>
  <c r="H491" i="3"/>
  <c r="F491" i="3"/>
  <c r="J491" i="3"/>
  <c r="E491" i="3"/>
  <c r="D491" i="3"/>
  <c r="C525" i="3"/>
  <c r="C400" i="3"/>
  <c r="C357" i="3"/>
  <c r="C373" i="3"/>
  <c r="M446" i="3"/>
  <c r="G446" i="3"/>
  <c r="A446" i="3"/>
  <c r="J446" i="3"/>
  <c r="I446" i="3"/>
  <c r="B446" i="3"/>
  <c r="H446" i="3"/>
  <c r="F446" i="3"/>
  <c r="D446" i="3"/>
  <c r="E446" i="3"/>
  <c r="E397" i="3"/>
  <c r="D397" i="3"/>
  <c r="I397" i="3"/>
  <c r="B397" i="3"/>
  <c r="F397" i="3"/>
  <c r="M397" i="3"/>
  <c r="A397" i="3"/>
  <c r="H397" i="3"/>
  <c r="G397" i="3"/>
  <c r="J397" i="3"/>
  <c r="C534" i="3"/>
  <c r="E474" i="3"/>
  <c r="I474" i="3"/>
  <c r="J474" i="3"/>
  <c r="A474" i="3"/>
  <c r="H474" i="3"/>
  <c r="G474" i="3"/>
  <c r="M474" i="3"/>
  <c r="F474" i="3"/>
  <c r="B474" i="3"/>
  <c r="D474" i="3"/>
  <c r="C504" i="3"/>
  <c r="I260" i="3"/>
  <c r="E260" i="3"/>
  <c r="J260" i="3"/>
  <c r="B260" i="3"/>
  <c r="H260" i="3"/>
  <c r="G260" i="3"/>
  <c r="F260" i="3"/>
  <c r="M260" i="3"/>
  <c r="D260" i="3"/>
  <c r="A260" i="3"/>
  <c r="C521" i="3"/>
  <c r="C423" i="3"/>
  <c r="C301" i="3"/>
  <c r="C353" i="3"/>
  <c r="I352" i="3"/>
  <c r="E352" i="3"/>
  <c r="J352" i="3"/>
  <c r="B352" i="3"/>
  <c r="G352" i="3"/>
  <c r="F352" i="3"/>
  <c r="D352" i="3"/>
  <c r="H352" i="3"/>
  <c r="A352" i="3"/>
  <c r="M352" i="3"/>
  <c r="H414" i="3"/>
  <c r="B414" i="3"/>
  <c r="F414" i="3"/>
  <c r="J414" i="3"/>
  <c r="A414" i="3"/>
  <c r="I414" i="3"/>
  <c r="G414" i="3"/>
  <c r="D414" i="3"/>
  <c r="M414" i="3"/>
  <c r="E414" i="3"/>
  <c r="C75" i="3"/>
  <c r="F299" i="3"/>
  <c r="I299" i="3"/>
  <c r="B299" i="3"/>
  <c r="H299" i="3"/>
  <c r="A299" i="3"/>
  <c r="G299" i="3"/>
  <c r="D299" i="3"/>
  <c r="M299" i="3"/>
  <c r="J299" i="3"/>
  <c r="E299" i="3"/>
  <c r="C113" i="3"/>
  <c r="M158" i="3"/>
  <c r="G158" i="3"/>
  <c r="A158" i="3"/>
  <c r="H158" i="3"/>
  <c r="E158" i="3"/>
  <c r="I158" i="3"/>
  <c r="F158" i="3"/>
  <c r="D158" i="3"/>
  <c r="J158" i="3"/>
  <c r="B158" i="3"/>
  <c r="I46" i="3"/>
  <c r="G46" i="3"/>
  <c r="M46" i="3"/>
  <c r="F46" i="3"/>
  <c r="E46" i="3"/>
  <c r="B46" i="3"/>
  <c r="A46" i="3"/>
  <c r="J46" i="3"/>
  <c r="D46" i="3"/>
  <c r="H46" i="3"/>
  <c r="I210" i="3"/>
  <c r="H210" i="3"/>
  <c r="A210" i="3"/>
  <c r="G210" i="3"/>
  <c r="M210" i="3"/>
  <c r="F210" i="3"/>
  <c r="D210" i="3"/>
  <c r="B210" i="3"/>
  <c r="J210" i="3"/>
  <c r="E210" i="3"/>
  <c r="I168" i="3"/>
  <c r="G168" i="3"/>
  <c r="E168" i="3"/>
  <c r="H168" i="3"/>
  <c r="F168" i="3"/>
  <c r="D168" i="3"/>
  <c r="J168" i="3"/>
  <c r="B168" i="3"/>
  <c r="M168" i="3"/>
  <c r="A168" i="3"/>
  <c r="C435" i="3"/>
  <c r="H365" i="3"/>
  <c r="B365" i="3"/>
  <c r="I365" i="3"/>
  <c r="A365" i="3"/>
  <c r="G365" i="3"/>
  <c r="M365" i="3"/>
  <c r="F365" i="3"/>
  <c r="J365" i="3"/>
  <c r="E365" i="3"/>
  <c r="D365" i="3"/>
  <c r="M286" i="3"/>
  <c r="G286" i="3"/>
  <c r="A286" i="3"/>
  <c r="E286" i="3"/>
  <c r="D286" i="3"/>
  <c r="J286" i="3"/>
  <c r="I286" i="3"/>
  <c r="H286" i="3"/>
  <c r="F286" i="3"/>
  <c r="B286" i="3"/>
  <c r="E148" i="3"/>
  <c r="H148" i="3"/>
  <c r="A148" i="3"/>
  <c r="M148" i="3"/>
  <c r="F148" i="3"/>
  <c r="I148" i="3"/>
  <c r="G148" i="3"/>
  <c r="D148" i="3"/>
  <c r="J148" i="3"/>
  <c r="B148" i="3"/>
  <c r="M176" i="3"/>
  <c r="G176" i="3"/>
  <c r="A176" i="3"/>
  <c r="D176" i="3"/>
  <c r="I176" i="3"/>
  <c r="B176" i="3"/>
  <c r="J176" i="3"/>
  <c r="H176" i="3"/>
  <c r="F176" i="3"/>
  <c r="E176" i="3"/>
  <c r="C208" i="3"/>
  <c r="E50" i="3"/>
  <c r="M50" i="3"/>
  <c r="F50" i="3"/>
  <c r="D50" i="3"/>
  <c r="J50" i="3"/>
  <c r="H50" i="3"/>
  <c r="G50" i="3"/>
  <c r="B50" i="3"/>
  <c r="I50" i="3"/>
  <c r="A50" i="3"/>
  <c r="C96" i="3"/>
  <c r="F195" i="3"/>
  <c r="I195" i="3"/>
  <c r="B195" i="3"/>
  <c r="G195" i="3"/>
  <c r="M195" i="3"/>
  <c r="A195" i="3"/>
  <c r="J195" i="3"/>
  <c r="E195" i="3"/>
  <c r="D195" i="3"/>
  <c r="H195" i="3"/>
  <c r="J137" i="3"/>
  <c r="D137" i="3"/>
  <c r="H137" i="3"/>
  <c r="B137" i="3"/>
  <c r="M137" i="3"/>
  <c r="E137" i="3"/>
  <c r="A137" i="3"/>
  <c r="G137" i="3"/>
  <c r="F137" i="3"/>
  <c r="I137" i="3"/>
  <c r="I218" i="3"/>
  <c r="M218" i="3"/>
  <c r="G218" i="3"/>
  <c r="A218" i="3"/>
  <c r="J218" i="3"/>
  <c r="H218" i="3"/>
  <c r="F218" i="3"/>
  <c r="D218" i="3"/>
  <c r="B218" i="3"/>
  <c r="E218" i="3"/>
  <c r="C78" i="3"/>
  <c r="F79" i="3"/>
  <c r="J79" i="3"/>
  <c r="I79" i="3"/>
  <c r="B79" i="3"/>
  <c r="H79" i="3"/>
  <c r="A79" i="3"/>
  <c r="E79" i="3"/>
  <c r="D79" i="3"/>
  <c r="M79" i="3"/>
  <c r="G79" i="3"/>
  <c r="E332" i="3"/>
  <c r="M332" i="3"/>
  <c r="F332" i="3"/>
  <c r="J332" i="3"/>
  <c r="H332" i="3"/>
  <c r="G332" i="3"/>
  <c r="D332" i="3"/>
  <c r="I332" i="3"/>
  <c r="B332" i="3"/>
  <c r="A332" i="3"/>
  <c r="C141" i="3"/>
  <c r="J167" i="3"/>
  <c r="D167" i="3"/>
  <c r="M167" i="3"/>
  <c r="F167" i="3"/>
  <c r="I167" i="3"/>
  <c r="H167" i="3"/>
  <c r="G167" i="3"/>
  <c r="B167" i="3"/>
  <c r="A167" i="3"/>
  <c r="E167" i="3"/>
  <c r="C122" i="3"/>
  <c r="C139" i="3"/>
  <c r="C461" i="3"/>
  <c r="C406" i="3"/>
  <c r="E246" i="3"/>
  <c r="G246" i="3"/>
  <c r="D246" i="3"/>
  <c r="H246" i="3"/>
  <c r="F246" i="3"/>
  <c r="A246" i="3"/>
  <c r="M246" i="3"/>
  <c r="I246" i="3"/>
  <c r="B246" i="3"/>
  <c r="J246" i="3"/>
  <c r="C320" i="3"/>
  <c r="C177" i="3"/>
  <c r="C192" i="3"/>
  <c r="C235" i="3"/>
  <c r="C199" i="3"/>
  <c r="C67" i="3"/>
  <c r="C111" i="3"/>
  <c r="C238" i="3"/>
  <c r="C160" i="3"/>
  <c r="M21" i="3"/>
  <c r="G21" i="3"/>
  <c r="A21" i="3"/>
  <c r="E21" i="3"/>
  <c r="F21" i="3"/>
  <c r="D21" i="3"/>
  <c r="I21" i="3"/>
  <c r="H21" i="3"/>
  <c r="B21" i="3"/>
  <c r="J21" i="3"/>
  <c r="I118" i="3"/>
  <c r="G118" i="3"/>
  <c r="M118" i="3"/>
  <c r="F118" i="3"/>
  <c r="E118" i="3"/>
  <c r="B118" i="3"/>
  <c r="A118" i="3"/>
  <c r="H118" i="3"/>
  <c r="D118" i="3"/>
  <c r="J118" i="3"/>
  <c r="C218" i="3"/>
  <c r="C25" i="3"/>
  <c r="M452" i="3"/>
  <c r="G452" i="3"/>
  <c r="A452" i="3"/>
  <c r="D452" i="3"/>
  <c r="J452" i="3"/>
  <c r="I452" i="3"/>
  <c r="B452" i="3"/>
  <c r="F452" i="3"/>
  <c r="E452" i="3"/>
  <c r="H452" i="3"/>
  <c r="F428" i="3"/>
  <c r="J428" i="3"/>
  <c r="D428" i="3"/>
  <c r="H428" i="3"/>
  <c r="G428" i="3"/>
  <c r="E428" i="3"/>
  <c r="B428" i="3"/>
  <c r="A428" i="3"/>
  <c r="M428" i="3"/>
  <c r="I428" i="3"/>
  <c r="J277" i="3"/>
  <c r="D277" i="3"/>
  <c r="G277" i="3"/>
  <c r="E277" i="3"/>
  <c r="M277" i="3"/>
  <c r="B277" i="3"/>
  <c r="A277" i="3"/>
  <c r="H277" i="3"/>
  <c r="F277" i="3"/>
  <c r="I277" i="3"/>
  <c r="C39" i="3"/>
  <c r="C368" i="3"/>
  <c r="C518" i="3"/>
  <c r="C398" i="3"/>
  <c r="E306" i="3"/>
  <c r="D306" i="3"/>
  <c r="J306" i="3"/>
  <c r="I306" i="3"/>
  <c r="B306" i="3"/>
  <c r="M306" i="3"/>
  <c r="H306" i="3"/>
  <c r="G306" i="3"/>
  <c r="A306" i="3"/>
  <c r="F306" i="3"/>
  <c r="C405" i="3"/>
  <c r="C237" i="3"/>
  <c r="C254" i="3"/>
  <c r="H317" i="3"/>
  <c r="B317" i="3"/>
  <c r="F317" i="3"/>
  <c r="J317" i="3"/>
  <c r="A317" i="3"/>
  <c r="I317" i="3"/>
  <c r="G317" i="3"/>
  <c r="M317" i="3"/>
  <c r="E317" i="3"/>
  <c r="D317" i="3"/>
  <c r="C252" i="3"/>
  <c r="E98" i="3"/>
  <c r="H98" i="3"/>
  <c r="A98" i="3"/>
  <c r="G98" i="3"/>
  <c r="M98" i="3"/>
  <c r="F98" i="3"/>
  <c r="B98" i="3"/>
  <c r="I98" i="3"/>
  <c r="D98" i="3"/>
  <c r="J98" i="3"/>
  <c r="H205" i="3"/>
  <c r="B205" i="3"/>
  <c r="I205" i="3"/>
  <c r="A205" i="3"/>
  <c r="G205" i="3"/>
  <c r="M205" i="3"/>
  <c r="F205" i="3"/>
  <c r="J205" i="3"/>
  <c r="E205" i="3"/>
  <c r="D205" i="3"/>
  <c r="E23" i="3"/>
  <c r="I23" i="3"/>
  <c r="G23" i="3"/>
  <c r="F23" i="3"/>
  <c r="M23" i="3"/>
  <c r="D23" i="3"/>
  <c r="A23" i="3"/>
  <c r="H23" i="3"/>
  <c r="B23" i="3"/>
  <c r="J23" i="3"/>
  <c r="I106" i="3"/>
  <c r="E106" i="3"/>
  <c r="D106" i="3"/>
  <c r="J106" i="3"/>
  <c r="B106" i="3"/>
  <c r="M106" i="3"/>
  <c r="H106" i="3"/>
  <c r="G106" i="3"/>
  <c r="F106" i="3"/>
  <c r="A106" i="3"/>
  <c r="F189" i="3"/>
  <c r="H189" i="3"/>
  <c r="A189" i="3"/>
  <c r="M189" i="3"/>
  <c r="E189" i="3"/>
  <c r="D189" i="3"/>
  <c r="B189" i="3"/>
  <c r="J189" i="3"/>
  <c r="G189" i="3"/>
  <c r="I189" i="3"/>
  <c r="F61" i="3"/>
  <c r="G61" i="3"/>
  <c r="M61" i="3"/>
  <c r="E61" i="3"/>
  <c r="D61" i="3"/>
  <c r="I61" i="3"/>
  <c r="H61" i="3"/>
  <c r="A61" i="3"/>
  <c r="J61" i="3"/>
  <c r="B61" i="3"/>
  <c r="I52" i="3"/>
  <c r="H52" i="3"/>
  <c r="A52" i="3"/>
  <c r="G52" i="3"/>
  <c r="M52" i="3"/>
  <c r="F52" i="3"/>
  <c r="J52" i="3"/>
  <c r="E52" i="3"/>
  <c r="B52" i="3"/>
  <c r="D52" i="3"/>
  <c r="I174" i="3"/>
  <c r="H174" i="3"/>
  <c r="A174" i="3"/>
  <c r="M174" i="3"/>
  <c r="F174" i="3"/>
  <c r="E174" i="3"/>
  <c r="D174" i="3"/>
  <c r="B174" i="3"/>
  <c r="J174" i="3"/>
  <c r="G174" i="3"/>
  <c r="C152" i="3"/>
  <c r="M72" i="3"/>
  <c r="G72" i="3"/>
  <c r="A72" i="3"/>
  <c r="H72" i="3"/>
  <c r="F72" i="3"/>
  <c r="E72" i="3"/>
  <c r="J72" i="3"/>
  <c r="I72" i="3"/>
  <c r="D72" i="3"/>
  <c r="B72" i="3"/>
  <c r="C90" i="3"/>
  <c r="E234" i="3"/>
  <c r="I234" i="3"/>
  <c r="H234" i="3"/>
  <c r="G234" i="3"/>
  <c r="F234" i="3"/>
  <c r="J234" i="3"/>
  <c r="D234" i="3"/>
  <c r="M234" i="3"/>
  <c r="B234" i="3"/>
  <c r="A234" i="3"/>
  <c r="C258" i="3"/>
  <c r="C126" i="3"/>
  <c r="C56" i="3"/>
  <c r="H382" i="3"/>
  <c r="B382" i="3"/>
  <c r="E382" i="3"/>
  <c r="J382" i="3"/>
  <c r="F382" i="3"/>
  <c r="D382" i="3"/>
  <c r="M382" i="3"/>
  <c r="A382" i="3"/>
  <c r="I382" i="3"/>
  <c r="G382" i="3"/>
  <c r="I162" i="3"/>
  <c r="M162" i="3"/>
  <c r="F162" i="3"/>
  <c r="D162" i="3"/>
  <c r="J162" i="3"/>
  <c r="H162" i="3"/>
  <c r="G162" i="3"/>
  <c r="B162" i="3"/>
  <c r="A162" i="3"/>
  <c r="E162" i="3"/>
  <c r="J117" i="3"/>
  <c r="D117" i="3"/>
  <c r="M117" i="3"/>
  <c r="F117" i="3"/>
  <c r="E117" i="3"/>
  <c r="A117" i="3"/>
  <c r="I117" i="3"/>
  <c r="H117" i="3"/>
  <c r="B117" i="3"/>
  <c r="G117" i="3"/>
  <c r="H243" i="3"/>
  <c r="B243" i="3"/>
  <c r="F243" i="3"/>
  <c r="I243" i="3"/>
  <c r="G243" i="3"/>
  <c r="E243" i="3"/>
  <c r="A243" i="3"/>
  <c r="M243" i="3"/>
  <c r="J243" i="3"/>
  <c r="D243" i="3"/>
  <c r="M421" i="3"/>
  <c r="G421" i="3"/>
  <c r="A421" i="3"/>
  <c r="E421" i="3"/>
  <c r="I421" i="3"/>
  <c r="H421" i="3"/>
  <c r="F421" i="3"/>
  <c r="B421" i="3"/>
  <c r="J421" i="3"/>
  <c r="D421" i="3"/>
  <c r="F313" i="3"/>
  <c r="J313" i="3"/>
  <c r="D313" i="3"/>
  <c r="H313" i="3"/>
  <c r="G313" i="3"/>
  <c r="E313" i="3"/>
  <c r="I313" i="3"/>
  <c r="M313" i="3"/>
  <c r="B313" i="3"/>
  <c r="A313" i="3"/>
  <c r="H127" i="3"/>
  <c r="B127" i="3"/>
  <c r="F127" i="3"/>
  <c r="I127" i="3"/>
  <c r="G127" i="3"/>
  <c r="E127" i="3"/>
  <c r="J127" i="3"/>
  <c r="D127" i="3"/>
  <c r="M127" i="3"/>
  <c r="A127" i="3"/>
  <c r="I328" i="3"/>
  <c r="G328" i="3"/>
  <c r="E328" i="3"/>
  <c r="F328" i="3"/>
  <c r="D328" i="3"/>
  <c r="M328" i="3"/>
  <c r="B328" i="3"/>
  <c r="J328" i="3"/>
  <c r="A328" i="3"/>
  <c r="H328" i="3"/>
  <c r="J520" i="3"/>
  <c r="D520" i="3"/>
  <c r="I520" i="3"/>
  <c r="M520" i="3"/>
  <c r="E520" i="3"/>
  <c r="A520" i="3"/>
  <c r="H520" i="3"/>
  <c r="F520" i="3"/>
  <c r="B520" i="3"/>
  <c r="G520" i="3"/>
  <c r="C520" i="3"/>
  <c r="H522" i="3"/>
  <c r="B522" i="3"/>
  <c r="M522" i="3"/>
  <c r="G522" i="3"/>
  <c r="A522" i="3"/>
  <c r="E522" i="3"/>
  <c r="J522" i="3"/>
  <c r="I522" i="3"/>
  <c r="F522" i="3"/>
  <c r="D522" i="3"/>
  <c r="F473" i="3"/>
  <c r="J473" i="3"/>
  <c r="D473" i="3"/>
  <c r="E473" i="3"/>
  <c r="M473" i="3"/>
  <c r="B473" i="3"/>
  <c r="H473" i="3"/>
  <c r="G473" i="3"/>
  <c r="A473" i="3"/>
  <c r="I473" i="3"/>
  <c r="H510" i="3"/>
  <c r="B510" i="3"/>
  <c r="M510" i="3"/>
  <c r="F510" i="3"/>
  <c r="D510" i="3"/>
  <c r="A510" i="3"/>
  <c r="J510" i="3"/>
  <c r="I510" i="3"/>
  <c r="G510" i="3"/>
  <c r="E510" i="3"/>
  <c r="J449" i="3"/>
  <c r="D449" i="3"/>
  <c r="G449" i="3"/>
  <c r="M449" i="3"/>
  <c r="F449" i="3"/>
  <c r="E449" i="3"/>
  <c r="B449" i="3"/>
  <c r="A449" i="3"/>
  <c r="I449" i="3"/>
  <c r="H449" i="3"/>
  <c r="M484" i="3"/>
  <c r="G484" i="3"/>
  <c r="A484" i="3"/>
  <c r="E484" i="3"/>
  <c r="J484" i="3"/>
  <c r="D484" i="3"/>
  <c r="I484" i="3"/>
  <c r="H484" i="3"/>
  <c r="B484" i="3"/>
  <c r="F484" i="3"/>
  <c r="M78" i="3"/>
  <c r="G78" i="3"/>
  <c r="A78" i="3"/>
  <c r="I78" i="3"/>
  <c r="B78" i="3"/>
  <c r="H78" i="3"/>
  <c r="F78" i="3"/>
  <c r="D78" i="3"/>
  <c r="J78" i="3"/>
  <c r="E78" i="3"/>
  <c r="M366" i="3"/>
  <c r="G366" i="3"/>
  <c r="A366" i="3"/>
  <c r="J366" i="3"/>
  <c r="I366" i="3"/>
  <c r="B366" i="3"/>
  <c r="H366" i="3"/>
  <c r="F366" i="3"/>
  <c r="E366" i="3"/>
  <c r="D366" i="3"/>
  <c r="I322" i="3"/>
  <c r="M322" i="3"/>
  <c r="F322" i="3"/>
  <c r="D322" i="3"/>
  <c r="H322" i="3"/>
  <c r="G322" i="3"/>
  <c r="E322" i="3"/>
  <c r="J322" i="3"/>
  <c r="B322" i="3"/>
  <c r="A322" i="3"/>
  <c r="I364" i="3"/>
  <c r="G364" i="3"/>
  <c r="M364" i="3"/>
  <c r="F364" i="3"/>
  <c r="E364" i="3"/>
  <c r="J364" i="3"/>
  <c r="H364" i="3"/>
  <c r="D364" i="3"/>
  <c r="B364" i="3"/>
  <c r="A364" i="3"/>
  <c r="E29" i="3"/>
  <c r="I29" i="3"/>
  <c r="J29" i="3"/>
  <c r="A29" i="3"/>
  <c r="H29" i="3"/>
  <c r="G29" i="3"/>
  <c r="M29" i="3"/>
  <c r="F29" i="3"/>
  <c r="B29" i="3"/>
  <c r="D29" i="3"/>
  <c r="I254" i="3"/>
  <c r="D254" i="3"/>
  <c r="H254" i="3"/>
  <c r="A254" i="3"/>
  <c r="J254" i="3"/>
  <c r="G254" i="3"/>
  <c r="E254" i="3"/>
  <c r="B254" i="3"/>
  <c r="F254" i="3"/>
  <c r="M254" i="3"/>
  <c r="I308" i="3"/>
  <c r="G308" i="3"/>
  <c r="M308" i="3"/>
  <c r="F308" i="3"/>
  <c r="E308" i="3"/>
  <c r="B308" i="3"/>
  <c r="A308" i="3"/>
  <c r="J308" i="3"/>
  <c r="H308" i="3"/>
  <c r="D308" i="3"/>
  <c r="C29" i="3"/>
  <c r="J437" i="3"/>
  <c r="D437" i="3"/>
  <c r="E437" i="3"/>
  <c r="I437" i="3"/>
  <c r="B437" i="3"/>
  <c r="G437" i="3"/>
  <c r="F437" i="3"/>
  <c r="M437" i="3"/>
  <c r="H437" i="3"/>
  <c r="A437" i="3"/>
  <c r="I533" i="3"/>
  <c r="H533" i="3"/>
  <c r="B533" i="3"/>
  <c r="F533" i="3"/>
  <c r="D533" i="3"/>
  <c r="A533" i="3"/>
  <c r="M533" i="3"/>
  <c r="J533" i="3"/>
  <c r="G533" i="3"/>
  <c r="E533" i="3"/>
  <c r="E264" i="3"/>
  <c r="J264" i="3"/>
  <c r="H264" i="3"/>
  <c r="A264" i="3"/>
  <c r="I264" i="3"/>
  <c r="G264" i="3"/>
  <c r="D264" i="3"/>
  <c r="B264" i="3"/>
  <c r="M264" i="3"/>
  <c r="F264" i="3"/>
  <c r="H432" i="3"/>
  <c r="B432" i="3"/>
  <c r="F432" i="3"/>
  <c r="J432" i="3"/>
  <c r="A432" i="3"/>
  <c r="I432" i="3"/>
  <c r="G432" i="3"/>
  <c r="D432" i="3"/>
  <c r="E432" i="3"/>
  <c r="M432" i="3"/>
  <c r="J301" i="3"/>
  <c r="D301" i="3"/>
  <c r="E301" i="3"/>
  <c r="I301" i="3"/>
  <c r="B301" i="3"/>
  <c r="G301" i="3"/>
  <c r="F301" i="3"/>
  <c r="A301" i="3"/>
  <c r="H301" i="3"/>
  <c r="M301" i="3"/>
  <c r="E160" i="3"/>
  <c r="J160" i="3"/>
  <c r="H160" i="3"/>
  <c r="A160" i="3"/>
  <c r="D160" i="3"/>
  <c r="M160" i="3"/>
  <c r="B160" i="3"/>
  <c r="G160" i="3"/>
  <c r="F160" i="3"/>
  <c r="I160" i="3"/>
  <c r="I224" i="3"/>
  <c r="M224" i="3"/>
  <c r="G224" i="3"/>
  <c r="A224" i="3"/>
  <c r="D224" i="3"/>
  <c r="B224" i="3"/>
  <c r="J224" i="3"/>
  <c r="H224" i="3"/>
  <c r="E224" i="3"/>
  <c r="F224" i="3"/>
  <c r="H193" i="3"/>
  <c r="B193" i="3"/>
  <c r="M193" i="3"/>
  <c r="F193" i="3"/>
  <c r="D193" i="3"/>
  <c r="G193" i="3"/>
  <c r="E193" i="3"/>
  <c r="J193" i="3"/>
  <c r="I193" i="3"/>
  <c r="A193" i="3"/>
  <c r="E56" i="3"/>
  <c r="G56" i="3"/>
  <c r="M56" i="3"/>
  <c r="F56" i="3"/>
  <c r="D56" i="3"/>
  <c r="B56" i="3"/>
  <c r="A56" i="3"/>
  <c r="J56" i="3"/>
  <c r="H56" i="3"/>
  <c r="I56" i="3"/>
  <c r="M206" i="3"/>
  <c r="G206" i="3"/>
  <c r="A206" i="3"/>
  <c r="J206" i="3"/>
  <c r="I206" i="3"/>
  <c r="B206" i="3"/>
  <c r="H206" i="3"/>
  <c r="F206" i="3"/>
  <c r="D206" i="3"/>
  <c r="E206" i="3"/>
  <c r="F55" i="3"/>
  <c r="M55" i="3"/>
  <c r="E55" i="3"/>
  <c r="D55" i="3"/>
  <c r="J55" i="3"/>
  <c r="A55" i="3"/>
  <c r="I55" i="3"/>
  <c r="H55" i="3"/>
  <c r="B55" i="3"/>
  <c r="G55" i="3"/>
  <c r="C279" i="3"/>
  <c r="F129" i="3"/>
  <c r="J129" i="3"/>
  <c r="D129" i="3"/>
  <c r="I129" i="3"/>
  <c r="A129" i="3"/>
  <c r="H129" i="3"/>
  <c r="G129" i="3"/>
  <c r="B129" i="3"/>
  <c r="M129" i="3"/>
  <c r="E129" i="3"/>
  <c r="E202" i="3"/>
  <c r="D202" i="3"/>
  <c r="J202" i="3"/>
  <c r="I202" i="3"/>
  <c r="B202" i="3"/>
  <c r="G202" i="3"/>
  <c r="F202" i="3"/>
  <c r="A202" i="3"/>
  <c r="M202" i="3"/>
  <c r="H202" i="3"/>
  <c r="M324" i="3"/>
  <c r="G324" i="3"/>
  <c r="A324" i="3"/>
  <c r="I324" i="3"/>
  <c r="B324" i="3"/>
  <c r="F324" i="3"/>
  <c r="D324" i="3"/>
  <c r="H324" i="3"/>
  <c r="E324" i="3"/>
  <c r="J324" i="3"/>
  <c r="C344" i="3"/>
  <c r="C275" i="3"/>
  <c r="J424" i="3"/>
  <c r="D424" i="3"/>
  <c r="H424" i="3"/>
  <c r="B424" i="3"/>
  <c r="F424" i="3"/>
  <c r="M424" i="3"/>
  <c r="E424" i="3"/>
  <c r="G424" i="3"/>
  <c r="A424" i="3"/>
  <c r="I424" i="3"/>
  <c r="C370" i="3"/>
  <c r="M383" i="3"/>
  <c r="G383" i="3"/>
  <c r="A383" i="3"/>
  <c r="F383" i="3"/>
  <c r="D383" i="3"/>
  <c r="B383" i="3"/>
  <c r="J383" i="3"/>
  <c r="I383" i="3"/>
  <c r="H383" i="3"/>
  <c r="E383" i="3"/>
  <c r="J463" i="3"/>
  <c r="D463" i="3"/>
  <c r="H463" i="3"/>
  <c r="B463" i="3"/>
  <c r="I463" i="3"/>
  <c r="G463" i="3"/>
  <c r="F463" i="3"/>
  <c r="E463" i="3"/>
  <c r="A463" i="3"/>
  <c r="M463" i="3"/>
  <c r="E403" i="3"/>
  <c r="M403" i="3"/>
  <c r="F403" i="3"/>
  <c r="D403" i="3"/>
  <c r="J403" i="3"/>
  <c r="H403" i="3"/>
  <c r="G403" i="3"/>
  <c r="B403" i="3"/>
  <c r="I403" i="3"/>
  <c r="A403" i="3"/>
  <c r="E436" i="3"/>
  <c r="J436" i="3"/>
  <c r="H436" i="3"/>
  <c r="A436" i="3"/>
  <c r="I436" i="3"/>
  <c r="G436" i="3"/>
  <c r="F436" i="3"/>
  <c r="M436" i="3"/>
  <c r="D436" i="3"/>
  <c r="B436" i="3"/>
  <c r="E480" i="3"/>
  <c r="I480" i="3"/>
  <c r="H480" i="3"/>
  <c r="B480" i="3"/>
  <c r="D480" i="3"/>
  <c r="M480" i="3"/>
  <c r="A480" i="3"/>
  <c r="G480" i="3"/>
  <c r="F480" i="3"/>
  <c r="J480" i="3"/>
  <c r="J253" i="3"/>
  <c r="D253" i="3"/>
  <c r="I253" i="3"/>
  <c r="B253" i="3"/>
  <c r="G253" i="3"/>
  <c r="M253" i="3"/>
  <c r="A253" i="3"/>
  <c r="H253" i="3"/>
  <c r="E253" i="3"/>
  <c r="F253" i="3"/>
  <c r="M268" i="3"/>
  <c r="G268" i="3"/>
  <c r="A268" i="3"/>
  <c r="I268" i="3"/>
  <c r="B268" i="3"/>
  <c r="F268" i="3"/>
  <c r="J268" i="3"/>
  <c r="H268" i="3"/>
  <c r="E268" i="3"/>
  <c r="D268" i="3"/>
  <c r="J191" i="3"/>
  <c r="D191" i="3"/>
  <c r="H191" i="3"/>
  <c r="A191" i="3"/>
  <c r="I191" i="3"/>
  <c r="G191" i="3"/>
  <c r="M191" i="3"/>
  <c r="F191" i="3"/>
  <c r="E191" i="3"/>
  <c r="B191" i="3"/>
  <c r="F375" i="3"/>
  <c r="J375" i="3"/>
  <c r="D375" i="3"/>
  <c r="I375" i="3"/>
  <c r="A375" i="3"/>
  <c r="H375" i="3"/>
  <c r="G375" i="3"/>
  <c r="B375" i="3"/>
  <c r="E375" i="3"/>
  <c r="M375" i="3"/>
  <c r="C243" i="3"/>
  <c r="J475" i="3"/>
  <c r="D475" i="3"/>
  <c r="H475" i="3"/>
  <c r="B475" i="3"/>
  <c r="M475" i="3"/>
  <c r="G475" i="3"/>
  <c r="A475" i="3"/>
  <c r="I475" i="3"/>
  <c r="F475" i="3"/>
  <c r="E475" i="3"/>
  <c r="I450" i="3"/>
  <c r="H450" i="3"/>
  <c r="A450" i="3"/>
  <c r="G450" i="3"/>
  <c r="M450" i="3"/>
  <c r="F450" i="3"/>
  <c r="D450" i="3"/>
  <c r="B450" i="3"/>
  <c r="J450" i="3"/>
  <c r="E450" i="3"/>
  <c r="E312" i="3"/>
  <c r="M312" i="3"/>
  <c r="F312" i="3"/>
  <c r="D312" i="3"/>
  <c r="J312" i="3"/>
  <c r="H312" i="3"/>
  <c r="G312" i="3"/>
  <c r="B312" i="3"/>
  <c r="I312" i="3"/>
  <c r="A312" i="3"/>
  <c r="C407" i="3"/>
  <c r="I431" i="3"/>
  <c r="M431" i="3"/>
  <c r="G431" i="3"/>
  <c r="A431" i="3"/>
  <c r="E431" i="3"/>
  <c r="D431" i="3"/>
  <c r="B431" i="3"/>
  <c r="J431" i="3"/>
  <c r="H431" i="3"/>
  <c r="F431" i="3"/>
  <c r="E429" i="3"/>
  <c r="I429" i="3"/>
  <c r="M429" i="3"/>
  <c r="D429" i="3"/>
  <c r="B429" i="3"/>
  <c r="J429" i="3"/>
  <c r="A429" i="3"/>
  <c r="G429" i="3"/>
  <c r="F429" i="3"/>
  <c r="H429" i="3"/>
  <c r="C477" i="3"/>
  <c r="J538" i="3"/>
  <c r="D538" i="3"/>
  <c r="I538" i="3"/>
  <c r="H538" i="3"/>
  <c r="B538" i="3"/>
  <c r="E538" i="3"/>
  <c r="M538" i="3"/>
  <c r="G538" i="3"/>
  <c r="F538" i="3"/>
  <c r="A538" i="3"/>
  <c r="M244" i="3"/>
  <c r="G244" i="3"/>
  <c r="A244" i="3"/>
  <c r="E244" i="3"/>
  <c r="D244" i="3"/>
  <c r="J244" i="3"/>
  <c r="B244" i="3"/>
  <c r="H244" i="3"/>
  <c r="F244" i="3"/>
  <c r="I244" i="3"/>
  <c r="F494" i="3"/>
  <c r="J494" i="3"/>
  <c r="D494" i="3"/>
  <c r="H494" i="3"/>
  <c r="E494" i="3"/>
  <c r="M494" i="3"/>
  <c r="G494" i="3"/>
  <c r="B494" i="3"/>
  <c r="A494" i="3"/>
  <c r="I494" i="3"/>
  <c r="F355" i="3"/>
  <c r="I355" i="3"/>
  <c r="B355" i="3"/>
  <c r="G355" i="3"/>
  <c r="A355" i="3"/>
  <c r="J355" i="3"/>
  <c r="H355" i="3"/>
  <c r="M355" i="3"/>
  <c r="E355" i="3"/>
  <c r="D355" i="3"/>
  <c r="J412" i="3"/>
  <c r="D412" i="3"/>
  <c r="H412" i="3"/>
  <c r="B412" i="3"/>
  <c r="I412" i="3"/>
  <c r="G412" i="3"/>
  <c r="F412" i="3"/>
  <c r="E412" i="3"/>
  <c r="M412" i="3"/>
  <c r="A412" i="3"/>
  <c r="H465" i="3"/>
  <c r="B465" i="3"/>
  <c r="F465" i="3"/>
  <c r="J465" i="3"/>
  <c r="A465" i="3"/>
  <c r="I465" i="3"/>
  <c r="G465" i="3"/>
  <c r="D465" i="3"/>
  <c r="E465" i="3"/>
  <c r="M465" i="3"/>
  <c r="C433" i="3"/>
  <c r="F402" i="3"/>
  <c r="D402" i="3"/>
  <c r="J402" i="3"/>
  <c r="I402" i="3"/>
  <c r="B402" i="3"/>
  <c r="G402" i="3"/>
  <c r="E402" i="3"/>
  <c r="A402" i="3"/>
  <c r="H402" i="3"/>
  <c r="M402" i="3"/>
  <c r="J443" i="3"/>
  <c r="D443" i="3"/>
  <c r="M443" i="3"/>
  <c r="F443" i="3"/>
  <c r="E443" i="3"/>
  <c r="H443" i="3"/>
  <c r="G443" i="3"/>
  <c r="B443" i="3"/>
  <c r="I443" i="3"/>
  <c r="A443" i="3"/>
  <c r="C437" i="3"/>
  <c r="M478" i="3"/>
  <c r="G478" i="3"/>
  <c r="A478" i="3"/>
  <c r="E478" i="3"/>
  <c r="J478" i="3"/>
  <c r="D478" i="3"/>
  <c r="F478" i="3"/>
  <c r="B478" i="3"/>
  <c r="I478" i="3"/>
  <c r="H478" i="3"/>
  <c r="J487" i="3"/>
  <c r="D487" i="3"/>
  <c r="H487" i="3"/>
  <c r="B487" i="3"/>
  <c r="G487" i="3"/>
  <c r="A487" i="3"/>
  <c r="I487" i="3"/>
  <c r="F487" i="3"/>
  <c r="E487" i="3"/>
  <c r="M487" i="3"/>
  <c r="F530" i="3"/>
  <c r="E530" i="3"/>
  <c r="I530" i="3"/>
  <c r="A530" i="3"/>
  <c r="G530" i="3"/>
  <c r="D530" i="3"/>
  <c r="B530" i="3"/>
  <c r="M530" i="3"/>
  <c r="J530" i="3"/>
  <c r="H530" i="3"/>
  <c r="I413" i="3"/>
  <c r="M413" i="3"/>
  <c r="G413" i="3"/>
  <c r="A413" i="3"/>
  <c r="E413" i="3"/>
  <c r="D413" i="3"/>
  <c r="B413" i="3"/>
  <c r="J413" i="3"/>
  <c r="F413" i="3"/>
  <c r="H413" i="3"/>
  <c r="C432" i="3"/>
  <c r="E417" i="3"/>
  <c r="I417" i="3"/>
  <c r="G417" i="3"/>
  <c r="F417" i="3"/>
  <c r="M417" i="3"/>
  <c r="D417" i="3"/>
  <c r="A417" i="3"/>
  <c r="J417" i="3"/>
  <c r="B417" i="3"/>
  <c r="H417" i="3"/>
  <c r="C465" i="3"/>
  <c r="C526" i="3"/>
  <c r="C475" i="3"/>
  <c r="J380" i="3"/>
  <c r="D380" i="3"/>
  <c r="I380" i="3"/>
  <c r="B380" i="3"/>
  <c r="G380" i="3"/>
  <c r="H380" i="3"/>
  <c r="F380" i="3"/>
  <c r="M380" i="3"/>
  <c r="E380" i="3"/>
  <c r="A380" i="3"/>
  <c r="C394" i="3"/>
  <c r="C369" i="3"/>
  <c r="M415" i="3"/>
  <c r="G415" i="3"/>
  <c r="A415" i="3"/>
  <c r="E415" i="3"/>
  <c r="F415" i="3"/>
  <c r="D415" i="3"/>
  <c r="I415" i="3"/>
  <c r="H415" i="3"/>
  <c r="B415" i="3"/>
  <c r="J415" i="3"/>
  <c r="M517" i="3"/>
  <c r="G517" i="3"/>
  <c r="A517" i="3"/>
  <c r="F517" i="3"/>
  <c r="H517" i="3"/>
  <c r="D517" i="3"/>
  <c r="J517" i="3"/>
  <c r="I517" i="3"/>
  <c r="E517" i="3"/>
  <c r="B517" i="3"/>
  <c r="E448" i="3"/>
  <c r="M448" i="3"/>
  <c r="F448" i="3"/>
  <c r="D448" i="3"/>
  <c r="J448" i="3"/>
  <c r="A448" i="3"/>
  <c r="I448" i="3"/>
  <c r="G448" i="3"/>
  <c r="B448" i="3"/>
  <c r="H448" i="3"/>
  <c r="C493" i="3"/>
  <c r="H113" i="3"/>
  <c r="B113" i="3"/>
  <c r="G113" i="3"/>
  <c r="M113" i="3"/>
  <c r="F113" i="3"/>
  <c r="E113" i="3"/>
  <c r="J113" i="3"/>
  <c r="I113" i="3"/>
  <c r="D113" i="3"/>
  <c r="A113" i="3"/>
  <c r="I399" i="3"/>
  <c r="G399" i="3"/>
  <c r="M399" i="3"/>
  <c r="F399" i="3"/>
  <c r="E399" i="3"/>
  <c r="B399" i="3"/>
  <c r="A399" i="3"/>
  <c r="H399" i="3"/>
  <c r="D399" i="3"/>
  <c r="J399" i="3"/>
  <c r="J259" i="3"/>
  <c r="D259" i="3"/>
  <c r="H259" i="3"/>
  <c r="A259" i="3"/>
  <c r="I259" i="3"/>
  <c r="G259" i="3"/>
  <c r="E259" i="3"/>
  <c r="B259" i="3"/>
  <c r="M259" i="3"/>
  <c r="F259" i="3"/>
  <c r="M304" i="3"/>
  <c r="G304" i="3"/>
  <c r="A304" i="3"/>
  <c r="I304" i="3"/>
  <c r="B304" i="3"/>
  <c r="H304" i="3"/>
  <c r="F304" i="3"/>
  <c r="J304" i="3"/>
  <c r="E304" i="3"/>
  <c r="D304" i="3"/>
  <c r="C129" i="3"/>
  <c r="M318" i="3"/>
  <c r="G318" i="3"/>
  <c r="H318" i="3"/>
  <c r="A318" i="3"/>
  <c r="E318" i="3"/>
  <c r="F318" i="3"/>
  <c r="D318" i="3"/>
  <c r="J318" i="3"/>
  <c r="I318" i="3"/>
  <c r="B318" i="3"/>
  <c r="M128" i="3"/>
  <c r="G128" i="3"/>
  <c r="A128" i="3"/>
  <c r="E128" i="3"/>
  <c r="D128" i="3"/>
  <c r="J128" i="3"/>
  <c r="B128" i="3"/>
  <c r="I128" i="3"/>
  <c r="F128" i="3"/>
  <c r="H128" i="3"/>
  <c r="H59" i="3"/>
  <c r="B59" i="3"/>
  <c r="D59" i="3"/>
  <c r="J59" i="3"/>
  <c r="I59" i="3"/>
  <c r="A59" i="3"/>
  <c r="F59" i="3"/>
  <c r="E59" i="3"/>
  <c r="M59" i="3"/>
  <c r="G59" i="3"/>
  <c r="F239" i="3"/>
  <c r="J239" i="3"/>
  <c r="D239" i="3"/>
  <c r="G239" i="3"/>
  <c r="E239" i="3"/>
  <c r="M239" i="3"/>
  <c r="A239" i="3"/>
  <c r="I239" i="3"/>
  <c r="H239" i="3"/>
  <c r="B239" i="3"/>
  <c r="C92" i="3"/>
  <c r="M114" i="3"/>
  <c r="G114" i="3"/>
  <c r="A114" i="3"/>
  <c r="I114" i="3"/>
  <c r="B114" i="3"/>
  <c r="H114" i="3"/>
  <c r="F114" i="3"/>
  <c r="J114" i="3"/>
  <c r="E114" i="3"/>
  <c r="D114" i="3"/>
  <c r="J24" i="3"/>
  <c r="D24" i="3"/>
  <c r="H24" i="3"/>
  <c r="B24" i="3"/>
  <c r="A24" i="3"/>
  <c r="I24" i="3"/>
  <c r="F24" i="3"/>
  <c r="E24" i="3"/>
  <c r="M24" i="3"/>
  <c r="G24" i="3"/>
  <c r="C289" i="3"/>
  <c r="J57" i="3"/>
  <c r="D57" i="3"/>
  <c r="H57" i="3"/>
  <c r="A57" i="3"/>
  <c r="G57" i="3"/>
  <c r="M57" i="3"/>
  <c r="F57" i="3"/>
  <c r="B57" i="3"/>
  <c r="I57" i="3"/>
  <c r="E57" i="3"/>
  <c r="C290" i="3"/>
  <c r="I482" i="3"/>
  <c r="M482" i="3"/>
  <c r="G482" i="3"/>
  <c r="A482" i="3"/>
  <c r="F482" i="3"/>
  <c r="B482" i="3"/>
  <c r="J482" i="3"/>
  <c r="E482" i="3"/>
  <c r="D482" i="3"/>
  <c r="H482" i="3"/>
  <c r="C393" i="3"/>
  <c r="C296" i="3"/>
  <c r="H347" i="3"/>
  <c r="B347" i="3"/>
  <c r="E347" i="3"/>
  <c r="J347" i="3"/>
  <c r="G347" i="3"/>
  <c r="F347" i="3"/>
  <c r="D347" i="3"/>
  <c r="I347" i="3"/>
  <c r="A347" i="3"/>
  <c r="M347" i="3"/>
  <c r="F396" i="3"/>
  <c r="J396" i="3"/>
  <c r="H396" i="3"/>
  <c r="A396" i="3"/>
  <c r="G396" i="3"/>
  <c r="E396" i="3"/>
  <c r="D396" i="3"/>
  <c r="M396" i="3"/>
  <c r="I396" i="3"/>
  <c r="B396" i="3"/>
  <c r="H157" i="3"/>
  <c r="B157" i="3"/>
  <c r="M157" i="3"/>
  <c r="F157" i="3"/>
  <c r="D157" i="3"/>
  <c r="J157" i="3"/>
  <c r="I157" i="3"/>
  <c r="G157" i="3"/>
  <c r="A157" i="3"/>
  <c r="E157" i="3"/>
  <c r="E32" i="3"/>
  <c r="I32" i="3"/>
  <c r="B32" i="3"/>
  <c r="G32" i="3"/>
  <c r="H32" i="3"/>
  <c r="F32" i="3"/>
  <c r="D32" i="3"/>
  <c r="J32" i="3"/>
  <c r="M32" i="3"/>
  <c r="A32" i="3"/>
  <c r="C70" i="3"/>
  <c r="J161" i="3"/>
  <c r="D161" i="3"/>
  <c r="E161" i="3"/>
  <c r="I161" i="3"/>
  <c r="B161" i="3"/>
  <c r="M161" i="3"/>
  <c r="A161" i="3"/>
  <c r="H161" i="3"/>
  <c r="G161" i="3"/>
  <c r="F161" i="3"/>
  <c r="C276" i="3"/>
  <c r="I112" i="3"/>
  <c r="M112" i="3"/>
  <c r="F112" i="3"/>
  <c r="E112" i="3"/>
  <c r="D112" i="3"/>
  <c r="H112" i="3"/>
  <c r="G112" i="3"/>
  <c r="B112" i="3"/>
  <c r="J112" i="3"/>
  <c r="A112" i="3"/>
  <c r="F153" i="3"/>
  <c r="H153" i="3"/>
  <c r="A153" i="3"/>
  <c r="M153" i="3"/>
  <c r="E153" i="3"/>
  <c r="I153" i="3"/>
  <c r="G153" i="3"/>
  <c r="D153" i="3"/>
  <c r="J153" i="3"/>
  <c r="B153" i="3"/>
  <c r="J63" i="3"/>
  <c r="D63" i="3"/>
  <c r="I63" i="3"/>
  <c r="B63" i="3"/>
  <c r="H63" i="3"/>
  <c r="A63" i="3"/>
  <c r="G63" i="3"/>
  <c r="F63" i="3"/>
  <c r="M63" i="3"/>
  <c r="E63" i="3"/>
  <c r="J39" i="3"/>
  <c r="D39" i="3"/>
  <c r="E39" i="3"/>
  <c r="I39" i="3"/>
  <c r="B39" i="3"/>
  <c r="M39" i="3"/>
  <c r="A39" i="3"/>
  <c r="G39" i="3"/>
  <c r="F39" i="3"/>
  <c r="H39" i="3"/>
  <c r="I144" i="3"/>
  <c r="J144" i="3"/>
  <c r="B144" i="3"/>
  <c r="G144" i="3"/>
  <c r="F144" i="3"/>
  <c r="E144" i="3"/>
  <c r="M144" i="3"/>
  <c r="D144" i="3"/>
  <c r="A144" i="3"/>
  <c r="H144" i="3"/>
  <c r="C193" i="3"/>
  <c r="C470" i="3"/>
  <c r="C249" i="3"/>
  <c r="C97" i="3"/>
  <c r="M60" i="3"/>
  <c r="G60" i="3"/>
  <c r="A60" i="3"/>
  <c r="E60" i="3"/>
  <c r="D60" i="3"/>
  <c r="J60" i="3"/>
  <c r="H60" i="3"/>
  <c r="F60" i="3"/>
  <c r="B60" i="3"/>
  <c r="I60" i="3"/>
  <c r="I204" i="3"/>
  <c r="G204" i="3"/>
  <c r="M204" i="3"/>
  <c r="F204" i="3"/>
  <c r="E204" i="3"/>
  <c r="J204" i="3"/>
  <c r="H204" i="3"/>
  <c r="D204" i="3"/>
  <c r="A204" i="3"/>
  <c r="B204" i="3"/>
  <c r="J490" i="3"/>
  <c r="D490" i="3"/>
  <c r="H490" i="3"/>
  <c r="B490" i="3"/>
  <c r="F490" i="3"/>
  <c r="A490" i="3"/>
  <c r="E490" i="3"/>
  <c r="I490" i="3"/>
  <c r="G490" i="3"/>
  <c r="M490" i="3"/>
  <c r="M336" i="3"/>
  <c r="G336" i="3"/>
  <c r="A336" i="3"/>
  <c r="D336" i="3"/>
  <c r="I336" i="3"/>
  <c r="B336" i="3"/>
  <c r="J336" i="3"/>
  <c r="H336" i="3"/>
  <c r="F336" i="3"/>
  <c r="E336" i="3"/>
  <c r="M360" i="3"/>
  <c r="G360" i="3"/>
  <c r="A360" i="3"/>
  <c r="I360" i="3"/>
  <c r="B360" i="3"/>
  <c r="F360" i="3"/>
  <c r="J360" i="3"/>
  <c r="H360" i="3"/>
  <c r="E360" i="3"/>
  <c r="D360" i="3"/>
  <c r="F281" i="3"/>
  <c r="M281" i="3"/>
  <c r="E281" i="3"/>
  <c r="D281" i="3"/>
  <c r="J281" i="3"/>
  <c r="H281" i="3"/>
  <c r="G281" i="3"/>
  <c r="B281" i="3"/>
  <c r="A281" i="3"/>
  <c r="I281" i="3"/>
  <c r="C203" i="3"/>
  <c r="C173" i="3"/>
  <c r="C49" i="3"/>
  <c r="H95" i="3"/>
  <c r="B95" i="3"/>
  <c r="D95" i="3"/>
  <c r="J95" i="3"/>
  <c r="I95" i="3"/>
  <c r="A95" i="3"/>
  <c r="M95" i="3"/>
  <c r="G95" i="3"/>
  <c r="F95" i="3"/>
  <c r="E95" i="3"/>
  <c r="C190" i="3"/>
  <c r="I527" i="3"/>
  <c r="H527" i="3"/>
  <c r="B527" i="3"/>
  <c r="D527" i="3"/>
  <c r="J527" i="3"/>
  <c r="G527" i="3"/>
  <c r="E527" i="3"/>
  <c r="A527" i="3"/>
  <c r="M527" i="3"/>
  <c r="F527" i="3"/>
  <c r="C132" i="3"/>
  <c r="F201" i="3"/>
  <c r="J201" i="3"/>
  <c r="I201" i="3"/>
  <c r="B201" i="3"/>
  <c r="H201" i="3"/>
  <c r="A201" i="3"/>
  <c r="E201" i="3"/>
  <c r="D201" i="3"/>
  <c r="G201" i="3"/>
  <c r="M201" i="3"/>
  <c r="C95" i="3"/>
  <c r="H77" i="3"/>
  <c r="B77" i="3"/>
  <c r="G77" i="3"/>
  <c r="M77" i="3"/>
  <c r="F77" i="3"/>
  <c r="E77" i="3"/>
  <c r="A77" i="3"/>
  <c r="J77" i="3"/>
  <c r="D77" i="3"/>
  <c r="I77" i="3"/>
  <c r="J51" i="3"/>
  <c r="D51" i="3"/>
  <c r="G51" i="3"/>
  <c r="M51" i="3"/>
  <c r="F51" i="3"/>
  <c r="E51" i="3"/>
  <c r="I51" i="3"/>
  <c r="H51" i="3"/>
  <c r="B51" i="3"/>
  <c r="A51" i="3"/>
  <c r="M48" i="3"/>
  <c r="G48" i="3"/>
  <c r="A48" i="3"/>
  <c r="J48" i="3"/>
  <c r="I48" i="3"/>
  <c r="B48" i="3"/>
  <c r="H48" i="3"/>
  <c r="E48" i="3"/>
  <c r="D48" i="3"/>
  <c r="F48" i="3"/>
  <c r="C450" i="3"/>
  <c r="C165" i="3"/>
  <c r="C194" i="3"/>
  <c r="M146" i="3"/>
  <c r="G146" i="3"/>
  <c r="A146" i="3"/>
  <c r="E146" i="3"/>
  <c r="J146" i="3"/>
  <c r="B146" i="3"/>
  <c r="I146" i="3"/>
  <c r="H146" i="3"/>
  <c r="D146" i="3"/>
  <c r="F146" i="3"/>
  <c r="H169" i="3"/>
  <c r="B169" i="3"/>
  <c r="I169" i="3"/>
  <c r="A169" i="3"/>
  <c r="M169" i="3"/>
  <c r="F169" i="3"/>
  <c r="E169" i="3"/>
  <c r="D169" i="3"/>
  <c r="G169" i="3"/>
  <c r="J169" i="3"/>
  <c r="C513" i="3"/>
  <c r="E338" i="3"/>
  <c r="G338" i="3"/>
  <c r="D338" i="3"/>
  <c r="F338" i="3"/>
  <c r="M338" i="3"/>
  <c r="B338" i="3"/>
  <c r="J338" i="3"/>
  <c r="I338" i="3"/>
  <c r="H338" i="3"/>
  <c r="A338" i="3"/>
  <c r="E270" i="3"/>
  <c r="D270" i="3"/>
  <c r="I270" i="3"/>
  <c r="B270" i="3"/>
  <c r="H270" i="3"/>
  <c r="G270" i="3"/>
  <c r="F270" i="3"/>
  <c r="M270" i="3"/>
  <c r="J270" i="3"/>
  <c r="A270" i="3"/>
  <c r="I340" i="3"/>
  <c r="J340" i="3"/>
  <c r="B340" i="3"/>
  <c r="G340" i="3"/>
  <c r="A340" i="3"/>
  <c r="H340" i="3"/>
  <c r="M340" i="3"/>
  <c r="F340" i="3"/>
  <c r="D340" i="3"/>
  <c r="E340" i="3"/>
  <c r="C201" i="3"/>
  <c r="C222" i="3"/>
  <c r="F263" i="3"/>
  <c r="I263" i="3"/>
  <c r="B263" i="3"/>
  <c r="G263" i="3"/>
  <c r="M263" i="3"/>
  <c r="A263" i="3"/>
  <c r="J263" i="3"/>
  <c r="H263" i="3"/>
  <c r="D263" i="3"/>
  <c r="E263" i="3"/>
  <c r="H219" i="3"/>
  <c r="B219" i="3"/>
  <c r="F219" i="3"/>
  <c r="E219" i="3"/>
  <c r="M219" i="3"/>
  <c r="D219" i="3"/>
  <c r="I219" i="3"/>
  <c r="G219" i="3"/>
  <c r="A219" i="3"/>
  <c r="J219" i="3"/>
  <c r="E80" i="3"/>
  <c r="D80" i="3"/>
  <c r="J80" i="3"/>
  <c r="I80" i="3"/>
  <c r="B80" i="3"/>
  <c r="G80" i="3"/>
  <c r="F80" i="3"/>
  <c r="A80" i="3"/>
  <c r="M80" i="3"/>
  <c r="H80" i="3"/>
  <c r="J131" i="3"/>
  <c r="D131" i="3"/>
  <c r="H131" i="3"/>
  <c r="B131" i="3"/>
  <c r="A131" i="3"/>
  <c r="I131" i="3"/>
  <c r="G131" i="3"/>
  <c r="M131" i="3"/>
  <c r="F131" i="3"/>
  <c r="E131" i="3"/>
  <c r="J265" i="3"/>
  <c r="D265" i="3"/>
  <c r="E265" i="3"/>
  <c r="I265" i="3"/>
  <c r="B265" i="3"/>
  <c r="H265" i="3"/>
  <c r="G265" i="3"/>
  <c r="F265" i="3"/>
  <c r="M265" i="3"/>
  <c r="A265" i="3"/>
  <c r="I40" i="3"/>
  <c r="M40" i="3"/>
  <c r="F40" i="3"/>
  <c r="D40" i="3"/>
  <c r="A40" i="3"/>
  <c r="J40" i="3"/>
  <c r="H40" i="3"/>
  <c r="G40" i="3"/>
  <c r="E40" i="3"/>
  <c r="B40" i="3"/>
  <c r="F22" i="3"/>
  <c r="J22" i="3"/>
  <c r="D22" i="3"/>
  <c r="B22" i="3"/>
  <c r="I22" i="3"/>
  <c r="A22" i="3"/>
  <c r="H22" i="3"/>
  <c r="M22" i="3"/>
  <c r="G22" i="3"/>
  <c r="E22" i="3"/>
  <c r="C144" i="3"/>
  <c r="F37" i="3"/>
  <c r="I37" i="3"/>
  <c r="B37" i="3"/>
  <c r="G37" i="3"/>
  <c r="H37" i="3"/>
  <c r="E37" i="3"/>
  <c r="D37" i="3"/>
  <c r="J37" i="3"/>
  <c r="M37" i="3"/>
  <c r="A37" i="3"/>
  <c r="F488" i="3"/>
  <c r="J488" i="3"/>
  <c r="D488" i="3"/>
  <c r="E488" i="3"/>
  <c r="B488" i="3"/>
  <c r="I488" i="3"/>
  <c r="A488" i="3"/>
  <c r="M488" i="3"/>
  <c r="H488" i="3"/>
  <c r="G488" i="3"/>
  <c r="C302" i="3"/>
  <c r="J333" i="3"/>
  <c r="D333" i="3"/>
  <c r="G333" i="3"/>
  <c r="E333" i="3"/>
  <c r="F333" i="3"/>
  <c r="M333" i="3"/>
  <c r="B333" i="3"/>
  <c r="H333" i="3"/>
  <c r="A333" i="3"/>
  <c r="I333" i="3"/>
  <c r="I64" i="3"/>
  <c r="D64" i="3"/>
  <c r="J64" i="3"/>
  <c r="B64" i="3"/>
  <c r="H64" i="3"/>
  <c r="A64" i="3"/>
  <c r="M64" i="3"/>
  <c r="G64" i="3"/>
  <c r="F64" i="3"/>
  <c r="E64" i="3"/>
  <c r="C84" i="3"/>
  <c r="H400" i="3"/>
  <c r="B400" i="3"/>
  <c r="I400" i="3"/>
  <c r="A400" i="3"/>
  <c r="G400" i="3"/>
  <c r="M400" i="3"/>
  <c r="F400" i="3"/>
  <c r="D400" i="3"/>
  <c r="J400" i="3"/>
  <c r="E400" i="3"/>
  <c r="E38" i="3"/>
  <c r="J38" i="3"/>
  <c r="H38" i="3"/>
  <c r="A38" i="3"/>
  <c r="F38" i="3"/>
  <c r="D38" i="3"/>
  <c r="M38" i="3"/>
  <c r="B38" i="3"/>
  <c r="G38" i="3"/>
  <c r="I38" i="3"/>
  <c r="E454" i="3"/>
  <c r="G454" i="3"/>
  <c r="M454" i="3"/>
  <c r="F454" i="3"/>
  <c r="D454" i="3"/>
  <c r="I454" i="3"/>
  <c r="H454" i="3"/>
  <c r="J454" i="3"/>
  <c r="B454" i="3"/>
  <c r="A454" i="3"/>
  <c r="H534" i="3"/>
  <c r="B534" i="3"/>
  <c r="M534" i="3"/>
  <c r="G534" i="3"/>
  <c r="A534" i="3"/>
  <c r="I534" i="3"/>
  <c r="F534" i="3"/>
  <c r="D534" i="3"/>
  <c r="J534" i="3"/>
  <c r="E534" i="3"/>
  <c r="F305" i="3"/>
  <c r="J305" i="3"/>
  <c r="I305" i="3"/>
  <c r="B305" i="3"/>
  <c r="H305" i="3"/>
  <c r="A305" i="3"/>
  <c r="M305" i="3"/>
  <c r="G305" i="3"/>
  <c r="D305" i="3"/>
  <c r="E305" i="3"/>
  <c r="H213" i="3"/>
  <c r="B213" i="3"/>
  <c r="F213" i="3"/>
  <c r="J213" i="3"/>
  <c r="A213" i="3"/>
  <c r="I213" i="3"/>
  <c r="M213" i="3"/>
  <c r="G213" i="3"/>
  <c r="D213" i="3"/>
  <c r="E213" i="3"/>
  <c r="I296" i="3"/>
  <c r="E296" i="3"/>
  <c r="D296" i="3"/>
  <c r="J296" i="3"/>
  <c r="B296" i="3"/>
  <c r="M296" i="3"/>
  <c r="H296" i="3"/>
  <c r="F296" i="3"/>
  <c r="A296" i="3"/>
  <c r="G296" i="3"/>
  <c r="C328" i="3"/>
  <c r="E326" i="3"/>
  <c r="D326" i="3"/>
  <c r="I326" i="3"/>
  <c r="B326" i="3"/>
  <c r="J326" i="3"/>
  <c r="H326" i="3"/>
  <c r="G326" i="3"/>
  <c r="A326" i="3"/>
  <c r="M326" i="3"/>
  <c r="F326" i="3"/>
  <c r="I464" i="3"/>
  <c r="M464" i="3"/>
  <c r="G464" i="3"/>
  <c r="A464" i="3"/>
  <c r="E464" i="3"/>
  <c r="D464" i="3"/>
  <c r="B464" i="3"/>
  <c r="J464" i="3"/>
  <c r="H464" i="3"/>
  <c r="F464" i="3"/>
  <c r="I497" i="3"/>
  <c r="M497" i="3"/>
  <c r="G497" i="3"/>
  <c r="A497" i="3"/>
  <c r="E497" i="3"/>
  <c r="D497" i="3"/>
  <c r="B497" i="3"/>
  <c r="J497" i="3"/>
  <c r="H497" i="3"/>
  <c r="F497" i="3"/>
  <c r="F500" i="3"/>
  <c r="G500" i="3"/>
  <c r="D500" i="3"/>
  <c r="M500" i="3"/>
  <c r="B500" i="3"/>
  <c r="J500" i="3"/>
  <c r="A500" i="3"/>
  <c r="I500" i="3"/>
  <c r="H500" i="3"/>
  <c r="E500" i="3"/>
  <c r="E154" i="3"/>
  <c r="I154" i="3"/>
  <c r="B154" i="3"/>
  <c r="G154" i="3"/>
  <c r="F154" i="3"/>
  <c r="D154" i="3"/>
  <c r="M154" i="3"/>
  <c r="J154" i="3"/>
  <c r="H154" i="3"/>
  <c r="A154" i="3"/>
  <c r="I266" i="3"/>
  <c r="M266" i="3"/>
  <c r="F266" i="3"/>
  <c r="D266" i="3"/>
  <c r="G266" i="3"/>
  <c r="E266" i="3"/>
  <c r="B266" i="3"/>
  <c r="H266" i="3"/>
  <c r="A266" i="3"/>
  <c r="J266" i="3"/>
  <c r="E228" i="3"/>
  <c r="I228" i="3"/>
  <c r="F228" i="3"/>
  <c r="M228" i="3"/>
  <c r="D228" i="3"/>
  <c r="B228" i="3"/>
  <c r="J228" i="3"/>
  <c r="H228" i="3"/>
  <c r="G228" i="3"/>
  <c r="A228" i="3"/>
  <c r="M401" i="3"/>
  <c r="G401" i="3"/>
  <c r="A401" i="3"/>
  <c r="J401" i="3"/>
  <c r="I401" i="3"/>
  <c r="B401" i="3"/>
  <c r="H401" i="3"/>
  <c r="E401" i="3"/>
  <c r="D401" i="3"/>
  <c r="F401" i="3"/>
  <c r="H459" i="3"/>
  <c r="B459" i="3"/>
  <c r="F459" i="3"/>
  <c r="G459" i="3"/>
  <c r="E459" i="3"/>
  <c r="M459" i="3"/>
  <c r="D459" i="3"/>
  <c r="J459" i="3"/>
  <c r="I459" i="3"/>
  <c r="A459" i="3"/>
  <c r="C331" i="3"/>
  <c r="F479" i="3"/>
  <c r="J479" i="3"/>
  <c r="D479" i="3"/>
  <c r="I479" i="3"/>
  <c r="E479" i="3"/>
  <c r="B479" i="3"/>
  <c r="M479" i="3"/>
  <c r="A479" i="3"/>
  <c r="H479" i="3"/>
  <c r="G479" i="3"/>
  <c r="F435" i="3"/>
  <c r="I435" i="3"/>
  <c r="B435" i="3"/>
  <c r="G435" i="3"/>
  <c r="A435" i="3"/>
  <c r="J435" i="3"/>
  <c r="H435" i="3"/>
  <c r="D435" i="3"/>
  <c r="M435" i="3"/>
  <c r="E435" i="3"/>
  <c r="F467" i="3"/>
  <c r="J467" i="3"/>
  <c r="D467" i="3"/>
  <c r="B467" i="3"/>
  <c r="I467" i="3"/>
  <c r="A467" i="3"/>
  <c r="H467" i="3"/>
  <c r="M467" i="3"/>
  <c r="G467" i="3"/>
  <c r="E467" i="3"/>
  <c r="M505" i="3"/>
  <c r="G505" i="3"/>
  <c r="A505" i="3"/>
  <c r="F505" i="3"/>
  <c r="D505" i="3"/>
  <c r="B505" i="3"/>
  <c r="J505" i="3"/>
  <c r="I505" i="3"/>
  <c r="H505" i="3"/>
  <c r="E505" i="3"/>
  <c r="E507" i="3"/>
  <c r="I507" i="3"/>
  <c r="B507" i="3"/>
  <c r="G507" i="3"/>
  <c r="H507" i="3"/>
  <c r="F507" i="3"/>
  <c r="D507" i="3"/>
  <c r="M507" i="3"/>
  <c r="A507" i="3"/>
  <c r="J507" i="3"/>
  <c r="C438" i="3"/>
  <c r="M407" i="3"/>
  <c r="G407" i="3"/>
  <c r="A407" i="3"/>
  <c r="D407" i="3"/>
  <c r="J407" i="3"/>
  <c r="I407" i="3"/>
  <c r="B407" i="3"/>
  <c r="H407" i="3"/>
  <c r="F407" i="3"/>
  <c r="E407" i="3"/>
  <c r="C444" i="3"/>
  <c r="J386" i="3"/>
  <c r="D386" i="3"/>
  <c r="H386" i="3"/>
  <c r="A386" i="3"/>
  <c r="G386" i="3"/>
  <c r="F386" i="3"/>
  <c r="E386" i="3"/>
  <c r="M386" i="3"/>
  <c r="B386" i="3"/>
  <c r="I386" i="3"/>
  <c r="M433" i="3"/>
  <c r="G433" i="3"/>
  <c r="A433" i="3"/>
  <c r="E433" i="3"/>
  <c r="F433" i="3"/>
  <c r="D433" i="3"/>
  <c r="I433" i="3"/>
  <c r="H433" i="3"/>
  <c r="B433" i="3"/>
  <c r="J433" i="3"/>
  <c r="C422" i="3"/>
  <c r="M466" i="3"/>
  <c r="G466" i="3"/>
  <c r="A466" i="3"/>
  <c r="E466" i="3"/>
  <c r="F466" i="3"/>
  <c r="D466" i="3"/>
  <c r="I466" i="3"/>
  <c r="H466" i="3"/>
  <c r="B466" i="3"/>
  <c r="J466" i="3"/>
  <c r="F518" i="3"/>
  <c r="E518" i="3"/>
  <c r="M518" i="3"/>
  <c r="I518" i="3"/>
  <c r="A518" i="3"/>
  <c r="H518" i="3"/>
  <c r="J518" i="3"/>
  <c r="G518" i="3"/>
  <c r="D518" i="3"/>
  <c r="B518" i="3"/>
  <c r="H41" i="3"/>
  <c r="B41" i="3"/>
  <c r="G41" i="3"/>
  <c r="M41" i="3"/>
  <c r="E41" i="3"/>
  <c r="J41" i="3"/>
  <c r="I41" i="3"/>
  <c r="F41" i="3"/>
  <c r="A41" i="3"/>
  <c r="D41" i="3"/>
  <c r="E370" i="3"/>
  <c r="I370" i="3"/>
  <c r="B370" i="3"/>
  <c r="J370" i="3"/>
  <c r="A370" i="3"/>
  <c r="H370" i="3"/>
  <c r="M370" i="3"/>
  <c r="G370" i="3"/>
  <c r="D370" i="3"/>
  <c r="F370" i="3"/>
  <c r="C323" i="3"/>
  <c r="C221" i="3"/>
  <c r="M256" i="3"/>
  <c r="G256" i="3"/>
  <c r="A256" i="3"/>
  <c r="F256" i="3"/>
  <c r="D256" i="3"/>
  <c r="H256" i="3"/>
  <c r="E256" i="3"/>
  <c r="I256" i="3"/>
  <c r="B256" i="3"/>
  <c r="J256" i="3"/>
  <c r="F369" i="3"/>
  <c r="J369" i="3"/>
  <c r="D369" i="3"/>
  <c r="G369" i="3"/>
  <c r="E369" i="3"/>
  <c r="M369" i="3"/>
  <c r="I369" i="3"/>
  <c r="H369" i="3"/>
  <c r="B369" i="3"/>
  <c r="A369" i="3"/>
  <c r="H267" i="3"/>
  <c r="B267" i="3"/>
  <c r="G267" i="3"/>
  <c r="E267" i="3"/>
  <c r="D267" i="3"/>
  <c r="M267" i="3"/>
  <c r="A267" i="3"/>
  <c r="I267" i="3"/>
  <c r="F267" i="3"/>
  <c r="J267" i="3"/>
  <c r="J223" i="3"/>
  <c r="D223" i="3"/>
  <c r="H223" i="3"/>
  <c r="B223" i="3"/>
  <c r="G223" i="3"/>
  <c r="F223" i="3"/>
  <c r="M223" i="3"/>
  <c r="E223" i="3"/>
  <c r="I223" i="3"/>
  <c r="A223" i="3"/>
  <c r="J33" i="3"/>
  <c r="D33" i="3"/>
  <c r="H33" i="3"/>
  <c r="A33" i="3"/>
  <c r="F33" i="3"/>
  <c r="E33" i="3"/>
  <c r="M33" i="3"/>
  <c r="B33" i="3"/>
  <c r="I33" i="3"/>
  <c r="G33" i="3"/>
  <c r="C200" i="3"/>
  <c r="F73" i="3"/>
  <c r="I73" i="3"/>
  <c r="B73" i="3"/>
  <c r="H73" i="3"/>
  <c r="A73" i="3"/>
  <c r="G73" i="3"/>
  <c r="J73" i="3"/>
  <c r="E73" i="3"/>
  <c r="M73" i="3"/>
  <c r="D73" i="3"/>
  <c r="H225" i="3"/>
  <c r="B225" i="3"/>
  <c r="F225" i="3"/>
  <c r="I225" i="3"/>
  <c r="G225" i="3"/>
  <c r="E225" i="3"/>
  <c r="A225" i="3"/>
  <c r="M225" i="3"/>
  <c r="D225" i="3"/>
  <c r="J225" i="3"/>
  <c r="M182" i="3"/>
  <c r="G182" i="3"/>
  <c r="A182" i="3"/>
  <c r="E182" i="3"/>
  <c r="J182" i="3"/>
  <c r="I182" i="3"/>
  <c r="H182" i="3"/>
  <c r="F182" i="3"/>
  <c r="B182" i="3"/>
  <c r="D182" i="3"/>
  <c r="F361" i="3"/>
  <c r="J361" i="3"/>
  <c r="H361" i="3"/>
  <c r="A361" i="3"/>
  <c r="I361" i="3"/>
  <c r="G361" i="3"/>
  <c r="E361" i="3"/>
  <c r="B361" i="3"/>
  <c r="M361" i="3"/>
  <c r="D361" i="3"/>
  <c r="J99" i="3"/>
  <c r="D99" i="3"/>
  <c r="I99" i="3"/>
  <c r="B99" i="3"/>
  <c r="H99" i="3"/>
  <c r="A99" i="3"/>
  <c r="G99" i="3"/>
  <c r="E99" i="3"/>
  <c r="M99" i="3"/>
  <c r="F99" i="3"/>
  <c r="C364" i="3"/>
  <c r="C255" i="3"/>
  <c r="H297" i="3"/>
  <c r="B297" i="3"/>
  <c r="M297" i="3"/>
  <c r="F297" i="3"/>
  <c r="E297" i="3"/>
  <c r="D297" i="3"/>
  <c r="A297" i="3"/>
  <c r="J297" i="3"/>
  <c r="I297" i="3"/>
  <c r="G297" i="3"/>
  <c r="J283" i="3"/>
  <c r="D283" i="3"/>
  <c r="H283" i="3"/>
  <c r="A283" i="3"/>
  <c r="G283" i="3"/>
  <c r="M283" i="3"/>
  <c r="F283" i="3"/>
  <c r="I283" i="3"/>
  <c r="E283" i="3"/>
  <c r="B283" i="3"/>
  <c r="E124" i="3"/>
  <c r="I124" i="3"/>
  <c r="B124" i="3"/>
  <c r="J124" i="3"/>
  <c r="A124" i="3"/>
  <c r="H124" i="3"/>
  <c r="M124" i="3"/>
  <c r="G124" i="3"/>
  <c r="F124" i="3"/>
  <c r="D124" i="3"/>
  <c r="C309" i="3"/>
  <c r="C127" i="3"/>
  <c r="C300" i="3"/>
  <c r="M54" i="3"/>
  <c r="G54" i="3"/>
  <c r="A54" i="3"/>
  <c r="D54" i="3"/>
  <c r="J54" i="3"/>
  <c r="I54" i="3"/>
  <c r="B54" i="3"/>
  <c r="H54" i="3"/>
  <c r="E54" i="3"/>
  <c r="F54" i="3"/>
  <c r="F135" i="3"/>
  <c r="J135" i="3"/>
  <c r="D135" i="3"/>
  <c r="M135" i="3"/>
  <c r="B135" i="3"/>
  <c r="I135" i="3"/>
  <c r="A135" i="3"/>
  <c r="H135" i="3"/>
  <c r="G135" i="3"/>
  <c r="E135" i="3"/>
  <c r="C104" i="3"/>
  <c r="H451" i="3"/>
  <c r="B451" i="3"/>
  <c r="J451" i="3"/>
  <c r="I451" i="3"/>
  <c r="A451" i="3"/>
  <c r="G451" i="3"/>
  <c r="E451" i="3"/>
  <c r="D451" i="3"/>
  <c r="M451" i="3"/>
  <c r="F451" i="3"/>
  <c r="J247" i="3"/>
  <c r="D247" i="3"/>
  <c r="H247" i="3"/>
  <c r="A247" i="3"/>
  <c r="M247" i="3"/>
  <c r="F247" i="3"/>
  <c r="E247" i="3"/>
  <c r="B247" i="3"/>
  <c r="I247" i="3"/>
  <c r="G247" i="3"/>
  <c r="M36" i="3"/>
  <c r="G36" i="3"/>
  <c r="A36" i="3"/>
  <c r="H36" i="3"/>
  <c r="E36" i="3"/>
  <c r="J36" i="3"/>
  <c r="I36" i="3"/>
  <c r="F36" i="3"/>
  <c r="B36" i="3"/>
  <c r="D36" i="3"/>
  <c r="C305" i="3"/>
  <c r="C43" i="3"/>
  <c r="J185" i="3"/>
  <c r="D185" i="3"/>
  <c r="I185" i="3"/>
  <c r="B185" i="3"/>
  <c r="G185" i="3"/>
  <c r="M185" i="3"/>
  <c r="A185" i="3"/>
  <c r="F185" i="3"/>
  <c r="E185" i="3"/>
  <c r="H185" i="3"/>
  <c r="I88" i="3"/>
  <c r="H88" i="3"/>
  <c r="A88" i="3"/>
  <c r="G88" i="3"/>
  <c r="M88" i="3"/>
  <c r="F88" i="3"/>
  <c r="D88" i="3"/>
  <c r="B88" i="3"/>
  <c r="J88" i="3"/>
  <c r="E88" i="3"/>
  <c r="F453" i="3"/>
  <c r="M453" i="3"/>
  <c r="E453" i="3"/>
  <c r="D453" i="3"/>
  <c r="J453" i="3"/>
  <c r="H453" i="3"/>
  <c r="G453" i="3"/>
  <c r="B453" i="3"/>
  <c r="I453" i="3"/>
  <c r="A453" i="3"/>
  <c r="C383" i="3"/>
  <c r="J295" i="3"/>
  <c r="D295" i="3"/>
  <c r="I295" i="3"/>
  <c r="B295" i="3"/>
  <c r="H295" i="3"/>
  <c r="A295" i="3"/>
  <c r="M295" i="3"/>
  <c r="G295" i="3"/>
  <c r="F295" i="3"/>
  <c r="E295" i="3"/>
  <c r="J339" i="3"/>
  <c r="D339" i="3"/>
  <c r="H339" i="3"/>
  <c r="A339" i="3"/>
  <c r="M339" i="3"/>
  <c r="F339" i="3"/>
  <c r="B339" i="3"/>
  <c r="G339" i="3"/>
  <c r="E339" i="3"/>
  <c r="I339" i="3"/>
  <c r="M342" i="3"/>
  <c r="G342" i="3"/>
  <c r="A342" i="3"/>
  <c r="E342" i="3"/>
  <c r="J342" i="3"/>
  <c r="H342" i="3"/>
  <c r="F342" i="3"/>
  <c r="D342" i="3"/>
  <c r="I342" i="3"/>
  <c r="B342" i="3"/>
  <c r="H145" i="3"/>
  <c r="B145" i="3"/>
  <c r="D145" i="3"/>
  <c r="I145" i="3"/>
  <c r="A145" i="3"/>
  <c r="E145" i="3"/>
  <c r="M145" i="3"/>
  <c r="G145" i="3"/>
  <c r="F145" i="3"/>
  <c r="J145" i="3"/>
  <c r="C386" i="3"/>
  <c r="M152" i="3"/>
  <c r="G152" i="3"/>
  <c r="A152" i="3"/>
  <c r="F152" i="3"/>
  <c r="D152" i="3"/>
  <c r="J152" i="3"/>
  <c r="I152" i="3"/>
  <c r="H152" i="3"/>
  <c r="B152" i="3"/>
  <c r="E152" i="3"/>
  <c r="C486" i="3"/>
  <c r="J69" i="3"/>
  <c r="D69" i="3"/>
  <c r="I69" i="3"/>
  <c r="B69" i="3"/>
  <c r="H69" i="3"/>
  <c r="A69" i="3"/>
  <c r="F69" i="3"/>
  <c r="E69" i="3"/>
  <c r="G69" i="3"/>
  <c r="M69" i="3"/>
  <c r="I156" i="3"/>
  <c r="E156" i="3"/>
  <c r="J156" i="3"/>
  <c r="B156" i="3"/>
  <c r="M156" i="3"/>
  <c r="A156" i="3"/>
  <c r="H156" i="3"/>
  <c r="G156" i="3"/>
  <c r="D156" i="3"/>
  <c r="F156" i="3"/>
  <c r="C148" i="3"/>
  <c r="C54" i="3"/>
  <c r="I34" i="3"/>
  <c r="E34" i="3"/>
  <c r="J34" i="3"/>
  <c r="B34" i="3"/>
  <c r="D34" i="3"/>
  <c r="M34" i="3"/>
  <c r="A34" i="3"/>
  <c r="G34" i="3"/>
  <c r="F34" i="3"/>
  <c r="H34" i="3"/>
  <c r="H119" i="3"/>
  <c r="B119" i="3"/>
  <c r="I119" i="3"/>
  <c r="A119" i="3"/>
  <c r="G119" i="3"/>
  <c r="M119" i="3"/>
  <c r="F119" i="3"/>
  <c r="D119" i="3"/>
  <c r="J119" i="3"/>
  <c r="E119" i="3"/>
  <c r="C134" i="3"/>
  <c r="C472" i="3"/>
  <c r="M274" i="3"/>
  <c r="G274" i="3"/>
  <c r="A274" i="3"/>
  <c r="J274" i="3"/>
  <c r="H274" i="3"/>
  <c r="I274" i="3"/>
  <c r="F274" i="3"/>
  <c r="D274" i="3"/>
  <c r="B274" i="3"/>
  <c r="E274" i="3"/>
  <c r="C115" i="3"/>
  <c r="C76" i="3"/>
  <c r="F28" i="3"/>
  <c r="J28" i="3"/>
  <c r="D28" i="3"/>
  <c r="E28" i="3"/>
  <c r="M28" i="3"/>
  <c r="B28" i="3"/>
  <c r="H28" i="3"/>
  <c r="G28" i="3"/>
  <c r="A28" i="3"/>
  <c r="I28" i="3"/>
  <c r="C519" i="3"/>
  <c r="F384" i="3"/>
  <c r="H384" i="3"/>
  <c r="A384" i="3"/>
  <c r="M384" i="3"/>
  <c r="E384" i="3"/>
  <c r="B384" i="3"/>
  <c r="J384" i="3"/>
  <c r="I384" i="3"/>
  <c r="D384" i="3"/>
  <c r="G384" i="3"/>
  <c r="C478" i="3"/>
  <c r="C307" i="3"/>
  <c r="E166" i="3"/>
  <c r="D166" i="3"/>
  <c r="I166" i="3"/>
  <c r="B166" i="3"/>
  <c r="M166" i="3"/>
  <c r="A166" i="3"/>
  <c r="J166" i="3"/>
  <c r="H166" i="3"/>
  <c r="G166" i="3"/>
  <c r="F166" i="3"/>
  <c r="F233" i="3"/>
  <c r="J233" i="3"/>
  <c r="D233" i="3"/>
  <c r="M233" i="3"/>
  <c r="B233" i="3"/>
  <c r="I233" i="3"/>
  <c r="A233" i="3"/>
  <c r="G233" i="3"/>
  <c r="E233" i="3"/>
  <c r="H233" i="3"/>
  <c r="I198" i="3"/>
  <c r="M198" i="3"/>
  <c r="F198" i="3"/>
  <c r="E198" i="3"/>
  <c r="D198" i="3"/>
  <c r="A198" i="3"/>
  <c r="J198" i="3"/>
  <c r="H198" i="3"/>
  <c r="G198" i="3"/>
  <c r="B198" i="3"/>
  <c r="E62" i="3"/>
  <c r="H62" i="3"/>
  <c r="A62" i="3"/>
  <c r="G62" i="3"/>
  <c r="M62" i="3"/>
  <c r="F62" i="3"/>
  <c r="J62" i="3"/>
  <c r="I62" i="3"/>
  <c r="D62" i="3"/>
  <c r="B62" i="3"/>
  <c r="F227" i="3"/>
  <c r="J227" i="3"/>
  <c r="D227" i="3"/>
  <c r="I227" i="3"/>
  <c r="A227" i="3"/>
  <c r="H227" i="3"/>
  <c r="G227" i="3"/>
  <c r="M227" i="3"/>
  <c r="E227" i="3"/>
  <c r="B227" i="3"/>
  <c r="H65" i="3"/>
  <c r="B65" i="3"/>
  <c r="E65" i="3"/>
  <c r="D65" i="3"/>
  <c r="J65" i="3"/>
  <c r="M65" i="3"/>
  <c r="I65" i="3"/>
  <c r="F65" i="3"/>
  <c r="A65" i="3"/>
  <c r="G65" i="3"/>
  <c r="C155" i="3"/>
  <c r="C381" i="3"/>
  <c r="J143" i="3"/>
  <c r="D143" i="3"/>
  <c r="H143" i="3"/>
  <c r="A143" i="3"/>
  <c r="M143" i="3"/>
  <c r="F143" i="3"/>
  <c r="I143" i="3"/>
  <c r="G143" i="3"/>
  <c r="E143" i="3"/>
  <c r="B143" i="3"/>
  <c r="M108" i="3"/>
  <c r="G108" i="3"/>
  <c r="A108" i="3"/>
  <c r="H108" i="3"/>
  <c r="F108" i="3"/>
  <c r="E108" i="3"/>
  <c r="B108" i="3"/>
  <c r="J108" i="3"/>
  <c r="D108" i="3"/>
  <c r="I108" i="3"/>
  <c r="C188" i="3"/>
  <c r="H187" i="3"/>
  <c r="B187" i="3"/>
  <c r="E187" i="3"/>
  <c r="J187" i="3"/>
  <c r="I187" i="3"/>
  <c r="G187" i="3"/>
  <c r="F187" i="3"/>
  <c r="A187" i="3"/>
  <c r="M187" i="3"/>
  <c r="D187" i="3"/>
  <c r="C454" i="3"/>
  <c r="M232" i="3"/>
  <c r="G232" i="3"/>
  <c r="A232" i="3"/>
  <c r="E232" i="3"/>
  <c r="H232" i="3"/>
  <c r="F232" i="3"/>
  <c r="D232" i="3"/>
  <c r="B232" i="3"/>
  <c r="I232" i="3"/>
  <c r="J232" i="3"/>
  <c r="J217" i="3"/>
  <c r="D217" i="3"/>
  <c r="H217" i="3"/>
  <c r="B217" i="3"/>
  <c r="M217" i="3"/>
  <c r="E217" i="3"/>
  <c r="A217" i="3"/>
  <c r="I217" i="3"/>
  <c r="G217" i="3"/>
  <c r="F217" i="3"/>
  <c r="C220" i="3"/>
  <c r="M84" i="3"/>
  <c r="G84" i="3"/>
  <c r="A84" i="3"/>
  <c r="J84" i="3"/>
  <c r="I84" i="3"/>
  <c r="B84" i="3"/>
  <c r="H84" i="3"/>
  <c r="F84" i="3"/>
  <c r="E84" i="3"/>
  <c r="D84" i="3"/>
  <c r="H539" i="3" l="1"/>
  <c r="I540" i="3"/>
  <c r="J541" i="3"/>
  <c r="C12" i="3" s="1"/>
</calcChain>
</file>

<file path=xl/sharedStrings.xml><?xml version="1.0" encoding="utf-8"?>
<sst xmlns="http://schemas.openxmlformats.org/spreadsheetml/2006/main" count="18795" uniqueCount="7439">
  <si>
    <t>Шаблон сметы — РУЧНАЯ СБОРКА перечня (Excel 2019+)</t>
  </si>
  <si>
    <t>КАК РАБОТАТЬ</t>
  </si>
  <si>
    <t>1. Лист «Сборка» — пустой. Для каждой нужной работы заполни строку:</t>
  </si>
  <si>
    <t xml:space="preserve">   • Раздел — выбери Р1…Р12 из списка;</t>
  </si>
  <si>
    <t xml:space="preserve">   • Работа (Код — Наименование) — выбери из списка (в нём только работы этого раздела);</t>
  </si>
  <si>
    <t xml:space="preserve">   • Объём — впиши число;</t>
  </si>
  <si>
    <t xml:space="preserve">   • Материал / раздел документации — если работа с материалом, выбери из списка;</t>
  </si>
  <si>
    <t xml:space="preserve">     для строк «Рабочая/Исполнительная документация» (раздел 1) в этом же столбце выбирается</t>
  </si>
  <si>
    <t xml:space="preserve">     раздел проекта — цена подставится с листа «Документация».</t>
  </si>
  <si>
    <t xml:space="preserve">   Наименование, ед. изм. и цены подставляются сами. Порядок строк — любой.</t>
  </si>
  <si>
    <t>2. Лист «Смета» — готовый документ. После сборки встань на таблицу расшифровки и нажми</t>
  </si>
  <si>
    <t xml:space="preserve">   Ctrl+Alt+L (Данные → «Применить повторно»): останутся только строки с объёмом, разбитые</t>
  </si>
  <si>
    <t xml:space="preserve">   по разделам, с итогом внизу. Шапку сметы (объект, срок, реквизиты) заполни вручную.</t>
  </si>
  <si>
    <t>3. Цены — на жёлтых листах «Работы», «Материалы», «Документация». Меняешь цену — впиши</t>
  </si>
  <si>
    <t xml:space="preserve">   «Дата изм.» и «Кто изменил». Курсы USD/EUR и «Дисконт по тендеру» — в шапке листа «Смета».</t>
  </si>
  <si>
    <t>Справочники (Работы, Материалы, Документация, Группы) — те же, что в основном файле «Смета объекта».</t>
  </si>
  <si>
    <t>Ни Power Query, ни макросов, ни связей с другими файлами.</t>
  </si>
  <si>
    <t>Сформировано: 2026-09-01.  Работ в справочнике: 857.  Материалов: 1218.  Вариантов документации: 56.  Пустых строк «Сборки»: 500.</t>
  </si>
  <si>
    <t>Раздел</t>
  </si>
  <si>
    <t>Работа (Код — Наименование)</t>
  </si>
  <si>
    <t>_код</t>
  </si>
  <si>
    <t>Наименование работы</t>
  </si>
  <si>
    <t>Ед</t>
  </si>
  <si>
    <t>Группа_мат</t>
  </si>
  <si>
    <t>Объём</t>
  </si>
  <si>
    <t>Материал / раздел документации</t>
  </si>
  <si>
    <t>Наим. материала</t>
  </si>
  <si>
    <t>Цена работ, ₽</t>
  </si>
  <si>
    <t>Цена мат, ₽</t>
  </si>
  <si>
    <t>Стоим. работ, ₽</t>
  </si>
  <si>
    <t>Стоим. мат, ₽</t>
  </si>
  <si>
    <t>Всего, ₽</t>
  </si>
  <si>
    <t>_ранг</t>
  </si>
  <si>
    <t>_рзд</t>
  </si>
  <si>
    <t>_перв</t>
  </si>
  <si>
    <t>_строка</t>
  </si>
  <si>
    <t>_разд_имя</t>
  </si>
  <si>
    <t>СМЕТА</t>
  </si>
  <si>
    <t>Формат объекта:</t>
  </si>
  <si>
    <t>Адрес объекта:</t>
  </si>
  <si>
    <t>Площадь объекта (м.кв.):</t>
  </si>
  <si>
    <t>Срок проведения работ:</t>
  </si>
  <si>
    <t>ПОДРЯДЧИК:</t>
  </si>
  <si>
    <t>Юридический адрес:</t>
  </si>
  <si>
    <t>Электронный адрес:</t>
  </si>
  <si>
    <t>Контактное лицо (Ф.И.О.):</t>
  </si>
  <si>
    <t>Контактный телефон:</t>
  </si>
  <si>
    <t>Реквизиты:</t>
  </si>
  <si>
    <t>Сумма по смете, ₽:</t>
  </si>
  <si>
    <t>Цены на дату:</t>
  </si>
  <si>
    <t>Курс USD:</t>
  </si>
  <si>
    <t>Курс EUR:</t>
  </si>
  <si>
    <t>Дисконт по тендеру, доля:</t>
  </si>
  <si>
    <t>РАСШИФРОВКА РАБОТ И ЗАТРАТ.  После сборки перечня: встать на таблицу → Данные → «Применить повторно» (Ctrl+Alt+L). Перед отправкой фильтровать по «Кол-ву».</t>
  </si>
  <si>
    <t>№</t>
  </si>
  <si>
    <t>Код</t>
  </si>
  <si>
    <t>Наименование работ и затрат</t>
  </si>
  <si>
    <t>Ед. изм.</t>
  </si>
  <si>
    <t>Кол-во</t>
  </si>
  <si>
    <t>Цена ед. работ, ₽</t>
  </si>
  <si>
    <t>Цена ед. материалов/оборуд., ₽</t>
  </si>
  <si>
    <t>Стоимость работ, ₽</t>
  </si>
  <si>
    <t>Стоимость материалов/оборуд., ₽</t>
  </si>
  <si>
    <t>_w</t>
  </si>
  <si>
    <t>_hdr</t>
  </si>
  <si>
    <t>_показать</t>
  </si>
  <si>
    <t>Итого работы:</t>
  </si>
  <si>
    <t>показать</t>
  </si>
  <si>
    <t>Итого материалы и оборудование:</t>
  </si>
  <si>
    <t>ВСЕГО:</t>
  </si>
  <si>
    <t>Цены по справочнику. Накладные расходы, сметная прибыль и НДС не включены — определяются коммерческим предложением подрядчика.</t>
  </si>
  <si>
    <t>Составил: _______________________</t>
  </si>
  <si>
    <t>Проверил: _______________________</t>
  </si>
  <si>
    <t>Код_работы</t>
  </si>
  <si>
    <t>Наименование_работы</t>
  </si>
  <si>
    <t>Ед_изм</t>
  </si>
  <si>
    <t>Раздел_наимен</t>
  </si>
  <si>
    <t>Подраздел</t>
  </si>
  <si>
    <t>Группа_материалов</t>
  </si>
  <si>
    <t>Цена_работ_ЕР</t>
  </si>
  <si>
    <t>Вспом_материалы_%</t>
  </si>
  <si>
    <t>Тип</t>
  </si>
  <si>
    <t>Примечание</t>
  </si>
  <si>
    <t>Дата изм. цены</t>
  </si>
  <si>
    <t>Кто изменил / обоснование</t>
  </si>
  <si>
    <t>Код — Наименование (для списка)</t>
  </si>
  <si>
    <t>РАБ.Р1.1.001</t>
  </si>
  <si>
    <t>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 (для помещений от 100 до 45…</t>
  </si>
  <si>
    <t>м2</t>
  </si>
  <si>
    <t>Р1</t>
  </si>
  <si>
    <t>Проектные работы и согласования</t>
  </si>
  <si>
    <t>1</t>
  </si>
  <si>
    <t>нетиповая</t>
  </si>
  <si>
    <t>РАБ.Р1.1.001 — Техническое обследование состояния несущих конструкций помещения с подготовкой рекомендаций по усилению (Техничесекое заключение о конструктиве - "ТЗК") (для помещений от 100 до 45…</t>
  </si>
  <si>
    <t>РАБ.Р1.1.002</t>
  </si>
  <si>
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</si>
  <si>
    <t>РАБ.Р1.1.002 — 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</si>
  <si>
    <t>РАБ.Р1.1.901</t>
  </si>
  <si>
    <t>Рабочая документация (раздел проекта — выбрать в «Сборке»)</t>
  </si>
  <si>
    <t>—</t>
  </si>
  <si>
    <t>ДОК.РД</t>
  </si>
  <si>
    <t>РАБ.Р1.1.901 — Рабочая документация (раздел проекта — выбрать в «Сборке»)</t>
  </si>
  <si>
    <t>РАБ.Р1.1.961</t>
  </si>
  <si>
    <t>Исполнительная документация (раздел проекта — выбрать в «Сборке»)</t>
  </si>
  <si>
    <t>ДОК.ИД</t>
  </si>
  <si>
    <t>РАБ.Р1.1.961 — Исполнительная документация (раздел проекта — выбрать в «Сборке»)</t>
  </si>
  <si>
    <t>РАБ.Р1.1.021</t>
  </si>
  <si>
    <t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з…</t>
  </si>
  <si>
    <t>РАБ.Р1.1.021 — 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з…</t>
  </si>
  <si>
    <t>РАБ.Р1.1.022</t>
  </si>
  <si>
    <t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</si>
  <si>
    <t>кв.м.площади фасада</t>
  </si>
  <si>
    <t>РАБ.Р1.1.022 — 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фасадов…</t>
  </si>
  <si>
    <t>РАБ.Р1.1.061</t>
  </si>
  <si>
    <t>Стоимость согласования проекта перепланировки/реставрации объекта культурного наследия в соответствии с нормативными актами г.______________.</t>
  </si>
  <si>
    <t>типовая</t>
  </si>
  <si>
    <t>РАБ.Р1.1.061 — Стоимость согласования проекта перепланировки/реставрации объекта культурного наследия в соответствии с нормативными актами г.______________.</t>
  </si>
  <si>
    <t>РАБ.Р1.1.062</t>
  </si>
  <si>
    <t>Стоимость согласования проекта перепланировки/реконструкции объекта в соответствии с нормативными актами г.______________.</t>
  </si>
  <si>
    <t>РАБ.Р1.1.062 — Стоимость согласования проекта перепланировки/реконструкции объекта в соответствии с нормативными актами г.______________.</t>
  </si>
  <si>
    <t>РАБ.Р1.1.063</t>
  </si>
  <si>
    <t>Получение паспорта БТИ (в черных линиях)</t>
  </si>
  <si>
    <t>РАБ.Р1.1.063 — Получение паспорта БТИ (в черных линиях)</t>
  </si>
  <si>
    <t>РАБ.Р1.1.064</t>
  </si>
  <si>
    <t>Сертификация помещения для совершения операций с ценностями, хранение ценностей по (2) классу вломостойкости и (3) классу пулестойкости</t>
  </si>
  <si>
    <t>РАБ.Р1.1.064 — Сертификация помещения для совершения операций с ценностями, хранение ценностей по (2) классу вломостойкости и (3) классу пулестойкости</t>
  </si>
  <si>
    <t>РАБ.Р1.1.065</t>
  </si>
  <si>
    <t>Сертификация помещения для совершения операций с ценностями, хранение ценностей по 3 классу вломостойкости и 3 классу пулестойкости</t>
  </si>
  <si>
    <t>РАБ.Р1.1.065 — Сертификация помещения для совершения операций с ценностями, хранение ценностей по 3 классу вломостойкости и 3 классу пулестойкости</t>
  </si>
  <si>
    <t>РАБ.Р1.1.066</t>
  </si>
  <si>
    <t>Сертификация помещения для совершения операций с ценностями, хранение ценностей по (5) классу вломостойкости</t>
  </si>
  <si>
    <t>РАБ.Р1.1.066 — Сертификация помещения для совершения операций с ценностями, хранение ценностей по (5) классу вломостойкости</t>
  </si>
  <si>
    <t>РАБ.Р1.1.067</t>
  </si>
  <si>
    <t>Технический отчет электролаборатории для помещений более 100 м.кв.</t>
  </si>
  <si>
    <t>РАБ.Р1.1.067 — Технический отчет электролаборатории для помещений более 100 м.кв.</t>
  </si>
  <si>
    <t>РАБ.Р1.1.068</t>
  </si>
  <si>
    <t>Технический отчет электролаборатории для помещений менее 100 м.кв.</t>
  </si>
  <si>
    <t>компл.</t>
  </si>
  <si>
    <t>РАБ.Р1.1.068 — Технический отчет электролаборатории для помещений менее 100 м.кв.</t>
  </si>
  <si>
    <t>РАБ.Р1.1.069</t>
  </si>
  <si>
    <t>Стоимость согласования проекта изменения фасада согласно нормативных и законодательных актов г. ___________ и РФ.</t>
  </si>
  <si>
    <t>РАБ.Р1.1.069 — Стоимость согласования проекта изменения фасада согласно нормативных и законодательных актов г. ___________ и РФ.</t>
  </si>
  <si>
    <t>РАБ.Р1.1.070</t>
  </si>
  <si>
    <t>Разработка дизайн-проекта интерьера</t>
  </si>
  <si>
    <t>РАБ.Р1.1.070 — Разработка дизайн-проекта интерьера</t>
  </si>
  <si>
    <t>РАБ.Р1.1.071</t>
  </si>
  <si>
    <t>Экспертиза и согласование проекта ЭОМ в Ростехнадзоре</t>
  </si>
  <si>
    <t>РАБ.Р1.1.071 — Экспертиза и согласование проекта ЭОМ в Ростехнадзоре</t>
  </si>
  <si>
    <t>РАБ.Р1.1.072</t>
  </si>
  <si>
    <t>Проект системы водоотведения</t>
  </si>
  <si>
    <t>РАБ.Р1.1.072 — Проект системы водоотведения</t>
  </si>
  <si>
    <t>РАБ.Р1.1.073</t>
  </si>
  <si>
    <t>Рабочая документация Системы ливневой канализации</t>
  </si>
  <si>
    <t>РАБ.Р1.1.073 — Рабочая документация Системы ливневой канализации</t>
  </si>
  <si>
    <t>РАБ.Р1.1.074</t>
  </si>
  <si>
    <t>Получение Технических условий (при необходимости)</t>
  </si>
  <si>
    <t>РАБ.Р1.1.074 — Получение Технических условий (при необходимости)</t>
  </si>
  <si>
    <t>РАБ.Р1.1.075</t>
  </si>
  <si>
    <t>Расчет категории пожарной опасности помещений</t>
  </si>
  <si>
    <t>РАБ.Р1.1.075 — Расчет категории пожарной опасности помещений</t>
  </si>
  <si>
    <t>РАБ.Р1.1.076</t>
  </si>
  <si>
    <t>Рабочая документация Системы оповещения и управления эвакуацией в части световых указателей ("СОУЭ")</t>
  </si>
  <si>
    <t>РАБ.Р1.1.076 — Рабочая документация Системы оповещения и управления эвакуацией в части световых указателей ("СОУЭ")</t>
  </si>
  <si>
    <t>РАБ.Р1.1.077</t>
  </si>
  <si>
    <t>Согласование проекта Системы водоотведения и получения тех условий (при необходимости)</t>
  </si>
  <si>
    <t>РАБ.Р1.1.077 — Согласование проекта Системы водоотведения и получения тех условий (при необходимости)</t>
  </si>
  <si>
    <t>РАБ.Р1.1.078</t>
  </si>
  <si>
    <t>Испытание лестниц 3 типа с предоставлением актов</t>
  </si>
  <si>
    <t>РАБ.Р1.1.078 — Испытание лестниц 3 типа с предоставлением актов</t>
  </si>
  <si>
    <t>РАБ.Р1.1.079</t>
  </si>
  <si>
    <t>Испытания системы внутреннего противопожарного водопровода аккредитованной организацией (ВПВ и АУПТ).</t>
  </si>
  <si>
    <t>РАБ.Р1.1.079 — Испытания системы внутреннего противопожарного водопровода аккредитованной организацией (ВПВ и АУПТ).</t>
  </si>
  <si>
    <t>РАБ.Р1.1.080</t>
  </si>
  <si>
    <t>Мероприятия по обеспечению доступа инвалидов</t>
  </si>
  <si>
    <t>РАБ.Р1.1.080 — Мероприятия по обеспечению доступа инвалидов</t>
  </si>
  <si>
    <t>РАБ.Р1.1.081</t>
  </si>
  <si>
    <t>Расчет пожарного риска</t>
  </si>
  <si>
    <t>РАБ.Р1.1.081 — Расчет пожарного риска</t>
  </si>
  <si>
    <t>РАБ.Р1.1.082</t>
  </si>
  <si>
    <t>Подготовка и постановка на учет Независимой оценки пожарного риска (пожарный аудит), включая Расчет пожарного риска</t>
  </si>
  <si>
    <t>РАБ.Р1.1.082 — Подготовка и постановка на учет Независимой оценки пожарного риска (пожарный аудит), включая Расчет пожарного риска</t>
  </si>
  <si>
    <t>РАБ.Р1.1.083</t>
  </si>
  <si>
    <t>Разработка проекта огнезащиты</t>
  </si>
  <si>
    <t>шт.</t>
  </si>
  <si>
    <t>РАБ.Р1.1.083 — Разработка проекта огнезащиты</t>
  </si>
  <si>
    <t>РАБ.Р1.1.084</t>
  </si>
  <si>
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1000 м кв. металлоконструкций)</t>
  </si>
  <si>
    <t>РАБ.Р1.1.084 — 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1000 м кв. металлоконструкций)</t>
  </si>
  <si>
    <t>РАБ.Р1.1.085</t>
  </si>
  <si>
    <t>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1000 м кв. металлоконструкц…</t>
  </si>
  <si>
    <t>РАБ.Р1.1.085 — 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1000 м кв. металлоконструкц…</t>
  </si>
  <si>
    <t>РАБ.Р1.1.086</t>
  </si>
  <si>
    <t>Акустический расчет инженерных систем ОВиК (предоставление в Роспотребнадзор) электронный и бумажный вариант</t>
  </si>
  <si>
    <t>РАБ.Р1.1.086 — Акустический расчет инженерных систем ОВиК (предоставление в Роспотребнадзор) электронный и бумажный вариант</t>
  </si>
  <si>
    <t>РАБ.Р1.1.087</t>
  </si>
  <si>
    <t>Стоимость согласования проекта приспособления объекта культурного наследия в соответствии с нормативными актами Министерства культуры и КГИОП г._Санкт-Петербурга_. ( включая провед…</t>
  </si>
  <si>
    <t>РАБ.Р1.1.087 — Стоимость согласования проекта приспособления объекта культурного наследия в соответствии с нормативными актами Министерства культуры и КГИОП г._Санкт-Петербурга_. ( включая провед…</t>
  </si>
  <si>
    <t>РАБ.Р1.1.088</t>
  </si>
  <si>
    <t>Стоимость согласования проекта перепланировки/реконструкции объекта в соответствии с нормативными актами г. ______________</t>
  </si>
  <si>
    <t>кв.м.площади офиса</t>
  </si>
  <si>
    <t>РАБ.Р1.1.088 — Стоимость согласования проекта перепланировки/реконструкции объекта в соответствии с нормативными актами г. ______________</t>
  </si>
  <si>
    <t>РАБ.Р1.1.089</t>
  </si>
  <si>
    <t>РАБ.Р1.1.089 — Получение паспорта БТИ (в черных линиях)</t>
  </si>
  <si>
    <t>РАБ.Р1.1.090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</si>
  <si>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</si>
  <si>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РАБ.Р1.1.090 — Ведение авторского надзора в период проведения РСР по приспособлению объекта культурного наследия( в соответствии с условиями ТЗ)</t>
  </si>
  <si>
    <t>РАБ.Р1.1.091</t>
  </si>
  <si>
    <t>Подготовка и сдача в _______научного отчета</t>
  </si>
  <si>
    <t>РАБ.Р1.1.091 — Подготовка и сдача в _______научного отчета</t>
  </si>
  <si>
    <t>РАБ.Р1.1.092</t>
  </si>
  <si>
    <t>Сопровождение проектной документации в МВК, ОГПН МЧС, ФГУЗ «ЦГиЭ», КГИОП и прочих при необходимости. Ввод объекта в эксплуатацию в КГИОП И МВК</t>
  </si>
  <si>
    <t>РАБ.Р1.1.092 — Сопровождение проектной документации в МВК, ОГПН МЧС, ФГУЗ «ЦГиЭ», КГИОП и прочих при необходимости. Ввод объекта в эксплуатацию в КГИОП И МВК</t>
  </si>
  <si>
    <t>РАБ.Р2.1.001</t>
  </si>
  <si>
    <t>Демонтаж подвесных потолков типа "Армстронг"</t>
  </si>
  <si>
    <t>Р2</t>
  </si>
  <si>
    <t>Демонтажные работы</t>
  </si>
  <si>
    <t>РАБ.Р2.1.001 — Демонтаж подвесных потолков типа "Армстронг"</t>
  </si>
  <si>
    <t>РАБ.Р2.1.002</t>
  </si>
  <si>
    <t>Демонтаж подвесных потолков "Армстронг" с сохранением</t>
  </si>
  <si>
    <t>РАБ.Р2.1.002 — Демонтаж подвесных потолков "Армстронг" с сохранением</t>
  </si>
  <si>
    <t>РАБ.Р2.1.003</t>
  </si>
  <si>
    <t>Демонтаж одноуровневых потолков из ГКЛ</t>
  </si>
  <si>
    <t>РАБ.Р2.1.003 — Демонтаж одноуровневых потолков из ГКЛ</t>
  </si>
  <si>
    <t>РАБ.Р2.1.004</t>
  </si>
  <si>
    <t>Демонтаж двухуровневых потолков из ГКЛ</t>
  </si>
  <si>
    <t>РАБ.Р2.1.004 — Демонтаж двухуровневых потолков из ГКЛ</t>
  </si>
  <si>
    <t>РАБ.Р2.1.005</t>
  </si>
  <si>
    <t>Демонтаж реечного потолка</t>
  </si>
  <si>
    <t>РАБ.Р2.1.005 — Демонтаж реечного потолка</t>
  </si>
  <si>
    <t>РАБ.Р2.1.006</t>
  </si>
  <si>
    <t>Демонтаж плитки потолочной из экструдированного полистирола.</t>
  </si>
  <si>
    <t>РАБ.Р2.1.006 — Демонтаж плитки потолочной из экструдированного полистирола.</t>
  </si>
  <si>
    <t>РАБ.Р2.1.007</t>
  </si>
  <si>
    <t>Демонтаж потолков из ПВХ вагонки</t>
  </si>
  <si>
    <t>РАБ.Р2.1.007 — Демонтаж потолков из ПВХ вагонки</t>
  </si>
  <si>
    <t>РАБ.Р2.1.008</t>
  </si>
  <si>
    <t>Демонтаж утеплителя потолков из минераловатных плит</t>
  </si>
  <si>
    <t>м3</t>
  </si>
  <si>
    <t>РАБ.Р2.1.008 — Демонтаж утеплителя потолков из минераловатных плит</t>
  </si>
  <si>
    <t>РАБ.Р2.1.009</t>
  </si>
  <si>
    <t>Демонтаж потолочного плинтуса, карниза, элементов декора.</t>
  </si>
  <si>
    <t>м.п.</t>
  </si>
  <si>
    <t>РАБ.Р2.1.009 — Демонтаж потолочного плинтуса, карниза, элементов декора.</t>
  </si>
  <si>
    <t>РАБ.Р2.1.010</t>
  </si>
  <si>
    <t>Демонтаж потолочного плинтуса, карниза, элементов декора с сохранением.</t>
  </si>
  <si>
    <t>РАБ.Р2.1.010 — Демонтаж потолочного плинтуса, карниза, элементов декора с сохранением.</t>
  </si>
  <si>
    <t>РАБ.Р2.1.011</t>
  </si>
  <si>
    <t>Демонтаж натяжных потолков</t>
  </si>
  <si>
    <t>РАБ.Р2.1.011 — Демонтаж натяжных потолков</t>
  </si>
  <si>
    <t>РАБ.Р2.1.012</t>
  </si>
  <si>
    <t>Демонтаж щтукатурки потолка толщиной до 50 мм.</t>
  </si>
  <si>
    <t>РАБ.Р2.1.012 — Демонтаж щтукатурки потолка толщиной до 50 мм.</t>
  </si>
  <si>
    <t>РАБ.Р2.2.001</t>
  </si>
  <si>
    <t>Демонтаж цементно-песчаной стяжки толщиной до 50 мм</t>
  </si>
  <si>
    <t>2</t>
  </si>
  <si>
    <t>РАБ.Р2.2.001 — Демонтаж цементно-песчаной стяжки толщиной до 50 мм</t>
  </si>
  <si>
    <t>РАБ.Р2.2.002</t>
  </si>
  <si>
    <t>Демонтаж цементно-песчаной стяжки толщиной до 100 мм</t>
  </si>
  <si>
    <t>РАБ.Р2.2.002 — Демонтаж цементно-песчаной стяжки толщиной до 100 мм</t>
  </si>
  <si>
    <t>РАБ.Р2.2.003</t>
  </si>
  <si>
    <t>Демонтаж цементно-песчаной стяжки армированной толщиной до 50 мм</t>
  </si>
  <si>
    <t>РАБ.Р2.2.003 — Демонтаж цементно-песчаной стяжки армированной толщиной до 50 мм</t>
  </si>
  <si>
    <t>РАБ.Р2.2.004</t>
  </si>
  <si>
    <t>Демонтаж цементно-песчаной стяжки армированной толщиной до 100 мм</t>
  </si>
  <si>
    <t>РАБ.Р2.2.004 — Демонтаж цементно-песчаной стяжки армированной толщиной до 100 мм</t>
  </si>
  <si>
    <t>РАБ.Р2.2.005</t>
  </si>
  <si>
    <t>Демонтаж полов из гранитных и мраморных плит толщиной 30 мм</t>
  </si>
  <si>
    <t>РАБ.Р2.2.005 — Демонтаж полов из гранитных и мраморных плит толщиной 30 мм</t>
  </si>
  <si>
    <t>РАБ.Р2.2.006</t>
  </si>
  <si>
    <t>Демонтаж покрытия полов из керамогранита и кераимческих плиток</t>
  </si>
  <si>
    <t>РАБ.Р2.2.006 — Демонтаж покрытия полов из керамогранита и кераимческих плиток</t>
  </si>
  <si>
    <t>РАБ.Р2.2.007</t>
  </si>
  <si>
    <t>Расшивка швов поверхности пола из плитки керамической</t>
  </si>
  <si>
    <t>РАБ.Р2.2.007 — Расшивка швов поверхности пола из плитки керамической</t>
  </si>
  <si>
    <t>РАБ.Р2.2.008</t>
  </si>
  <si>
    <t>Демонтаж покрытия полов: из линолеума, ковролина</t>
  </si>
  <si>
    <t>РАБ.Р2.2.008 — Демонтаж покрытия полов: из линолеума, ковролина</t>
  </si>
  <si>
    <t>РАБ.Р2.2.009</t>
  </si>
  <si>
    <t>Демонтаж покрытия полов: из паркетной доски (ламината)</t>
  </si>
  <si>
    <t>РАБ.Р2.2.009 — Демонтаж покрытия полов: из паркетной доски (ламината)</t>
  </si>
  <si>
    <t>РАБ.Р2.2.010</t>
  </si>
  <si>
    <t>Демонтаж фальшпола</t>
  </si>
  <si>
    <t>РАБ.Р2.2.010 — Демонтаж фальшпола</t>
  </si>
  <si>
    <t>РАБ.Р2.2.011</t>
  </si>
  <si>
    <t>Демонтаж деревянных полов на деревянных лагах</t>
  </si>
  <si>
    <t>РАБ.Р2.2.011 — Демонтаж деревянных полов на деревянных лагах</t>
  </si>
  <si>
    <t>РАБ.Р2.2.012</t>
  </si>
  <si>
    <t>Демонтаж плинтусов: из керамической плитки</t>
  </si>
  <si>
    <t>РАБ.Р2.2.012 — Демонтаж плинтусов: из керамической плитки</t>
  </si>
  <si>
    <t>РАБ.Р2.2.013</t>
  </si>
  <si>
    <t>Демонтаж плинтусов: деревянных, пвх</t>
  </si>
  <si>
    <t>РАБ.Р2.2.013 — Демонтаж плинтусов: деревянных, пвх</t>
  </si>
  <si>
    <t>РАБ.Р2.2.014</t>
  </si>
  <si>
    <t>Демонтаж ЖБ плит перекрытия.</t>
  </si>
  <si>
    <t>РАБ.Р2.2.014 — Демонтаж ЖБ плит перекрытия.</t>
  </si>
  <si>
    <t>РАБ.Р2.2.015</t>
  </si>
  <si>
    <t>Демонтаж деревянных балок перекрытия</t>
  </si>
  <si>
    <t>РАБ.Р2.2.015 — Демонтаж деревянных балок перекрытия</t>
  </si>
  <si>
    <t>РАБ.Р2.2.016</t>
  </si>
  <si>
    <t>Демонтаж плиточного клея</t>
  </si>
  <si>
    <t>РАБ.Р2.2.016 — Демонтаж плиточного клея</t>
  </si>
  <si>
    <t>РАБ.Р2.3.001</t>
  </si>
  <si>
    <t>Демонтаж кирпичных перегородок (в 1/2 кирпича)</t>
  </si>
  <si>
    <t>3</t>
  </si>
  <si>
    <t>РАБ.Р2.3.001 — Демонтаж кирпичных перегородок (в 1/2 кирпича)</t>
  </si>
  <si>
    <t>РАБ.Р2.3.002</t>
  </si>
  <si>
    <t>Демонтаж кирпичных перегородок (в 1/2 кирпича) с армированием ( d16 яч. 150Х150)</t>
  </si>
  <si>
    <t>РАБ.Р2.3.002 — Демонтаж кирпичных перегородок (в 1/2 кирпича) с армированием ( d16 яч. 150Х150)</t>
  </si>
  <si>
    <t>РАБ.Р2.3.003</t>
  </si>
  <si>
    <t>Демонтаж кирпичных стен</t>
  </si>
  <si>
    <t>РАБ.Р2.3.003 — Демонтаж кирпичных стен</t>
  </si>
  <si>
    <t>РАБ.Р2.3.004</t>
  </si>
  <si>
    <t>Демонтаж стен из пенобетонных блоков</t>
  </si>
  <si>
    <t>РАБ.Р2.3.004 — Демонтаж стен из пенобетонных блоков</t>
  </si>
  <si>
    <t>РАБ.Р2.3.005</t>
  </si>
  <si>
    <t>Демонтаж утеплителя стен из минераловатных плит</t>
  </si>
  <si>
    <t>РАБ.Р2.3.005 — Демонтаж утеплителя стен из минераловатных плит</t>
  </si>
  <si>
    <t>РАБ.Р2.3.006</t>
  </si>
  <si>
    <t>Демонтаж утеплителя стен из пенополистирола</t>
  </si>
  <si>
    <t>РАБ.Р2.3.006 — Демонтаж утеплителя стен из пенополистирола</t>
  </si>
  <si>
    <t>РАБ.Р2.3.007</t>
  </si>
  <si>
    <t>Демонтаж облицовки стен листами ГКЛ по металлическому каркасу</t>
  </si>
  <si>
    <t>РАБ.Р2.3.007 — Демонтаж облицовки стен листами ГКЛ по металлическому каркасу</t>
  </si>
  <si>
    <t>РАБ.Р2.3.008</t>
  </si>
  <si>
    <t>Демонтаж облицовки стен из МДФ панелей</t>
  </si>
  <si>
    <t>РАБ.Р2.3.008 — Демонтаж облицовки стен из МДФ панелей</t>
  </si>
  <si>
    <t>РАБ.Р2.3.009</t>
  </si>
  <si>
    <t>Демонтаж каркасных деревянных перегородок с облицовкой панелями МДФ</t>
  </si>
  <si>
    <t>РАБ.Р2.3.009 — Демонтаж каркасных деревянных перегородок с облицовкой панелями МДФ</t>
  </si>
  <si>
    <t>РАБ.Р2.3.010</t>
  </si>
  <si>
    <t>Демонтаж перегородок по металлическому каркасу с облицовкой панелями МДФ</t>
  </si>
  <si>
    <t>РАБ.Р2.3.010 — Демонтаж перегородок по металлическому каркасу с облицовкой панелями МДФ</t>
  </si>
  <si>
    <t>РАБ.Р2.3.011</t>
  </si>
  <si>
    <t>Отбивка штукатурки стен толщиной до 30 мм</t>
  </si>
  <si>
    <t>РАБ.Р2.3.011 — Отбивка штукатурки стен толщиной до 30 мм</t>
  </si>
  <si>
    <t>РАБ.Р2.3.012</t>
  </si>
  <si>
    <t>Снятие обоев</t>
  </si>
  <si>
    <t>РАБ.Р2.3.012 — Снятие обоев</t>
  </si>
  <si>
    <t>РАБ.Р2.3.013</t>
  </si>
  <si>
    <t>Демонтаж облицовки стен из плитки керамической, мрамора.</t>
  </si>
  <si>
    <t>РАБ.Р2.3.013 — Демонтаж облицовки стен из плитки керамической, мрамора.</t>
  </si>
  <si>
    <t>РАБ.Р2.3.014</t>
  </si>
  <si>
    <t>Демонтаж стеклянных перегородок</t>
  </si>
  <si>
    <t>РАБ.Р2.3.014 — Демонтаж стеклянных перегородок</t>
  </si>
  <si>
    <t>РАБ.Р2.3.015</t>
  </si>
  <si>
    <t>Демонтаж бронепанелей</t>
  </si>
  <si>
    <t>РАБ.Р2.3.015 — Демонтаж бронепанелей</t>
  </si>
  <si>
    <t>РАБ.Р2.3.016</t>
  </si>
  <si>
    <t>Демонтаж обшивки стен мебельными панелями</t>
  </si>
  <si>
    <t>РАБ.Р2.3.016 — Демонтаж обшивки стен мебельными панелями</t>
  </si>
  <si>
    <t>РАБ.Р2.3.017</t>
  </si>
  <si>
    <t>Разборка перегородок из ГКЛ по металлическому каркасу</t>
  </si>
  <si>
    <t>РАБ.Р2.3.017 — Разборка перегородок из ГКЛ по металлическому каркасу</t>
  </si>
  <si>
    <t>РАБ.Р2.4.001</t>
  </si>
  <si>
    <t>Демонтаж дверных блоков деревянных (межкомнатные)</t>
  </si>
  <si>
    <t>4</t>
  </si>
  <si>
    <t>РАБ.Р2.4.001 — Демонтаж дверных блоков деревянных (межкомнатные)</t>
  </si>
  <si>
    <t>РАБ.Р2.4.002</t>
  </si>
  <si>
    <t>Демонтаж дверных блоков из ПВХ профиля</t>
  </si>
  <si>
    <t>РАБ.Р2.4.002 — Демонтаж дверных блоков из ПВХ профиля</t>
  </si>
  <si>
    <t>РАБ.Р2.4.003</t>
  </si>
  <si>
    <t>Демонтаж дверных блоков металлических</t>
  </si>
  <si>
    <t>РАБ.Р2.4.003 — Демонтаж дверных блоков металлических</t>
  </si>
  <si>
    <t>РАБ.Р2.4.004</t>
  </si>
  <si>
    <t>Демонтаж дверных блоков (стеклопакет в алюминиевой обвязке)</t>
  </si>
  <si>
    <t>РАБ.Р2.4.004 — Демонтаж дверных блоков (стеклопакет в алюминиевой обвязке)</t>
  </si>
  <si>
    <t>РАБ.Р2.4.005</t>
  </si>
  <si>
    <t>Демонтаж дверных блоков бронированных</t>
  </si>
  <si>
    <t>РАБ.Р2.4.005 — Демонтаж дверных блоков бронированных</t>
  </si>
  <si>
    <t>РАБ.Р2.4.006</t>
  </si>
  <si>
    <t>Демонтаж решетчатой двери (распашные, гармошка).</t>
  </si>
  <si>
    <t>РАБ.Р2.4.006 — Демонтаж решетчатой двери (распашные, гармошка).</t>
  </si>
  <si>
    <t>РАБ.Р2.4.007</t>
  </si>
  <si>
    <t>Демонтаж дверей гаражных</t>
  </si>
  <si>
    <t>РАБ.Р2.4.007 — Демонтаж дверей гаражных</t>
  </si>
  <si>
    <t>РАБ.Р2.4.008</t>
  </si>
  <si>
    <t>Демонтаж рольставни</t>
  </si>
  <si>
    <t>РАБ.Р2.4.008 — Демонтаж рольставни</t>
  </si>
  <si>
    <t>РАБ.Р2.5.001</t>
  </si>
  <si>
    <t>Демонтаж деревянных оконных блоков</t>
  </si>
  <si>
    <t>5</t>
  </si>
  <si>
    <t>РАБ.Р2.5.001 — Демонтаж деревянных оконных блоков</t>
  </si>
  <si>
    <t>РАБ.Р2.5.002</t>
  </si>
  <si>
    <t>Демонтаж бронеокон</t>
  </si>
  <si>
    <t>РАБ.Р2.5.002 — Демонтаж бронеокон</t>
  </si>
  <si>
    <t>РАБ.Р2.5.003</t>
  </si>
  <si>
    <t>Демонтаж подоконных досок деревянных</t>
  </si>
  <si>
    <t>РАБ.Р2.5.003 — Демонтаж подоконных досок деревянных</t>
  </si>
  <si>
    <t>РАБ.Р2.5.004</t>
  </si>
  <si>
    <t>Демонтаж подоконных досок бетонных</t>
  </si>
  <si>
    <t>РАБ.Р2.5.004 — Демонтаж подоконных досок бетонных</t>
  </si>
  <si>
    <t>РАБ.Р2.5.005</t>
  </si>
  <si>
    <t>Демонтаж отливов из оцинкованной стали</t>
  </si>
  <si>
    <t>РАБ.Р2.5.005 — Демонтаж отливов из оцинкованной стали</t>
  </si>
  <si>
    <t>РАБ.Р2.5.006</t>
  </si>
  <si>
    <t>Демонтаж откосов ПВХ</t>
  </si>
  <si>
    <t>РАБ.Р2.5.006 — Демонтаж откосов ПВХ</t>
  </si>
  <si>
    <t>РАБ.Р2.6.001</t>
  </si>
  <si>
    <t>Демонтаж рулонной кровли из оклеечных изоляционных материалов в два слоя</t>
  </si>
  <si>
    <t>6</t>
  </si>
  <si>
    <t>РАБ.Р2.6.001 — Демонтаж рулонной кровли из оклеечных изоляционных материалов в два слоя</t>
  </si>
  <si>
    <t>РАБ.Р2.6.002</t>
  </si>
  <si>
    <t>Демонтаж покрытия кровли из профлиста, металлочерепицы, андулина, металла.</t>
  </si>
  <si>
    <t>РАБ.Р2.6.002 — Демонтаж покрытия кровли из профлиста, металлочерепицы, андулина, металла.</t>
  </si>
  <si>
    <t>РАБ.Р2.6.003</t>
  </si>
  <si>
    <t>Демонтаж стропильной части кровли включая обрешетку</t>
  </si>
  <si>
    <t>РАБ.Р2.6.003 — Демонтаж стропильной части кровли включая обрешетку</t>
  </si>
  <si>
    <t>РАБ.Р2.6.004</t>
  </si>
  <si>
    <t>Демонтаж утеплителя кровли</t>
  </si>
  <si>
    <t>РАБ.Р2.6.004 — Демонтаж утеплителя кровли</t>
  </si>
  <si>
    <t>РАБ.Р2.6.005</t>
  </si>
  <si>
    <t>Демонтаж отливов, водостоков.</t>
  </si>
  <si>
    <t>РАБ.Р2.6.005 — Демонтаж отливов, водостоков.</t>
  </si>
  <si>
    <t>РАБ.Р2.7.001</t>
  </si>
  <si>
    <t>Разборка тротуарной плитки</t>
  </si>
  <si>
    <t>7</t>
  </si>
  <si>
    <t>РАБ.Р2.7.001 — Разборка тротуарной плитки</t>
  </si>
  <si>
    <t>РАБ.Р2.7.002</t>
  </si>
  <si>
    <t>Разборка асфальтового покрытия</t>
  </si>
  <si>
    <t>РАБ.Р2.7.002 — Разборка асфальтового покрытия</t>
  </si>
  <si>
    <t>РАБ.Р2.7.003</t>
  </si>
  <si>
    <t>Разборка бетонированного покрытия</t>
  </si>
  <si>
    <t>РАБ.Р2.7.003 — Разборка бетонированного покрытия</t>
  </si>
  <si>
    <t>РАБ.Р2.7.004</t>
  </si>
  <si>
    <t>Выемка грунта</t>
  </si>
  <si>
    <t>РАБ.Р2.7.004 — Выемка грунта</t>
  </si>
  <si>
    <t>РАБ.Р2.7.005</t>
  </si>
  <si>
    <t>Демонтаж бордюрного, тротуарного,дорожного камня.</t>
  </si>
  <si>
    <t>РАБ.Р2.7.005 — Демонтаж бордюрного, тротуарного,дорожного камня.</t>
  </si>
  <si>
    <t>РАБ.Р2.7.006</t>
  </si>
  <si>
    <t>Демонтаж перил ограждения</t>
  </si>
  <si>
    <t>РАБ.Р2.7.006 — Демонтаж перил ограждения</t>
  </si>
  <si>
    <t>РАБ.Р2.7.007</t>
  </si>
  <si>
    <t>Демонтаж козырьков</t>
  </si>
  <si>
    <t>РАБ.Р2.7.007 — Демонтаж козырьков</t>
  </si>
  <si>
    <t>РАБ.Р2.7.008</t>
  </si>
  <si>
    <t>Демонтаж облицовки цоколя, фасада (плитка керамическая, камень натуральный)</t>
  </si>
  <si>
    <t>РАБ.Р2.7.008 — Демонтаж облицовки цоколя, фасада (плитка керамическая, камень натуральный)</t>
  </si>
  <si>
    <t>РАБ.Р2.7.009</t>
  </si>
  <si>
    <t>Демонтаж штукатурки фасада</t>
  </si>
  <si>
    <t>РАБ.Р2.7.009 — Демонтаж штукатурки фасада</t>
  </si>
  <si>
    <t>РАБ.Р2.7.010</t>
  </si>
  <si>
    <t>Расшивка швов поверхности фасада</t>
  </si>
  <si>
    <t>РАБ.Р2.7.010 — Расшивка швов поверхности фасада</t>
  </si>
  <si>
    <t>РАБ.Р2.7.011</t>
  </si>
  <si>
    <t>Демонтаж фасада из композитных панелей "Алюкобонд" с подсистемой, навесных фасадов (металл, керамогранит)</t>
  </si>
  <si>
    <t>РАБ.Р2.7.011 — Демонтаж фасада из композитных панелей "Алюкобонд" с подсистемой, навесных фасадов (металл, керамогранит)</t>
  </si>
  <si>
    <t>РАБ.Р2.7.012</t>
  </si>
  <si>
    <t>Демонтаж информационной, рекламной конструкции на фасаде здания</t>
  </si>
  <si>
    <t>РАБ.Р2.7.012 — Демонтаж информационной, рекламной конструкции на фасаде здания</t>
  </si>
  <si>
    <t>РАБ.Р2.7.013</t>
  </si>
  <si>
    <t>Демонтаж ограждающих конструкций из профлиста</t>
  </si>
  <si>
    <t>РАБ.Р2.7.013 — Демонтаж ограждающих конструкций из профлиста</t>
  </si>
  <si>
    <t>РАБ.Р2.7.014</t>
  </si>
  <si>
    <t>Демонтаж сварных металлических конструкций</t>
  </si>
  <si>
    <t>тн.</t>
  </si>
  <si>
    <t>РАБ.Р2.7.014 — Демонтаж сварных металлических конструкций</t>
  </si>
  <si>
    <t>РАБ.Р2.8.001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</si>
  <si>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речев…</t>
  </si>
  <si>
    <t>8</t>
  </si>
  <si>
    <t>РАБ.Р2.8.001 — 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речев…</t>
  </si>
  <si>
    <t>РАБ.Р2.8.002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</si>
  <si>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</si>
  <si>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РАБ.Р2.8.002 — 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</si>
  <si>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РАБ.Р2.8.003</t>
  </si>
  <si>
    <t>Демонтаж выключателей, розеток</t>
  </si>
  <si>
    <t>РАБ.Р2.8.003 — Демонтаж выключателей, розеток</t>
  </si>
  <si>
    <t>РАБ.Р2.8.004</t>
  </si>
  <si>
    <t>Демонтаж светильников</t>
  </si>
  <si>
    <t>РАБ.Р2.8.004 — Демонтаж светильников</t>
  </si>
  <si>
    <t>РАБ.Р2.8.005</t>
  </si>
  <si>
    <t>Демонтаж электрощитов распределительных</t>
  </si>
  <si>
    <t>РАБ.Р2.8.005 — Демонтаж электрощитов распределительных</t>
  </si>
  <si>
    <t>РАБ.Р2.8.006</t>
  </si>
  <si>
    <t>Демонтаж щитов ВРУ</t>
  </si>
  <si>
    <t>РАБ.Р2.8.006 — Демонтаж щитов ВРУ</t>
  </si>
  <si>
    <t>РАБ.Р2.8.007</t>
  </si>
  <si>
    <t>Демонтаж вводных кабелей высоковольтных</t>
  </si>
  <si>
    <t>РАБ.Р2.8.007 — Демонтаж вводных кабелей высоковольтных</t>
  </si>
  <si>
    <t>РАБ.Р2.8.008</t>
  </si>
  <si>
    <t>Демонтаж светильников с сохранением</t>
  </si>
  <si>
    <t>РАБ.Р2.8.008 — Демонтаж светильников с сохранением</t>
  </si>
  <si>
    <t>РАБ.Р2.8.009</t>
  </si>
  <si>
    <t>Демонтаж кабель канала</t>
  </si>
  <si>
    <t>РАБ.Р2.8.009 — Демонтаж кабель канала</t>
  </si>
  <si>
    <t>РАБ.Р2.9.001</t>
  </si>
  <si>
    <t>Демонтаж воздуховодов системы вентиляциии и охлаждения воздуха</t>
  </si>
  <si>
    <t>9</t>
  </si>
  <si>
    <t>РАБ.Р2.9.001 — Демонтаж воздуховодов системы вентиляциии и охлаждения воздуха</t>
  </si>
  <si>
    <t>РАБ.Р2.9.002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</si>
  <si>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</si>
  <si>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РАБ.Р2.9.002 — Демонтаж кондиционера (сплит система, внешний и внутренний блоки с трассами фреонопровода и межблочными кабельными линиями)</t>
  </si>
  <si>
    <t>РАБ.Р2.9.003</t>
  </si>
  <si>
    <t>Демонтаж кондиционера (сплит система, внешний и внутренний блоки) с сохранением</t>
  </si>
  <si>
    <t>РАБ.Р2.9.003 — Демонтаж кондиционера (сплит система, внешний и внутренний блоки) с сохранением</t>
  </si>
  <si>
    <t>РАБ.Р2.9.004</t>
  </si>
  <si>
    <t>Демонтаж вент машин</t>
  </si>
  <si>
    <t>РАБ.Р2.9.004 — Демонтаж вент машин</t>
  </si>
  <si>
    <t>РАБ.Р2.9.005</t>
  </si>
  <si>
    <t>Демонтаж вент машин с сохранением</t>
  </si>
  <si>
    <t>РАБ.Р2.9.005 — Демонтаж вент машин с сохранением</t>
  </si>
  <si>
    <t>РАБ.Р2.10.001</t>
  </si>
  <si>
    <t>Демонтаж унитаза</t>
  </si>
  <si>
    <t>10</t>
  </si>
  <si>
    <t>РАБ.Р2.10.001 — Демонтаж унитаза</t>
  </si>
  <si>
    <t>РАБ.Р2.10.002</t>
  </si>
  <si>
    <t>Демонтаж раковины</t>
  </si>
  <si>
    <t>РАБ.Р2.10.002 — Демонтаж раковины</t>
  </si>
  <si>
    <t>РАБ.Р2.10.003</t>
  </si>
  <si>
    <t>Демонтаж смесителя</t>
  </si>
  <si>
    <t>РАБ.Р2.10.003 — Демонтаж смесителя</t>
  </si>
  <si>
    <t>РАБ.Р2.10.004</t>
  </si>
  <si>
    <t>Демонтаж ванн, душевых кабин.</t>
  </si>
  <si>
    <t>РАБ.Р2.10.004 — Демонтаж ванн, душевых кабин.</t>
  </si>
  <si>
    <t>РАБ.Р2.10.005</t>
  </si>
  <si>
    <t>Демонтаж радиаторов отопления с запорной арматурой</t>
  </si>
  <si>
    <t>РАБ.Р2.10.005 — Демонтаж радиаторов отопления с запорной арматурой</t>
  </si>
  <si>
    <t>РАБ.Р2.10.006</t>
  </si>
  <si>
    <t>Демонтаж труб системы отопления</t>
  </si>
  <si>
    <t>РАБ.Р2.10.006 — Демонтаж труб системы отопления</t>
  </si>
  <si>
    <t>РАБ.Р2.10.007</t>
  </si>
  <si>
    <t>Демонтаж труб водоснабжения и канализации диаметром до 50 мм</t>
  </si>
  <si>
    <t>РАБ.Р2.10.007 — Демонтаж труб водоснабжения и канализации диаметром до 50 мм</t>
  </si>
  <si>
    <t>РАБ.Р2.10.008</t>
  </si>
  <si>
    <t>Демонтаж труб канализации и водоснабжения диаметром до 110 мм</t>
  </si>
  <si>
    <t>РАБ.Р2.10.008 — Демонтаж труб канализации и водоснабжения диаметром до 110 мм</t>
  </si>
  <si>
    <t>РАБ.Р2.10.009</t>
  </si>
  <si>
    <t>Демонтаж запорной арматуры белее 50 мм</t>
  </si>
  <si>
    <t>РАБ.Р2.10.009 — Демонтаж запорной арматуры белее 50 мм</t>
  </si>
  <si>
    <t>РАБ.Р2.10.010</t>
  </si>
  <si>
    <t>Демонтаж запорной арматуры диаметром до 50 мм</t>
  </si>
  <si>
    <t>РАБ.Р2.10.010 — Демонтаж запорной арматуры диаметром до 50 мм</t>
  </si>
  <si>
    <t>РАБ.Р2.10.011</t>
  </si>
  <si>
    <t>Демонтаж циркуляционных насосов</t>
  </si>
  <si>
    <t>РАБ.Р2.10.011 — Демонтаж циркуляционных насосов</t>
  </si>
  <si>
    <t>РАБ.Р2.10.012</t>
  </si>
  <si>
    <t>Демонтаж регистров отопления</t>
  </si>
  <si>
    <t>РАБ.Р2.10.012 — Демонтаж регистров отопления</t>
  </si>
  <si>
    <t>РАБ.Р2.10.013</t>
  </si>
  <si>
    <t>Демонтаж панельного радиатора</t>
  </si>
  <si>
    <t>РАБ.Р2.10.013 — Демонтаж панельного радиатора</t>
  </si>
  <si>
    <t>РАБ.Р2.11.001</t>
  </si>
  <si>
    <t>Вывоз мусора (бункер 5т - 8м3)</t>
  </si>
  <si>
    <t>11</t>
  </si>
  <si>
    <t>РАБ.Р2.11.001 — Вывоз мусора (бункер 5т - 8м3)</t>
  </si>
  <si>
    <t>РАБ.Р2.11.002</t>
  </si>
  <si>
    <t>Вывоз мусора (бункер 27 м3)</t>
  </si>
  <si>
    <t>РАБ.Р2.11.002 — Вывоз мусора (бункер 27 м3)</t>
  </si>
  <si>
    <t>РАБ.Р2.11.003</t>
  </si>
  <si>
    <t>Вывоз мусора (бункер 24 м3)</t>
  </si>
  <si>
    <t>РАБ.Р2.11.003 — Вывоз мусора (бункер 24 м3)</t>
  </si>
  <si>
    <t>РАБ.Р2.11.004</t>
  </si>
  <si>
    <t>Вывоз мусора (бункер 20 м3)</t>
  </si>
  <si>
    <t>РАБ.Р2.11.004 — Вывоз мусора (бункер 20 м3)</t>
  </si>
  <si>
    <t>РАБ.Р2.11.005</t>
  </si>
  <si>
    <t>Перемещение вручную строительных материалов, мусора на расстоянии свыше 50 м от объекта</t>
  </si>
  <si>
    <t>РАБ.Р2.11.005 — Перемещение вручную строительных материалов, мусора на расстоянии свыше 50 м от объекта</t>
  </si>
  <si>
    <t>РАБ.Р2.11.006</t>
  </si>
  <si>
    <t>Уборка послестроительная</t>
  </si>
  <si>
    <t>РАБ.Р2.11.006 — Уборка послестроительная</t>
  </si>
  <si>
    <t>РАБ.Р2.11.007</t>
  </si>
  <si>
    <t>Поддерживающая уборка в течении недели перед открытием</t>
  </si>
  <si>
    <t>РАБ.Р2.11.007 — Поддерживающая уборка в течении недели перед открытием</t>
  </si>
  <si>
    <t>РАБ.Р2.11.008</t>
  </si>
  <si>
    <t>Клининговая уборка перед открытием (включая ночные работы).</t>
  </si>
  <si>
    <t>РАБ.Р2.11.008 — Клининговая уборка перед открытием (включая ночные работы).</t>
  </si>
  <si>
    <t>РАБ.Р2.12.001</t>
  </si>
  <si>
    <t>Демонтаж мебельных конструкций</t>
  </si>
  <si>
    <t>12</t>
  </si>
  <si>
    <t>РАБ.Р2.12.001 — Демонтаж мебельных конструкций</t>
  </si>
  <si>
    <t>РАБ.Р2.12.002</t>
  </si>
  <si>
    <t>Демонтаж шлюза инкосаторского</t>
  </si>
  <si>
    <t>РАБ.Р2.12.002 — Демонтаж шлюза инкосаторского</t>
  </si>
  <si>
    <t>РАБ.Р2.12.003</t>
  </si>
  <si>
    <t>Удаление старого огнезащитного покрытия</t>
  </si>
  <si>
    <t>РАБ.Р2.12.003 — Удаление старого огнезащитного покрытия</t>
  </si>
  <si>
    <t>РАБ.Р2.12.004</t>
  </si>
  <si>
    <t>Демонтаж жалюзей</t>
  </si>
  <si>
    <t>РАБ.Р2.12.004 — Демонтаж жалюзей</t>
  </si>
  <si>
    <t>РАБ.Р2.12.005</t>
  </si>
  <si>
    <t>Демонтаж металлоконструкций</t>
  </si>
  <si>
    <t>РАБ.Р2.12.005 — Демонтаж металлоконструкций</t>
  </si>
  <si>
    <t>РАБ.Р2.12.006</t>
  </si>
  <si>
    <t>Демонтаж наборных ступеней ЛС 90 с выломкой четвертей</t>
  </si>
  <si>
    <t>РАБ.Р2.12.006 — Демонтаж наборных ступеней ЛС 90 с выломкой четвертей</t>
  </si>
  <si>
    <t>РАБ.Р2.12.007</t>
  </si>
  <si>
    <t>Демонтаж лифта включая Двери, двигатели, тросы, уловители,ограничители.</t>
  </si>
  <si>
    <t>РАБ.Р2.12.007 — Демонтаж лифта включая Двери, двигатели, тросы, уловители,ограничители.</t>
  </si>
  <si>
    <t>РАБ.Р2.12.008</t>
  </si>
  <si>
    <t>Подготовка бетонных поверхностей к покраске - пескоструйная обработка. В состав работ и матриалов входит доставка песка, временное сооружение для песка и его обогрев, доставка и ра…</t>
  </si>
  <si>
    <t>РАБ.Р2.12.008 — Подготовка бетонных поверхностей к покраске - пескоструйная обработка. В состав работ и матриалов входит доставка песка, временное сооружение для песка и его обогрев, доставка и ра…</t>
  </si>
  <si>
    <t>РАБ.Р2.13.001</t>
  </si>
  <si>
    <t>Демонтажные работы до состояния shell-and-core</t>
  </si>
  <si>
    <t>13</t>
  </si>
  <si>
    <t>РАБ.Р2.13.001 — Демонтажные работы до состояния shell-and-core</t>
  </si>
  <si>
    <t>РАБ.Р3.1.001</t>
  </si>
  <si>
    <t>Кладка перегородок толщиной в 1/2 кирпича</t>
  </si>
  <si>
    <t>Р3</t>
  </si>
  <si>
    <t>Внутренние строительные работы</t>
  </si>
  <si>
    <t>КЛАДКА</t>
  </si>
  <si>
    <t>РАБ.Р3.1.001 — Кладка перегородок толщиной в 1/2 кирпича</t>
  </si>
  <si>
    <t>РАБ.Р3.1.002</t>
  </si>
  <si>
    <t>Кладка перегородок армированных толщиной в 1 кирпич</t>
  </si>
  <si>
    <t>РАБ.Р3.1.002 — Кладка перегородок армированных толщиной в 1 кирпич</t>
  </si>
  <si>
    <t>РАБ.Р3.1.003</t>
  </si>
  <si>
    <t>Кладка перегородок из пеноблоков (600*300*200)</t>
  </si>
  <si>
    <t>РАБ.Р3.1.003 — Кладка перегородок из пеноблоков (600*300*200)</t>
  </si>
  <si>
    <t>РАБ.Р3.1.004</t>
  </si>
  <si>
    <t>Заделка проемов в кирпичных стенах</t>
  </si>
  <si>
    <t>РАБ.Р3.1.004 — Заделка проемов в кирпичных стенах</t>
  </si>
  <si>
    <t>РАБ.Р3.1.005</t>
  </si>
  <si>
    <t>Усиление проемов металлическим профилем из уголка 50*3</t>
  </si>
  <si>
    <t>РАБ.Р3.1.005 — Усиление проемов металлическим профилем из уголка 50*3</t>
  </si>
  <si>
    <t>РАБ.Р3.1.006</t>
  </si>
  <si>
    <t>Усиление проемов металлическим профилем из уголка 100*100*10</t>
  </si>
  <si>
    <t>РАБ.Р3.1.006 — Усиление проемов металлическим профилем из уголка 100*100*10</t>
  </si>
  <si>
    <t>РАБ.Р3.1.007</t>
  </si>
  <si>
    <t>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t>
  </si>
  <si>
    <t>ГКЛ</t>
  </si>
  <si>
    <t>РАБ.Р3.1.007 — Устройство перегородок из ГКЛ толщ. 12 мм. "Кнауф" с одинарным металлическим каркасом и однослойной обшивкой с обеих сторон (включая перфорированные уголки на внешние углы)</t>
  </si>
  <si>
    <t>РАБ.Р3.1.008</t>
  </si>
  <si>
    <t>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t>
  </si>
  <si>
    <t>РАБ.Р3.1.008 — Устройство перегородок из ГКЛ толщ. 12 мм. "Кнауф" с одинарным металлическим каркасом и двухслойной обшивкой с обеих сторон (включая перфорированные уголки на внешние углы)</t>
  </si>
  <si>
    <t>РАБ.Р3.1.009</t>
  </si>
  <si>
    <t>Устройство перегородки / облицовки из ГКЛ</t>
  </si>
  <si>
    <t>РАБ.Р3.1.009 — Устройство перегородки / облицовки из ГКЛ</t>
  </si>
  <si>
    <t>РАБ.Р3.1.010</t>
  </si>
  <si>
    <t>РАБ.Р3.1.010 — Устройство перегородки / облицовки из ГКЛ</t>
  </si>
  <si>
    <t>РАБ.Р3.1.011</t>
  </si>
  <si>
    <t>Облицовка стен гипсокартонными листами (ГКЛ) "Кнауф" в один слой на клее (включая перфорированные уголки на внешние углы)</t>
  </si>
  <si>
    <t>РАБ.Р3.1.011 — Облицовка стен гипсокартонными листами (ГКЛ) "Кнауф" в один слой на клее (включая перфорированные уголки на внешние углы)</t>
  </si>
  <si>
    <t>РАБ.Р3.1.012</t>
  </si>
  <si>
    <t>Устройство оконных откосов из ГКЛВ толщ. 12 мм.</t>
  </si>
  <si>
    <t>РАБ.Р3.1.012 — Устройство оконных откосов из ГКЛВ толщ. 12 мм.</t>
  </si>
  <si>
    <t>РАБ.Р3.1.013</t>
  </si>
  <si>
    <t>Тепло- и звукоизоляция стен из минеральных материалов</t>
  </si>
  <si>
    <t>ИЗОЛ</t>
  </si>
  <si>
    <t>РАБ.Р3.1.013 — Тепло- и звукоизоляция стен из минеральных материалов</t>
  </si>
  <si>
    <t>РАБ.Р3.1.014</t>
  </si>
  <si>
    <t>Штукатурка стен</t>
  </si>
  <si>
    <t>РАБ.Р3.1.014 — Штукатурка стен</t>
  </si>
  <si>
    <t>РАБ.Р3.1.015</t>
  </si>
  <si>
    <t>Устройство штроб в кирпичных стенах</t>
  </si>
  <si>
    <t>РАБ.Р3.1.015 — Устройство штроб в кирпичных стенах</t>
  </si>
  <si>
    <t>РАБ.Р3.1.016</t>
  </si>
  <si>
    <t>Устройство штроб в конструкциях газосиликатных, керамзитобетонных, шлакобетонных, пенобетонных.</t>
  </si>
  <si>
    <t>РАБ.Р3.1.016 — Устройство штроб в конструкциях газосиликатных, керамзитобетонных, шлакобетонных, пенобетонных.</t>
  </si>
  <si>
    <t>РАБ.Р3.1.017</t>
  </si>
  <si>
    <t>Пробивка отверстий в кирпичных стенах фасада, внутренних перегородках под прокладку труб ОВиК, электролотков,</t>
  </si>
  <si>
    <t>РАБ.Р3.1.017 — Пробивка отверстий в кирпичных стенах фасада, внутренних перегородках под прокладку труб ОВиК, электролотков,</t>
  </si>
  <si>
    <t>РАБ.Р3.1.018</t>
  </si>
  <si>
    <t>Пробивка отверстий в бетоных стенах фасада, внутренних перегородках под прокладку труб ОВиК, электролотков.</t>
  </si>
  <si>
    <t>РАБ.Р3.1.018 — Пробивка отверстий в бетоных стенах фасада, внутренних перегородках под прокладку труб ОВиК, электролотков.</t>
  </si>
  <si>
    <t>РАБ.Р3.1.019</t>
  </si>
  <si>
    <t>Запенивание противопожарной пеной тех. отверстий прохода транзитных коммуникаций</t>
  </si>
  <si>
    <t>РАБ.Р3.1.019 — Запенивание противопожарной пеной тех. отверстий прохода транзитных коммуникаций</t>
  </si>
  <si>
    <t>РАБ.Р3.1.020</t>
  </si>
  <si>
    <t>Пробивка проемов в стенах из пенобетонных блоков</t>
  </si>
  <si>
    <t>РАБ.Р3.1.020 — Пробивка проемов в стенах из пенобетонных блоков</t>
  </si>
  <si>
    <t>РАБ.Р3.1.021</t>
  </si>
  <si>
    <t>Пробивка проемов в стенах из кирпича</t>
  </si>
  <si>
    <t>РАБ.Р3.1.021 — Пробивка проемов в стенах из кирпича</t>
  </si>
  <si>
    <t>РАБ.Р3.1.022</t>
  </si>
  <si>
    <t>Алмазное сверление отверстий в стенах Ø50-100 мм</t>
  </si>
  <si>
    <t>см.</t>
  </si>
  <si>
    <t>РАБ.Р3.1.022 — Алмазное сверление отверстий в стенах Ø50-100 мм</t>
  </si>
  <si>
    <t>РАБ.Р3.1.023</t>
  </si>
  <si>
    <t>Алмазное сверление отверстий в стенах Ø101-200 мм</t>
  </si>
  <si>
    <t>РАБ.Р3.1.023 — Алмазное сверление отверстий в стенах Ø101-200 мм</t>
  </si>
  <si>
    <t>РАБ.Р3.1.024</t>
  </si>
  <si>
    <t>Алмазное сверление отверстий в стенах Ø201-300 мм</t>
  </si>
  <si>
    <t>РАБ.Р3.1.024 — Алмазное сверление отверстий в стенах Ø201-300 мм</t>
  </si>
  <si>
    <t>РАБ.Р3.1.025</t>
  </si>
  <si>
    <t>Алмазное сверление отверстий в стенах Ø301-400 мм</t>
  </si>
  <si>
    <t>РАБ.Р3.1.025 — Алмазное сверление отверстий в стенах Ø301-400 мм</t>
  </si>
  <si>
    <t>РАБ.Р3.1.026</t>
  </si>
  <si>
    <t>Монтаж закладных из фанеры 12мм под шкафы обработанная составом "NEOMID 450-1".</t>
  </si>
  <si>
    <t>РАБ.Р3.1.026 — Монтаж закладных из фанеры 12мм под шкафы обработанная составом "NEOMID 450-1".</t>
  </si>
  <si>
    <t>РАБ.Р3.1.027</t>
  </si>
  <si>
    <t>Устройство ниши ГКЛ по м/к под монтаж приборов отопления</t>
  </si>
  <si>
    <t>РАБ.Р3.1.027 — Устройство ниши ГКЛ по м/к под монтаж приборов отопления</t>
  </si>
  <si>
    <t>РАБ.Р3.1.028</t>
  </si>
  <si>
    <t>Устройство пароизоляции из полиэтиленовой пленки до 100 мкр.</t>
  </si>
  <si>
    <t>РАБ.Р3.1.028 — Устройство пароизоляции из полиэтиленовой пленки до 100 мкр.</t>
  </si>
  <si>
    <t>РАБ.Р3.1.029</t>
  </si>
  <si>
    <t>Усиление проемов деревянным антисептированным бруском 50*50</t>
  </si>
  <si>
    <t>РАБ.Р3.1.029 — Усиление проемов деревянным антисептированным бруском 50*50</t>
  </si>
  <si>
    <t>РАБ.Р3.1.030</t>
  </si>
  <si>
    <t>Люк скрытый нажимной 300*300</t>
  </si>
  <si>
    <t>РАБ.Р3.1.030 — Люк скрытый нажимной 300*300</t>
  </si>
  <si>
    <t>РАБ.Р3.1.031</t>
  </si>
  <si>
    <t>Люк скрытый нажимной 400*600</t>
  </si>
  <si>
    <t>РАБ.Р3.1.031 — Люк скрытый нажимной 400*600</t>
  </si>
  <si>
    <t>РАБ.Р3.1.032</t>
  </si>
  <si>
    <t>Люк скрытый нажимной 500*600</t>
  </si>
  <si>
    <t>РАБ.Р3.1.032 — Люк скрытый нажимной 500*600</t>
  </si>
  <si>
    <t>РАБ.Р3.1.033</t>
  </si>
  <si>
    <t>Люк скрытый нажимной 600*600</t>
  </si>
  <si>
    <t>РАБ.Р3.1.033 — Люк скрытый нажимной 600*600</t>
  </si>
  <si>
    <t>РАБ.Р3.1.034</t>
  </si>
  <si>
    <t>Устройство коробов из ГКЛ до 600 мм шириной (для обшивки ригелей, балок колонн и т.д.)</t>
  </si>
  <si>
    <t>РАБ.Р3.1.034 — Устройство коробов из ГКЛ до 600 мм шириной (для обшивки ригелей, балок колонн и т.д.)</t>
  </si>
  <si>
    <t>РАБ.Р3.2.001</t>
  </si>
  <si>
    <t>Монтаж стеклянных бескаркасных перегородок , стекло 10 мм, закаленное с фурнитурой цвета матовая нержавеющая сталь</t>
  </si>
  <si>
    <t>РАБ.Р3.2.001 — Монтаж стеклянных бескаркасных перегородок , стекло 10 мм, закаленное с фурнитурой цвета матовая нержавеющая сталь</t>
  </si>
  <si>
    <t>РАБ.Р3.2.002</t>
  </si>
  <si>
    <t>Устройство стеклянной перегородки в алюминиевом профиле по RAL. Стекло закаленное 6 мм.</t>
  </si>
  <si>
    <t>ПЕРЕГ.СТ</t>
  </si>
  <si>
    <t>РАБ.Р3.2.002 — Устройство стеклянной перегородки в алюминиевом профиле по RAL. Стекло закаленное 6 мм.</t>
  </si>
  <si>
    <t>РАБ.Р3.2.003</t>
  </si>
  <si>
    <t>Устройство стеклянной перегородки в пластиковом профиле. Стекло закаленное 6 мм.</t>
  </si>
  <si>
    <t>РАБ.Р3.2.003 — Устройство стеклянной перегородки в пластиковом профиле. Стекло закаленное 6 мм.</t>
  </si>
  <si>
    <t>РАБ.Р3.2.004</t>
  </si>
  <si>
    <t>Оклейка стеклянных перегородок декоративной пленкой (перфорированной) с фоторисунком</t>
  </si>
  <si>
    <t>РАБ.Р3.2.004 — Оклейка стеклянных перегородок декоративной пленкой (перфорированной) с фоторисунком</t>
  </si>
  <si>
    <t>РАБ.Р3.2.005</t>
  </si>
  <si>
    <t>Монтаж стеклянной перегородки</t>
  </si>
  <si>
    <t>РАБ.Р3.2.005 — Монтаж стеклянной перегородки</t>
  </si>
  <si>
    <t>РАБ.Р3.2.006</t>
  </si>
  <si>
    <t>Устройство фальшпола</t>
  </si>
  <si>
    <t>ФАЛЬШПОЛ</t>
  </si>
  <si>
    <t>РАБ.Р3.2.006 — Устройство фальшпола</t>
  </si>
  <si>
    <t>РАБ.Р3.2.007</t>
  </si>
  <si>
    <t>Замок для трансформируемой перегородки типа «Т-009 PSS»</t>
  </si>
  <si>
    <t>ПЕРЕГ.ТР</t>
  </si>
  <si>
    <t>РАБ.Р3.2.007 — Замок для трансформируемой перегородки типа «Т-009 PSS»</t>
  </si>
  <si>
    <t>РАБ.Р3.2.008</t>
  </si>
  <si>
    <t>Цилиндр с заверткой для нижнего замка</t>
  </si>
  <si>
    <t>РАБ.Р3.2.008 — Цилиндр с заверткой для нижнего замка</t>
  </si>
  <si>
    <t>РАБ.Р3.3.001</t>
  </si>
  <si>
    <t>Обработка стен, поврежденных грибком антисептическим раствором за 2 раза</t>
  </si>
  <si>
    <t>РАБ.Р3.3.001 — Обработка стен, поврежденных грибком антисептическим раствором за 2 раза</t>
  </si>
  <si>
    <t>РАБ.Р3.3.002</t>
  </si>
  <si>
    <t>Шпатлевка швов, саморезов и примыканий стен и перегородок из ГКЛ</t>
  </si>
  <si>
    <t>РАБ.Р3.3.002 — Шпатлевка швов, саморезов и примыканий стен и перегородок из ГКЛ</t>
  </si>
  <si>
    <t>РАБ.Р3.3.003</t>
  </si>
  <si>
    <t>Шпатлевка стен</t>
  </si>
  <si>
    <t>РАБ.Р3.3.003 — Шпатлевка стен</t>
  </si>
  <si>
    <t>РАБ.Р3.3.004</t>
  </si>
  <si>
    <t>Шпатлевка стен по стеклохолсту</t>
  </si>
  <si>
    <t>РАБ.Р3.3.004 — Шпатлевка стен по стеклохолсту</t>
  </si>
  <si>
    <t>РАБ.Р3.3.005</t>
  </si>
  <si>
    <t>Сплошное выравние стен составами "Ветонит" толщиной до 10 мм</t>
  </si>
  <si>
    <t>РАБ.Р3.3.005 — Сплошное выравние стен составами "Ветонит" толщиной до 10 мм</t>
  </si>
  <si>
    <t>РАБ.Р3.3.006</t>
  </si>
  <si>
    <t>Грунтовка поверхности стен и перегородок за 2 раза</t>
  </si>
  <si>
    <t>РАБ.Р3.3.006 — Грунтовка поверхности стен и перегородок за 2 раза</t>
  </si>
  <si>
    <t>РАБ.Р3.3.007</t>
  </si>
  <si>
    <t>Окраска стен за 2 раза краской Tikkurila EURO 7 (колерованная)</t>
  </si>
  <si>
    <t>КРАСКА</t>
  </si>
  <si>
    <t>РАБ.Р3.3.007 — Окраска стен за 2 раза краской Tikkurila EURO 7 (колерованная)</t>
  </si>
  <si>
    <t>РАБ.Р3.3.008</t>
  </si>
  <si>
    <t>Оклейка стен стеклообоями типа "Паутинка" (нефактурными)</t>
  </si>
  <si>
    <t>ОБОИ</t>
  </si>
  <si>
    <t>РАБ.Р3.3.008 — Оклейка стен стеклообоями типа "Паутинка" (нефактурными)</t>
  </si>
  <si>
    <t>РАБ.Р3.3.009</t>
  </si>
  <si>
    <t>Ремонт штукатурки стен с расшивкой швов, отдельными местами до 1 м.кв.</t>
  </si>
  <si>
    <t>РАБ.Р3.3.009 — Ремонт штукатурки стен с расшивкой швов, отдельными местами до 1 м.кв.</t>
  </si>
  <si>
    <t>РАБ.Р3.3.010</t>
  </si>
  <si>
    <t>Облицовка стен керамической плиткой с затиркой швов.</t>
  </si>
  <si>
    <t>СТЕН.ПЛ</t>
  </si>
  <si>
    <t>РАБ.Р3.3.010 — Облицовка стен керамической плиткой с затиркой швов.</t>
  </si>
  <si>
    <t>РАБ.Р3.3.011</t>
  </si>
  <si>
    <t>Облицовка стен керамической плиткой</t>
  </si>
  <si>
    <t>РАБ.Р3.3.011 — Облицовка стен керамической плиткой</t>
  </si>
  <si>
    <t>РАБ.Р3.3.012</t>
  </si>
  <si>
    <t>Бордюр 500*15 "Szklana T40" коллекциии "Oxford" " Ctramica Konskie" с затиркой швов.</t>
  </si>
  <si>
    <t>РАБ.Р3.3.012 — Бордюр 500*15 "Szklana T40" коллекциии "Oxford" " Ctramica Konskie" с затиркой швов.</t>
  </si>
  <si>
    <t>РАБ.Р3.3.013</t>
  </si>
  <si>
    <t>Установка пластиковых уголков на наружные углы колонн и стен</t>
  </si>
  <si>
    <t>РАБ.Р3.3.013 — Установка пластиковых уголков на наружные углы колонн и стен</t>
  </si>
  <si>
    <t>РАБ.Р3.3.014</t>
  </si>
  <si>
    <t>Штукатурка поверхности</t>
  </si>
  <si>
    <t>РАБ.Р3.3.014 — Штукатурка поверхности</t>
  </si>
  <si>
    <t>РАБ.Р3.3.015</t>
  </si>
  <si>
    <t>Оклейка стен стеклообоями типа "Рогожка"</t>
  </si>
  <si>
    <t>РАБ.Р3.3.015 — Оклейка стен стеклообоями типа "Рогожка"</t>
  </si>
  <si>
    <t>РАБ.Р3.3.016</t>
  </si>
  <si>
    <t>Декоративные крашенные МДФ ПАНЕЛИ 20ММ, ЦВЕТ RAL 7040, Швы - черный, П-образный профиль 10мм</t>
  </si>
  <si>
    <t>РАБ.Р3.3.016 — Декоративные крашенные МДФ ПАНЕЛИ 20ММ, ЦВЕТ RAL 7040, Швы - черный, П-образный профиль 10мм</t>
  </si>
  <si>
    <t>РАБ.Р3.3.017</t>
  </si>
  <si>
    <t>Аккустическая панель из Войлока, максимальные размери 1200X2400см, клеиться на стену</t>
  </si>
  <si>
    <t>РАБ.Р3.3.017 — Аккустическая панель из Войлока, максимальные размери 1200X2400см, клеиться на стену</t>
  </si>
  <si>
    <t>РАБ.Р3.3.018</t>
  </si>
  <si>
    <t>Оклейка обоями / стеклохолстом</t>
  </si>
  <si>
    <t>РАБ.Р3.3.018 — Оклейка обоями / стеклохолстом</t>
  </si>
  <si>
    <t>РАБ.Р3.3.019</t>
  </si>
  <si>
    <t>Оклейка поверхностей стен и перегородок Обои Голландские обои Eijffinger, коллекция Ibiza, артикул 330203</t>
  </si>
  <si>
    <t>РАБ.Р3.3.019 — Оклейка поверхностей стен и перегородок Обои Голландские обои Eijffinger, коллекция Ibiza, артикул 330203</t>
  </si>
  <si>
    <t>РАБ.Р3.3.020</t>
  </si>
  <si>
    <t>Оклейка поверхностей стен и перегородок бумажными обоями (рисунок обоев выполняется "на заказ")</t>
  </si>
  <si>
    <t>РАБ.Р3.3.020 — Оклейка поверхностей стен и перегородок бумажными обоями (рисунок обоев выполняется "на заказ")</t>
  </si>
  <si>
    <t>РАБ.Р3.4.001</t>
  </si>
  <si>
    <t>Монтаж однопольного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стал…</t>
  </si>
  <si>
    <t>ДВ.АЛ</t>
  </si>
  <si>
    <t>РАБ.Р3.4.001 — Монтаж однопольного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стал…</t>
  </si>
  <si>
    <t>РАБ.Р3.4.002</t>
  </si>
  <si>
    <t>Монтаж полуторапольного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…</t>
  </si>
  <si>
    <t>РАБ.Р3.4.002 — Монтаж полуторапольного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…</t>
  </si>
  <si>
    <t>РАБ.Р3.4.003</t>
  </si>
  <si>
    <t>Монтаж двупольного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стали…</t>
  </si>
  <si>
    <t>РАБ.Р3.4.003 — Монтаж двупольного дверного блока (алюминиевый теплый профиль 3 петли, два врезных замка сувального типа (количество ключей не менее 4 шт.) без защелки , ручка из нержавеющей стали…</t>
  </si>
  <si>
    <t>РАБ.Р3.4.004</t>
  </si>
  <si>
    <t>Монтаж дверного блока / дверных приборов</t>
  </si>
  <si>
    <t>ДВ</t>
  </si>
  <si>
    <t>РАБ.Р3.4.004 — Монтаж дверного блока / дверных приборов</t>
  </si>
  <si>
    <t>РАБ.Р3.4.005</t>
  </si>
  <si>
    <t>РАБ.Р3.4.005 — Монтаж дверного блока / дверных приборов</t>
  </si>
  <si>
    <t>РАБ.Р3.4.006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</si>
  <si>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Рабо…</t>
  </si>
  <si>
    <t>РАБ.Р3.4.006 — 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Рабо…</t>
  </si>
  <si>
    <t>РАБ.Р3.4.007</t>
  </si>
  <si>
    <t>Доводчик на рабочую створку NOTEDO DC-025-095 (со скользящим каналом). Доводчик на паразитную створку NOTEDO DC-070 (паук)</t>
  </si>
  <si>
    <t>РАБ.Р3.4.007 — Доводчик на рабочую створку NOTEDO DC-025-095 (со скользящим каналом). Доводчик на паразитную створку NOTEDO DC-070 (паук)</t>
  </si>
  <si>
    <t>РАБ.Р3.4.008</t>
  </si>
  <si>
    <t>Установка металлической двери-решетчатой гармошки с замком 900х2100 мм (запасной выход)</t>
  </si>
  <si>
    <t>ДВ.БР</t>
  </si>
  <si>
    <t>РАБ.Р3.4.008 — Установка металлической двери-решетчатой гармошки с замком 900х2100 мм (запасной выход)</t>
  </si>
  <si>
    <t>РАБ.Р3.4.009</t>
  </si>
  <si>
    <t>Монтаж дверного блока стеклянного</t>
  </si>
  <si>
    <t>ДВ.СТ</t>
  </si>
  <si>
    <t>РАБ.Р3.4.009 — Монтаж дверного блока стеклянного</t>
  </si>
  <si>
    <t>РАБ.Р3.4.010</t>
  </si>
  <si>
    <t>Установка стеклянного двупольного дверного блока 1800х2400 мм Стекло 10мм закалённое. Фурнитура цвета матовая нержавеющая сталь Dorma в Universal Light. Кромка стекла полированная.…</t>
  </si>
  <si>
    <t>РАБ.Р3.4.010 — Установка стеклянного двупольного дверного блока 1800х2400 мм Стекло 10мм закалённое. Фурнитура цвета матовая нержавеющая сталь Dorma в Universal Light. Кромка стекла полированная.…</t>
  </si>
  <si>
    <t>РАБ.Р3.4.011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</si>
  <si>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фурнитуро…</t>
  </si>
  <si>
    <t>РАБ.Р3.4.011 — 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фурнитуро…</t>
  </si>
  <si>
    <t>РАБ.Р3.4.012</t>
  </si>
  <si>
    <t>Монтаж дверного блока противопожарного</t>
  </si>
  <si>
    <t>ДВ.ПП</t>
  </si>
  <si>
    <t>РАБ.Р3.4.012 — Монтаж дверного блока противопожарного</t>
  </si>
  <si>
    <t>РАБ.Р3.4.013</t>
  </si>
  <si>
    <t>РАБ.Р3.4.013 — Монтаж дверного блока противопожарного</t>
  </si>
  <si>
    <t>РАБ.Р3.4.014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</si>
  <si>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прокла…</t>
  </si>
  <si>
    <t>РАБ.Р3.4.014 — фрезеровка под Eff-Eff 34 12 V DC (34-E91) с длинными планками Eff-Eff HZ (021 35) (-------02135-01) (предоставляет заказчик), защищенный стальной гибкий переход для кабеля, прокла…</t>
  </si>
  <si>
    <t>РАБ.Р3.4.015</t>
  </si>
  <si>
    <t>Комплект антипаника Doorlock на активную створку DL PD800FR-BAR (или аналог по согласованию заказчика)</t>
  </si>
  <si>
    <t>РАБ.Р3.4.015 — Комплект антипаника Doorlock на активную створку DL PD800FR-BAR (или аналог по согласованию заказчика)</t>
  </si>
  <si>
    <t>РАБ.Р3.4.016</t>
  </si>
  <si>
    <t>Монтаж дверного блока деревянного</t>
  </si>
  <si>
    <t>ДВ.ДЕР</t>
  </si>
  <si>
    <t>РАБ.Р3.4.016 — Монтаж дверного блока деревянного</t>
  </si>
  <si>
    <t>РАБ.Р3.4.017</t>
  </si>
  <si>
    <t>Установка стопора дверного Standers, 3.5х3.2 см, нержавеющая сталь</t>
  </si>
  <si>
    <t>РАБ.Р3.4.017 — Установка стопора дверного Standers, 3.5х3.2 см, нержавеющая сталь</t>
  </si>
  <si>
    <t>РАБ.Р3.4.018</t>
  </si>
  <si>
    <t>Монтаж оконного блока / светопрозрачной конструкции</t>
  </si>
  <si>
    <t>ОКНО</t>
  </si>
  <si>
    <t>РАБ.Р3.4.018 — Монтаж оконного блока / светопрозрачной конструкции</t>
  </si>
  <si>
    <t>РАБ.Р3.4.019</t>
  </si>
  <si>
    <t>Окраска поверхности</t>
  </si>
  <si>
    <t>РАБ.Р3.4.019 — Окраска поверхности</t>
  </si>
  <si>
    <t>РАБ.Р3.4.020</t>
  </si>
  <si>
    <t>Установка рулонных штор</t>
  </si>
  <si>
    <t>ЖАЛЮЗИ</t>
  </si>
  <si>
    <t>РАБ.Р3.4.020 — Установка рулонных штор</t>
  </si>
  <si>
    <t>РАБ.Р3.4.021</t>
  </si>
  <si>
    <t>Установка жалюзи вертикальных серии Line</t>
  </si>
  <si>
    <t>РАБ.Р3.4.021 — Установка жалюзи вертикальных серии Line</t>
  </si>
  <si>
    <t>РАБ.Р3.4.022</t>
  </si>
  <si>
    <t>Установка подоконной доски</t>
  </si>
  <si>
    <t>ПОДОК</t>
  </si>
  <si>
    <t>РАБ.Р3.4.022 — Установка подоконной доски</t>
  </si>
  <si>
    <t>РАБ.Р3.4.023</t>
  </si>
  <si>
    <t>Установка оконных отливов с окраской по RAL</t>
  </si>
  <si>
    <t>РАБ.Р3.4.023 — Установка оконных отливов с окраской по RAL</t>
  </si>
  <si>
    <t>РАБ.Р3.4.024</t>
  </si>
  <si>
    <t>Оклейка окон, стеклянных поверхностей дверных полотен пленкой класса защиты А3</t>
  </si>
  <si>
    <t>ПЛЁНКА</t>
  </si>
  <si>
    <t>РАБ.Р3.4.024 — Оклейка окон, стеклянных поверхностей дверных полотен пленкой класса защиты А3</t>
  </si>
  <si>
    <t>РАБ.Р3.4.025</t>
  </si>
  <si>
    <t>Оклейка окон, стеклянных поверхностей дверных полотен пленкой класса защиты А1</t>
  </si>
  <si>
    <t>РАБ.Р3.4.025 — Оклейка окон, стеклянных поверхностей дверных полотен пленкой класса защиты А1</t>
  </si>
  <si>
    <t>РАБ.Р3.4.026</t>
  </si>
  <si>
    <t>РАБ.Р3.4.026 — Монтаж оконного блока / светопрозрачной конструкции</t>
  </si>
  <si>
    <t>РАБ.Р3.4.027</t>
  </si>
  <si>
    <t>Механизм открывания фрамуги естественного проветривания (дистанционный, ручной)</t>
  </si>
  <si>
    <t>РАБ.Р3.4.027 — Механизм открывания фрамуги естественного проветривания (дистанционный, ручной)</t>
  </si>
  <si>
    <t>РАБ.Р3.5.001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</si>
  <si>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XL/…</t>
  </si>
  <si>
    <t>ПОТОЛОК</t>
  </si>
  <si>
    <t>РАБ.Р3.5.001 — 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XL/…</t>
  </si>
  <si>
    <t>РАБ.Р3.5.002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</si>
  <si>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кре…</t>
  </si>
  <si>
    <t>РАБ.Р3.5.002 — 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кре…</t>
  </si>
  <si>
    <t>РАБ.Р3.5.003</t>
  </si>
  <si>
    <t>Устройство подвесных потолков OWA типа «Sinfonia» A, панель 600 х 600, кромка S 15 А , цвет белый на подвесной системе OWA, крепление подвесов металлическим крепежным элементом.</t>
  </si>
  <si>
    <t>РАБ.Р3.5.003 — Устройство подвесных потолков OWA типа «Sinfonia» A, панель 600 х 600, кромка S 15 А , цвет белый на подвесной системе OWA, крепление подвесов металлическим крепежным элементом.</t>
  </si>
  <si>
    <t>РАБ.Р3.5.004</t>
  </si>
  <si>
    <t>Замена потолочных плит OWA «Sinfonia»</t>
  </si>
  <si>
    <t>РАБ.Р3.5.004 — Замена потолочных плит OWA «Sinfonia»</t>
  </si>
  <si>
    <t>РАБ.Р3.5.005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</si>
  <si>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</si>
  <si>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РАБ.Р3.5.005 — Устройство подвесных потолков: одноуровневых из ГКЛ по металлическому каркасу, крепление подвесов металлическим крепежным элементом.</t>
  </si>
  <si>
    <t>РАБ.Р3.5.006</t>
  </si>
  <si>
    <t>Устройство подвесного потолка</t>
  </si>
  <si>
    <t>РАБ.Р3.5.006 — Устройство подвесного потолка</t>
  </si>
  <si>
    <t>РАБ.Р3.5.007</t>
  </si>
  <si>
    <t>РАБ.Р3.5.007 — Устройство подвесного потолка</t>
  </si>
  <si>
    <t>РАБ.Р3.5.008</t>
  </si>
  <si>
    <t>Реечный потолок, кубообразная рейка 30х70мм</t>
  </si>
  <si>
    <t>РАБ.Р3.5.008 — Реечный потолок, кубообразная рейка 30х70мм</t>
  </si>
  <si>
    <t>РАБ.Р3.5.009</t>
  </si>
  <si>
    <t>Маркерное белое стекло цвет: RAL 9010</t>
  </si>
  <si>
    <t>РАБ.Р3.5.009 — Маркерное белое стекло цвет: RAL 9010</t>
  </si>
  <si>
    <t>РАБ.Р3.5.010</t>
  </si>
  <si>
    <t>Облицовка деревяных потолков ГКЛО</t>
  </si>
  <si>
    <t>РАБ.Р3.5.010 — Облицовка деревяных потолков ГКЛО</t>
  </si>
  <si>
    <t>РАБ.Р3.5.011</t>
  </si>
  <si>
    <t>Штукатурка потолка цемено-песчаным раствором толщ. до 20 мм.</t>
  </si>
  <si>
    <t>РАБ.Р3.5.011 — Штукатурка потолка цемено-песчаным раствором толщ. до 20 мм.</t>
  </si>
  <si>
    <t>РАБ.Р3.5.012</t>
  </si>
  <si>
    <t>Устройство тепло- и звукоизоляции перекрытия минеральной ватой с устройством пароизоляции</t>
  </si>
  <si>
    <t>РАБ.Р3.5.012 — Устройство тепло- и звукоизоляции перекрытия минеральной ватой с устройством пароизоляции</t>
  </si>
  <si>
    <t>РАБ.Р3.5.013</t>
  </si>
  <si>
    <t>Шпатлевка потолка</t>
  </si>
  <si>
    <t>РАБ.Р3.5.013 — Шпатлевка потолка</t>
  </si>
  <si>
    <t>РАБ.Р3.5.014</t>
  </si>
  <si>
    <t>Грунтовка потолка за два раза</t>
  </si>
  <si>
    <t>РАБ.Р3.5.014 — Грунтовка потолка за два раза</t>
  </si>
  <si>
    <t>РАБ.Р3.5.015</t>
  </si>
  <si>
    <t>Оклейка потолков стеклообоями типа "Паутинка" (не фактурные)</t>
  </si>
  <si>
    <t>РАБ.Р3.5.015 — Оклейка потолков стеклообоями типа "Паутинка" (не фактурные)</t>
  </si>
  <si>
    <t>РАБ.Р3.5.016</t>
  </si>
  <si>
    <t>РАБ.Р3.5.016 — Окраска поверхности</t>
  </si>
  <si>
    <t>РАБ.Р3.5.017</t>
  </si>
  <si>
    <t>Потолочный акустический остров 1195*1530*40мм цвет: белый, форма под заказ (форма яйцо)в комплекте с подвесами</t>
  </si>
  <si>
    <t>РАБ.Р3.5.017 — Потолочный акустический остров 1195*1530*40мм цвет: белый, форма под заказ (форма яйцо)в комплекте с подвесами</t>
  </si>
  <si>
    <t>РАБ.Р3.5.018</t>
  </si>
  <si>
    <t>Потолочный акустический остров цвет: белый, форма круг D=750мм, толщ. 40мм, в комплекте с подвесами</t>
  </si>
  <si>
    <t>РАБ.Р3.5.018 — Потолочный акустический остров цвет: белый, форма круг D=750мм, толщ. 40мм, в комплекте с подвесами</t>
  </si>
  <si>
    <t>РАБ.Р3.5.019</t>
  </si>
  <si>
    <t>Подготовка и обеспылевание потолка поверхности и коммуникаций под покраску . (воздуховоды, лотки эл. и т.д.)</t>
  </si>
  <si>
    <t>РАБ.Р3.5.019 — Подготовка и обеспылевание потолка поверхности и коммуникаций под покраску . (воздуховоды, лотки эл. и т.д.)</t>
  </si>
  <si>
    <t>РАБ.Р3.5.020</t>
  </si>
  <si>
    <t>Окраска потолка и инженерных коммуникаций за 2 раза в проекции потолка краскойTikkurila EURO 7 (колерованная) цвет согласовать с заказчиком. (воздуховоды, лотки эл. и т.д.)</t>
  </si>
  <si>
    <t>РАБ.Р3.5.020 — Окраска потолка и инженерных коммуникаций за 2 раза в проекции потолка краскойTikkurila EURO 7 (колерованная) цвет согласовать с заказчиком. (воздуховоды, лотки эл. и т.д.)</t>
  </si>
  <si>
    <t>РАБ.Р3.5.021</t>
  </si>
  <si>
    <t>Устройство потолков реечных алюминиевых, крепление подвесов металлическим крепежным элементом.</t>
  </si>
  <si>
    <t>РАБ.Р3.5.021 — Устройство потолков реечных алюминиевых, крепление подвесов металлическим крепежным элементом.</t>
  </si>
  <si>
    <t>РАБ.Р3.5.022</t>
  </si>
  <si>
    <t>Замена потолочных плит Армстронг</t>
  </si>
  <si>
    <t>РАБ.Р3.5.022 — Замена потолочных плит Армстронг</t>
  </si>
  <si>
    <t>РАБ.Р3.5.023</t>
  </si>
  <si>
    <t>Запенивание швов между плитами</t>
  </si>
  <si>
    <t>РАБ.Р3.5.023 — Запенивание швов между плитами</t>
  </si>
  <si>
    <t>РАБ.Р3.6.001</t>
  </si>
  <si>
    <t>Р3.6.1.0 Основание пола</t>
  </si>
  <si>
    <t>шт</t>
  </si>
  <si>
    <t>РАБ.Р3.6.001 — Р3.6.1.0 Основание пола</t>
  </si>
  <si>
    <t>РАБ.Р3.6.002</t>
  </si>
  <si>
    <t>Устройство подсыпки пола из керамзита</t>
  </si>
  <si>
    <t>РАБ.Р3.6.002 — Устройство подсыпки пола из керамзита</t>
  </si>
  <si>
    <t>РАБ.Р3.6.003</t>
  </si>
  <si>
    <t>Устройство стяжек цементно-песчаных толщиной 20 мм (добавляется на каждые 20 мм стяжки)</t>
  </si>
  <si>
    <t>РАБ.Р3.6.003 — Устройство стяжек цементно-песчаных толщиной 20 мм (добавляется на каждые 20 мм стяжки)</t>
  </si>
  <si>
    <t>РАБ.Р3.6.004</t>
  </si>
  <si>
    <t>Устройство стяжек цементно-песчаных толщиной более 50 мм (добавляется на каждые 50 мм стяжки)</t>
  </si>
  <si>
    <t>РАБ.Р3.6.004 — Устройство стяжек цементно-песчаных толщиной более 50 мм (добавляется на каждые 50 мм стяжки)</t>
  </si>
  <si>
    <t>РАБ.Р3.6.005</t>
  </si>
  <si>
    <t>Устройство самовыравнивающейся стяжки типа Vetonit (толщина 5 мм)</t>
  </si>
  <si>
    <t>РАБ.Р3.6.005 — Устройство самовыравнивающейся стяжки типа Vetonit (толщина 5 мм)</t>
  </si>
  <si>
    <t>РАБ.Р3.6.006</t>
  </si>
  <si>
    <t>Укладка дорожной металлической сетки 100х100 диаметром 4мм</t>
  </si>
  <si>
    <t>РАБ.Р3.6.006 — Укладка дорожной металлической сетки 100х100 диаметром 4мм</t>
  </si>
  <si>
    <t>РАБ.Р3.6.007</t>
  </si>
  <si>
    <t>Грунтовка пола за два раза</t>
  </si>
  <si>
    <t>РАБ.Р3.6.007 — Грунтовка пола за два раза</t>
  </si>
  <si>
    <t>РАБ.Р3.6.008</t>
  </si>
  <si>
    <t>Обработка поверхности составом "Бетоноконтакт"</t>
  </si>
  <si>
    <t>РАБ.Р3.6.008 — Обработка поверхности составом "Бетоноконтакт"</t>
  </si>
  <si>
    <t>РАБ.Р3.6.009</t>
  </si>
  <si>
    <t>Устройство горизонтальной обмазочной гидроизоляции с захлестом на стены на 15см</t>
  </si>
  <si>
    <t>РАБ.Р3.6.009 — Устройство горизонтальной обмазочной гидроизоляции с захлестом на стены на 15см</t>
  </si>
  <si>
    <t>РАБ.Р3.6.010</t>
  </si>
  <si>
    <t>Подготовка под устройство гидроизоляции (просушка, шлифовка адгезионная, локальный ремонт)</t>
  </si>
  <si>
    <t>РАБ.Р3.6.010 — Подготовка под устройство гидроизоляции (просушка, шлифовка адгезионная, локальный ремонт)</t>
  </si>
  <si>
    <t>РАБ.Р3.6.011</t>
  </si>
  <si>
    <t>Нанесение обмазочной гидроизоляции на пол в 2 слоя</t>
  </si>
  <si>
    <t>РАБ.Р3.6.011 — Нанесение обмазочной гидроизоляции на пол в 2 слоя</t>
  </si>
  <si>
    <t>РАБ.Р3.6.012</t>
  </si>
  <si>
    <t>Нанесение обмазочной гидроизоляции на стены 3 слоя на высоту до 0,5 метров</t>
  </si>
  <si>
    <t>РАБ.Р3.6.012 — Нанесение обмазочной гидроизоляции на стены 3 слоя на высоту до 0,5 метров</t>
  </si>
  <si>
    <t>РАБ.Р3.6.013</t>
  </si>
  <si>
    <t>Укладка ПВХ плёнки 400 мкм</t>
  </si>
  <si>
    <t>РАБ.Р3.6.013 — Укладка ПВХ плёнки 400 мкм</t>
  </si>
  <si>
    <t>РАБ.Р3.6.014</t>
  </si>
  <si>
    <t>Заливка мелкозернистого бетона М350, армированного металлической фиброй Dramix 3D 20 кг/м3 с усилением арматурными стержнями участков наружних углов, перегородок и колон.</t>
  </si>
  <si>
    <t>РАБ.Р3.6.014 — Заливка мелкозернистого бетона М350, армированного металлической фиброй Dramix 3D 20 кг/м3 с усилением арматурными стержнями участков наружних углов, перегородок и колон.</t>
  </si>
  <si>
    <t>РАБ.Р3.6.015</t>
  </si>
  <si>
    <t>Затирка бетоноотделочными машинами с внесением сухого упрочнителя 4 кг/м2</t>
  </si>
  <si>
    <t>ПОЛ.НАЛ</t>
  </si>
  <si>
    <t>РАБ.Р3.6.015 — Затирка бетоноотделочными машинами с внесением сухого упрочнителя 4 кг/м2</t>
  </si>
  <si>
    <t>РАБ.Р3.6.016</t>
  </si>
  <si>
    <t>Шлифовка поверхности пола, нанесение жидкого упрочнителя и полировка до степени от 50 до 1500 грит</t>
  </si>
  <si>
    <t>РАБ.Р3.6.016 — Шлифовка поверхности пола, нанесение жидкого упрочнителя и полировка до степени от 50 до 1500 грит</t>
  </si>
  <si>
    <t>РАБ.Р3.6.017</t>
  </si>
  <si>
    <t>Нарезка швов и гермитизация шаг швов 3х3м</t>
  </si>
  <si>
    <t>РАБ.Р3.6.017 — Нарезка швов и гермитизация шаг швов 3х3м</t>
  </si>
  <si>
    <t>РАБ.Р3.6.018</t>
  </si>
  <si>
    <t>Разметка стоянок под автомобили ( нанесение пластиковой разметки по праковочным местам с утройством колесоотбойников)</t>
  </si>
  <si>
    <t>РАБ.Р3.6.018 — Разметка стоянок под автомобили ( нанесение пластиковой разметки по праковочным местам с утройством колесоотбойников)</t>
  </si>
  <si>
    <t>РАБ.Р3.6.019</t>
  </si>
  <si>
    <t>Монтаж иньекционного пакера</t>
  </si>
  <si>
    <t>РАБ.Р3.6.019 — Монтаж иньекционного пакера</t>
  </si>
  <si>
    <t>РАБ.Р3.6.020</t>
  </si>
  <si>
    <t>Монтаж гидропломбы</t>
  </si>
  <si>
    <t>РАБ.Р3.6.020 — Монтаж гидропломбы</t>
  </si>
  <si>
    <t>РАБ.Р3.6.021</t>
  </si>
  <si>
    <t>Устройство каркаса из бруса 100*200</t>
  </si>
  <si>
    <t>РАБ.Р3.6.021 — Устройство каркаса из бруса 100*200</t>
  </si>
  <si>
    <t>РАБ.Р3.6.022</t>
  </si>
  <si>
    <t>Устройство лаг 75*75</t>
  </si>
  <si>
    <t>РАБ.Р3.6.022 — Устройство лаг 75*75</t>
  </si>
  <si>
    <t>РАБ.Р3.6.023</t>
  </si>
  <si>
    <t>Устройство пола в кассу из фанеры 1500*1500*12</t>
  </si>
  <si>
    <t>РАБ.Р3.6.023 — Устройство пола в кассу из фанеры 1500*1500*12</t>
  </si>
  <si>
    <t>РАБ.Р3.6.024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</si>
  <si>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</si>
  <si>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АРМ.УКР</t>
  </si>
  <si>
    <t>РАБ.Р3.6.024 — 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</si>
  <si>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РАБ.Р3.6.025</t>
  </si>
  <si>
    <t>Р3.6.1.0 Покрытие пола</t>
  </si>
  <si>
    <t>РАБ.Р3.6.025 — Р3.6.1.0 Покрытие пола</t>
  </si>
  <si>
    <t>РАБ.Р3.6.026</t>
  </si>
  <si>
    <t>Облицовка пола керамогранитом / плиткой</t>
  </si>
  <si>
    <t>ПОЛ.КГ</t>
  </si>
  <si>
    <t>РАБ.Р3.6.026 — Облицовка пола керамогранитом / плиткой</t>
  </si>
  <si>
    <t>РАБ.Р3.6.027</t>
  </si>
  <si>
    <t>Установка плинтуса</t>
  </si>
  <si>
    <t>ПЛИНТ</t>
  </si>
  <si>
    <t>РАБ.Р3.6.027 — Установка плинтуса</t>
  </si>
  <si>
    <t>РАБ.Р3.6.028</t>
  </si>
  <si>
    <t>Устройство плинтусов из керамогранита h=40 мм с установкой раскладки из пластика на торец в цвет плинтуса с затиркой швовов</t>
  </si>
  <si>
    <t>РАБ.Р3.6.028 — Устройство плинтусов из керамогранита h=40 мм с установкой раскладки из пластика на торец в цвет плинтуса с затиркой швовов</t>
  </si>
  <si>
    <t>РАБ.Р3.6.029</t>
  </si>
  <si>
    <t>Устройство покрытия пола из модульной плитки (ковролин / ПВХ / линолеум)</t>
  </si>
  <si>
    <t>ПОЛ.МОД</t>
  </si>
  <si>
    <t>РАБ.Р3.6.029 — Устройство покрытия пола из модульной плитки (ковролин / ПВХ / линолеум)</t>
  </si>
  <si>
    <t>РАБ.Р3.6.030</t>
  </si>
  <si>
    <t>Устройство плинтусов из керамогранита h=100 мм с установкой раскладки из пластика на торец в цвет плинтуса с затиркой швовов</t>
  </si>
  <si>
    <t>РАБ.Р3.6.030 — Устройство плинтусов из керамогранита h=100 мм с установкой раскладки из пластика на торец в цвет плинтуса с затиркой швовов</t>
  </si>
  <si>
    <t>РАБ.Р3.6.031</t>
  </si>
  <si>
    <t>Затирка швов поверхности пола, плитка керамическая</t>
  </si>
  <si>
    <t>РАБ.Р3.6.031 — Затирка швов поверхности пола, плитка керамическая</t>
  </si>
  <si>
    <t>РАБ.Р3.6.032</t>
  </si>
  <si>
    <t>Устройство полов из ПВХ-плитки Gerflor Creation 70 CLIFTON 0556</t>
  </si>
  <si>
    <t>РАБ.Р3.6.032 — Устройство полов из ПВХ-плитки Gerflor Creation 70 CLIFTON 0556</t>
  </si>
  <si>
    <t>РАБ.Р3.6.033</t>
  </si>
  <si>
    <t>Устройство плинтусов пластиковых</t>
  </si>
  <si>
    <t>РАБ.Р3.6.033 — Устройство плинтусов пластиковых</t>
  </si>
  <si>
    <t>РАБ.Р3.6.034</t>
  </si>
  <si>
    <t>Устройство плинтусов пластиковых с ковровым заполнением высотой 55 мм</t>
  </si>
  <si>
    <t>РАБ.Р3.6.034 — Устройство плинтусов пластиковых с ковровым заполнением высотой 55 мм</t>
  </si>
  <si>
    <t>РАБ.Р3.6.035</t>
  </si>
  <si>
    <t>Устройство покрытия пола из полу коммерческого линолеума типа "Таркет" цвет согласовать с Заказчиком</t>
  </si>
  <si>
    <t>РАБ.Р3.6.035 — Устройство покрытия пола из полу коммерческого линолеума типа "Таркет" цвет согласовать с Заказчиком</t>
  </si>
  <si>
    <t>РАБ.Р3.6.036</t>
  </si>
  <si>
    <t>Установка плинтуса алюминиевого Metal Line 90 h=40мм, покраска, черный матовый, гнущийся по радиусу</t>
  </si>
  <si>
    <t>РАБ.Р3.6.036 — Установка плинтуса алюминиевого Metal Line 90 h=40мм, покраска, черный матовый, гнущийся по радиусу</t>
  </si>
  <si>
    <t>РАБ.Р3.6.037</t>
  </si>
  <si>
    <t>Установка плинтуса алюминиевого h80 мм, Fezard 2500*80*10 c соединителями и углами или аналог.</t>
  </si>
  <si>
    <t>РАБ.Р3.6.037 — Установка плинтуса алюминиевого h80 мм, Fezard 2500*80*10 c соединителями и углами или аналог.</t>
  </si>
  <si>
    <t>РАБ.Р3.6.038</t>
  </si>
  <si>
    <t>Устройство ниши в покрытии из керамогранита для укладки грязезащитного коврика</t>
  </si>
  <si>
    <t>РАБ.Р3.6.038 — Устройство ниши в покрытии из керамогранита для укладки грязезащитного коврика</t>
  </si>
  <si>
    <t>РАБ.Р3.6.039</t>
  </si>
  <si>
    <t>Монтаж грязезащитного коврика СИТИТОП Сити резина + текстиль + скребок)</t>
  </si>
  <si>
    <t>РАБ.Р3.6.039 — Монтаж грязезащитного коврика СИТИТОП Сити резина + текстиль + скребок)</t>
  </si>
  <si>
    <t>РАБ.Р3.6.040</t>
  </si>
  <si>
    <t>Устройство штроб в цементно-песчаной стяжке пола</t>
  </si>
  <si>
    <t>РАБ.Р3.6.040 — Устройство штроб в цементно-песчаной стяжке пола</t>
  </si>
  <si>
    <t>РАБ.Р3.6.041</t>
  </si>
  <si>
    <t>Заделка штроб в полу цементно-песчаным р-ром</t>
  </si>
  <si>
    <t>РАБ.Р3.6.041 — Заделка штроб в полу цементно-песчаным р-ром</t>
  </si>
  <si>
    <t>РАБ.Р3.6.042</t>
  </si>
  <si>
    <t>Укрытие полов листами ДВП на время производства работ</t>
  </si>
  <si>
    <t>РАБ.Р3.6.042 — Укрытие полов листами ДВП на время производства работ</t>
  </si>
  <si>
    <t>РАБ.Р3.6.043</t>
  </si>
  <si>
    <t>Укрытие полов пленкой полиэтиленовой 200 мкм на время производства работ</t>
  </si>
  <si>
    <t>РАБ.Р3.6.043 — Укрытие полов пленкой полиэтиленовой 200 мкм на время производства работ</t>
  </si>
  <si>
    <t>РАБ.Р3.6.044</t>
  </si>
  <si>
    <t>РАБ.Р3.6.044 — Устройство фальшпола</t>
  </si>
  <si>
    <t>РАБ.Р3.6.045</t>
  </si>
  <si>
    <t>антистатическим покрытием) ANKER тип BRIKK N28ST/PVC Emerald Plus 5092, с учетом подрезки 10%</t>
  </si>
  <si>
    <t>РАБ.Р3.6.045 — антистатическим покрытием) ANKER тип BRIKK N28ST/PVC Emerald Plus 5092, с учетом подрезки 10%</t>
  </si>
  <si>
    <t>РАБ.Р3.6.046</t>
  </si>
  <si>
    <t>Устройство противоскользящих уголков на ступени</t>
  </si>
  <si>
    <t>РАБ.Р3.6.046 — Устройство противоскользящих уголков на ступени</t>
  </si>
  <si>
    <t>РАБ.Р3.6.047</t>
  </si>
  <si>
    <t>Укладка паркетной доски 200*2000 Solid Floor Piraness</t>
  </si>
  <si>
    <t>ПОЛ.ДОСК</t>
  </si>
  <si>
    <t>РАБ.Р3.6.047 — Укладка паркетной доски 200*2000 Solid Floor Piraness</t>
  </si>
  <si>
    <t>РАБ.Р3.6.048</t>
  </si>
  <si>
    <t>Шлифовка бетонного основания мозаично-шлифовальными машинами с алмазными сегментами</t>
  </si>
  <si>
    <t>РАБ.Р3.6.048 — Шлифовка бетонного основания мозаично-шлифовальными машинами с алмазными сегментами</t>
  </si>
  <si>
    <t>РАБ.Р3.6.049</t>
  </si>
  <si>
    <t>Выравнивание бетонного основания полимерными компаундами с кварцевым песком, толщиной до 4 мм</t>
  </si>
  <si>
    <t>РАБ.Р3.6.049 — Выравнивание бетонного основания полимерными компаундами с кварцевым песком, толщиной до 4 мм</t>
  </si>
  <si>
    <t>РАБ.Р3.6.050</t>
  </si>
  <si>
    <t>Устройство полимерного наливного пола FEIDAL</t>
  </si>
  <si>
    <t>РАБ.Р3.6.050 — Устройство полимерного наливного пола FEIDAL</t>
  </si>
  <si>
    <t>РАБ.Р3.6.051</t>
  </si>
  <si>
    <t>Устройство антистатического контура</t>
  </si>
  <si>
    <t>РАБ.Р3.6.051 — Устройство антистатического контура</t>
  </si>
  <si>
    <t>РАБ.Р3.7.001</t>
  </si>
  <si>
    <t>Монтаж дверного блока бронированного</t>
  </si>
  <si>
    <t>РАБ.Р3.7.001 — Монтаж дверного блока бронированного</t>
  </si>
  <si>
    <t>РАБ.Р3.7.002</t>
  </si>
  <si>
    <t>РАБ.Р3.7.002 — Монтаж дверного блока бронированного</t>
  </si>
  <si>
    <t>РАБ.Р3.7.003</t>
  </si>
  <si>
    <t>Дверной блок 5-го класса устойчивости к взлому с решетчатой дверью . 2 замка СИ600 900х2100 мм по раме.</t>
  </si>
  <si>
    <t>РАБ.Р3.7.003 — Дверной блок 5-го класса устойчивости к взлому с решетчатой дверью . 2 замка СИ600 900х2100 мм по раме.</t>
  </si>
  <si>
    <t>РАБ.Р3.7.004</t>
  </si>
  <si>
    <t>Установка доводчиков на бронированных металлических дверях</t>
  </si>
  <si>
    <t>РАБ.Р3.7.004 — Установка доводчиков на бронированных металлических дверях</t>
  </si>
  <si>
    <t>РАБ.Р3.7.005</t>
  </si>
  <si>
    <t>Укрепление стен, перегородок и потолка арматурой или прутом диаметром 10 мм, ячейкой 150х150 мм с анкерным креплением из арматуры</t>
  </si>
  <si>
    <t>РАБ.Р3.7.005 — Укрепление стен, перегородок и потолка арматурой или прутом диаметром 10 мм, ячейкой 150х150 мм с анкерным креплением из арматуры</t>
  </si>
  <si>
    <t>РАБ.Р3.7.006</t>
  </si>
  <si>
    <t>Укрепление стен, перегородок и потолка арматурой или прутом диаметром 10 мм, ячейкой 100х100 мм с анкерным креплением из арматуры</t>
  </si>
  <si>
    <t>РАБ.Р3.7.006 — Укрепление стен, перегородок и потолка арматурой или прутом диаметром 10 мм, ячейкой 100х100 мм с анкерным креплением из арматуры</t>
  </si>
  <si>
    <t>РАБ.Р3.7.007</t>
  </si>
  <si>
    <t>Укрепление стен, перегородок и потолка арматурой или прутом диаметром 12 мм, ячейкой 150х150 мм с анкерным креплением из арматуры</t>
  </si>
  <si>
    <t>РАБ.Р3.7.007 — Укрепление стен, перегородок и потолка арматурой или прутом диаметром 12 мм, ячейкой 150х150 мм с анкерным креплением из арматуры</t>
  </si>
  <si>
    <t>РАБ.Р3.7.008</t>
  </si>
  <si>
    <t>Укрепление стен, перегородок и потолка арматурой или прутом диаметром 16 мм, ячейкой 150х150 мм (по 2 классу на взлом) с анкерным креплением из арматуры</t>
  </si>
  <si>
    <t>РАБ.Р3.7.008 — Укрепление стен, перегородок и потолка арматурой или прутом диаметром 16 мм, ячейкой 150х150 мм (по 2 классу на взлом) с анкерным креплением из арматуры</t>
  </si>
  <si>
    <t>РАБ.Р3.7.009</t>
  </si>
  <si>
    <t>Бронестекло ПУз-Бр3 (1000*1000 мм. Видимая часть). По раме 1090х1090 мм без учета лотка.</t>
  </si>
  <si>
    <t>БРОНЯ</t>
  </si>
  <si>
    <t>РАБ.Р3.7.009 — Бронестекло ПУз-Бр3 (1000*1000 мм. Видимая часть). По раме 1090х1090 мм без учета лотка.</t>
  </si>
  <si>
    <t>РАБ.Р3.7.010</t>
  </si>
  <si>
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Ш*В*…</t>
  </si>
  <si>
    <t>РАБ.Р3.7.010 — 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Ш*В*…</t>
  </si>
  <si>
    <t>РАБ.Р3.7.011</t>
  </si>
  <si>
    <t>Бронестекло ПУз-Бр3 (1090*1335 мм. ). В одной раме с лотком. Передаточный (подвижный, двухуровневый) лоток для передачи 5-ти банковских упаковок по 1000 листов Габаритные размеры 4…</t>
  </si>
  <si>
    <t>РАБ.Р3.7.011 — Бронестекло ПУз-Бр3 (1090*1335 мм. ). В одной раме с лотком. Передаточный (подвижный, двухуровневый) лоток для передачи 5-ти банковских упаковок по 1000 листов Габаритные размеры 4…</t>
  </si>
  <si>
    <t>РАБ.Р3.7.012</t>
  </si>
  <si>
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инкасс…</t>
  </si>
  <si>
    <t>РАБ.Р3.7.012 — 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инкасс…</t>
  </si>
  <si>
    <t>РАБ.Р3.7.013</t>
  </si>
  <si>
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левое,…</t>
  </si>
  <si>
    <t>РАБ.Р3.7.013 — 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левое,…</t>
  </si>
  <si>
    <t>РАБ.Р3.7.014</t>
  </si>
  <si>
    <t>Монтаж переговорного устройство DD-205T</t>
  </si>
  <si>
    <t>РАБ.Р3.7.014 — Монтаж переговорного устройство DD-205T</t>
  </si>
  <si>
    <t>РАБ.Р3.7.015</t>
  </si>
  <si>
    <t>РАБ.Р3.7.015 — Окраска поверхности</t>
  </si>
  <si>
    <t>РАБ.Р3.7.016</t>
  </si>
  <si>
    <t>Панели защитные, стеновые V класс взломостойкости, сварное соединение, бетонно-заливная. Покраска грунт</t>
  </si>
  <si>
    <t>РАБ.Р3.7.016 — Панели защитные, стеновые V класс взломостойкости, сварное соединение, бетонно-заливная. Покраска грунт</t>
  </si>
  <si>
    <t>РАБ.Р3.8.001</t>
  </si>
  <si>
    <t>Мобилизация обьекта (более 300 кв.м.)</t>
  </si>
  <si>
    <t>обьект</t>
  </si>
  <si>
    <t>РАБ.Р3.8.001 — Мобилизация обьекта (более 300 кв.м.)</t>
  </si>
  <si>
    <t>РАБ.Р3.8.002</t>
  </si>
  <si>
    <t>Мобилизация обьекта (менее 300 кв.м.)</t>
  </si>
  <si>
    <t>РАБ.Р3.8.002 — Мобилизация обьекта (менее 300 кв.м.)</t>
  </si>
  <si>
    <t>РАБ.Р3.8.003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</si>
  <si>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основан…</t>
  </si>
  <si>
    <t>РАБ.Р3.8.003 — 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основан…</t>
  </si>
  <si>
    <t>РАБ.Р3.8.004</t>
  </si>
  <si>
    <t>Грунтовка поверхности</t>
  </si>
  <si>
    <t>РАБ.Р3.8.004 — Грунтовка поверхности</t>
  </si>
  <si>
    <t>РАБ.Р3.8.005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</si>
  <si>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мм…</t>
  </si>
  <si>
    <t>РАБ.Р3.8.005 — 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мм…</t>
  </si>
  <si>
    <t>РАБ.Р3.8.006</t>
  </si>
  <si>
    <t>Масляная окраска стальных труб с учетом подготовки</t>
  </si>
  <si>
    <t>РАБ.Р3.8.006 — Масляная окраска стальных труб с учетом подготовки</t>
  </si>
  <si>
    <t>РАБ.Р3.8.007</t>
  </si>
  <si>
    <t>Устройство ограждения из нержавеющей стали (стойка и поручень)</t>
  </si>
  <si>
    <t>РАБ.Р3.8.007 — Устройство ограждения из нержавеющей стали (стойка и поручень)</t>
  </si>
  <si>
    <t>РАБ.Р3.8.008</t>
  </si>
  <si>
    <t>Установка отбойной доски из ламинированного ДСП, шириной до 600мм</t>
  </si>
  <si>
    <t>РАБ.Р3.8.008 — Установка отбойной доски из ламинированного ДСП, шириной до 600мм</t>
  </si>
  <si>
    <t>РАБ.Р3.8.009</t>
  </si>
  <si>
    <t>Установка рольставни с электроприводом</t>
  </si>
  <si>
    <t>РАБ.Р3.8.009 — Установка рольставни с электроприводом</t>
  </si>
  <si>
    <t>РАБ.Р3.8.010</t>
  </si>
  <si>
    <t>Установка алюминиевой рольставни</t>
  </si>
  <si>
    <t>РАБ.Р3.8.010 — Установка алюминиевой рольставни</t>
  </si>
  <si>
    <t>РАБ.Р3.8.011</t>
  </si>
  <si>
    <t>Заливка бетона М150</t>
  </si>
  <si>
    <t>РАБ.Р3.8.011 — Заливка бетона М150</t>
  </si>
  <si>
    <t>РАБ.Р3.8.012</t>
  </si>
  <si>
    <t>Монтаж металлического листа толщ. 4 мм</t>
  </si>
  <si>
    <t>РАБ.Р3.8.012 — Монтаж металлического листа толщ. 4 мм</t>
  </si>
  <si>
    <t>РАБ.Р3.8.013</t>
  </si>
  <si>
    <t>Изготовление и монтаж металлоконструкций</t>
  </si>
  <si>
    <t>РАБ.Р3.8.013 — Изготовление и монтаж металлоконструкций</t>
  </si>
  <si>
    <t>РАБ.Р3.8.014</t>
  </si>
  <si>
    <t>Устройство технологических проходов над помещениями из профильной трубы и просечной сетки.</t>
  </si>
  <si>
    <t>РАБ.Р3.8.014 — Устройство технологических проходов над помещениями из профильной трубы и просечной сетки.</t>
  </si>
  <si>
    <t>РАБ.Р3.8.015</t>
  </si>
  <si>
    <t>Монтаж мобильных лесов или тура</t>
  </si>
  <si>
    <t>РАБ.Р3.8.015 — Монтаж мобильных лесов или тура</t>
  </si>
  <si>
    <t>РАБ.Р3.8.016</t>
  </si>
  <si>
    <t>Укрытие мебели и перегородок пленкой полиэтиленовой на время производства работ</t>
  </si>
  <si>
    <t>РАБ.Р3.8.016 — Укрытие мебели и перегородок пленкой полиэтиленовой на время производства работ</t>
  </si>
  <si>
    <t>РАБ.Р3.8.017</t>
  </si>
  <si>
    <t>Монтаж экрана из поликарбоната.</t>
  </si>
  <si>
    <t>РАБ.Р3.8.017 — Монтаж экрана из поликарбоната.</t>
  </si>
  <si>
    <t>РАБ.Р3.8.018</t>
  </si>
  <si>
    <t>Лючки ревизии потайные</t>
  </si>
  <si>
    <t>РАБ.Р3.8.018 — Лючки ревизии потайные</t>
  </si>
  <si>
    <t>РАБ.Р3.8.019</t>
  </si>
  <si>
    <t>Окраска по металлу с учетом подготовки</t>
  </si>
  <si>
    <t>РАБ.Р3.8.019 — Окраска по металлу с учетом подготовки</t>
  </si>
  <si>
    <t>РАБ.Р3.8.020</t>
  </si>
  <si>
    <t>Пробивка отверстий в ЖБ плитах перекрытия толщиной до 250 мм.</t>
  </si>
  <si>
    <t>РАБ.Р3.8.020 — Пробивка отверстий в ЖБ плитах перекрытия толщиной до 250 мм.</t>
  </si>
  <si>
    <t>РАБ.Р3.8.021</t>
  </si>
  <si>
    <t>Обшивка стен листовой нержавеющей сталью толщиной 1 мм.</t>
  </si>
  <si>
    <t>РАБ.Р3.8.021 — Обшивка стен листовой нержавеющей сталью толщиной 1 мм.</t>
  </si>
  <si>
    <t>РАБ.Р3.8.022</t>
  </si>
  <si>
    <t>Обшивка каркаса лестничного марша ГКЛВ</t>
  </si>
  <si>
    <t>РАБ.Р3.8.022 — Обшивка каркаса лестничного марша ГКЛВ</t>
  </si>
  <si>
    <t>РАБ.Р3.8.023</t>
  </si>
  <si>
    <t>Устройство каркаса лестничного марша под крепление сэндвич- панелей из металоконструкций</t>
  </si>
  <si>
    <t>РАБ.Р3.8.023 — Устройство каркаса лестничного марша под крепление сэндвич- панелей из металоконструкций</t>
  </si>
  <si>
    <t>РАБ.Р3.8.024</t>
  </si>
  <si>
    <t>Обшивка каркаса лестничного марша сэндвич - панелями Ruukki ( RE 90)</t>
  </si>
  <si>
    <t>РАБ.Р3.8.024 — Обшивка каркаса лестничного марша сэндвич - панелями Ruukki ( RE 90)</t>
  </si>
  <si>
    <t>РАБ.Р3.8.025</t>
  </si>
  <si>
    <t>Заделка рустов в фундаментных блоках примыканий стена-пол смесью типа "Gidro S2"</t>
  </si>
  <si>
    <t>РАБ.Р3.8.025 — Заделка рустов в фундаментных блоках примыканий стена-пол смесью типа "Gidro S2"</t>
  </si>
  <si>
    <t>РАБ.Р3.8.026</t>
  </si>
  <si>
    <t>Обработка поверхности стен составом "Gidro +" 2 раза</t>
  </si>
  <si>
    <t>РАБ.Р3.8.026 — Обработка поверхности стен составом "Gidro +" 2 раза</t>
  </si>
  <si>
    <t>РАБ.Р3.8.027</t>
  </si>
  <si>
    <t>Установка конвекционных решеток из ПВХ 600*900 мм</t>
  </si>
  <si>
    <t>РАБ.Р3.8.027 — Установка конвекционных решеток из ПВХ 600*900 мм</t>
  </si>
  <si>
    <t>РАБ.Р3.8.028</t>
  </si>
  <si>
    <t>Армирование площадки арматурой АIII</t>
  </si>
  <si>
    <t>РАБ.Р3.8.028 — Армирование площадки арматурой АIII</t>
  </si>
  <si>
    <t>РАБ.Р3.8.029</t>
  </si>
  <si>
    <t>Монтаж наборных ступеней ЛС 13-14</t>
  </si>
  <si>
    <t>РАБ.Р3.8.029 — Монтаж наборных ступеней ЛС 13-14</t>
  </si>
  <si>
    <t>РАБ.Р3.8.030</t>
  </si>
  <si>
    <t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</t>
  </si>
  <si>
    <t>РАБ.Р3.8.030 — 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</t>
  </si>
  <si>
    <t>РАБ.Р3.8.031</t>
  </si>
  <si>
    <t>Установка подъемно трансформируемого устройства (ПТУ - 001) с радиоуправляемым пультом и доплнительным ограждением</t>
  </si>
  <si>
    <t>РАБ.Р3.8.031 — Установка подъемно трансформируемого устройства (ПТУ - 001) с радиоуправляемым пультом и доплнительным ограждением</t>
  </si>
  <si>
    <t>РАБ.Р4.1.001</t>
  </si>
  <si>
    <t>Частичный ремонт цементно-песчаной стяжки под устройсво рулонной кровли толщиной 50 мм</t>
  </si>
  <si>
    <t>Р4</t>
  </si>
  <si>
    <t>Наружные строительные работы</t>
  </si>
  <si>
    <t>РАБ.Р4.1.001 — Частичный ремонт цементно-песчаной стяжки под устройсво рулонной кровли толщиной 50 мм</t>
  </si>
  <si>
    <t>РАБ.Р4.1.002</t>
  </si>
  <si>
    <t>Устройство рулонной мягкой кровли в 2 слоя с нахлестом на поребрик (мастика, стеклогидроизол, газовая горелка)</t>
  </si>
  <si>
    <t>РАБ.Р4.1.002 — Устройство рулонной мягкой кровли в 2 слоя с нахлестом на поребрик (мастика, стеклогидроизол, газовая горелка)</t>
  </si>
  <si>
    <t>РАБ.Р4.1.003</t>
  </si>
  <si>
    <t>Устройство примыкания (шва) между кровлей и стеной</t>
  </si>
  <si>
    <t>РАБ.Р4.1.003 — Устройство примыкания (шва) между кровлей и стеной</t>
  </si>
  <si>
    <t>РАБ.Р4.1.004</t>
  </si>
  <si>
    <t>Устройство кровли из профлиста, металлочерепицы по деревянной обрешетке</t>
  </si>
  <si>
    <t>РАБ.Р4.1.004 — Устройство кровли из профлиста, металлочерепицы по деревянной обрешетке</t>
  </si>
  <si>
    <t>РАБ.Р4.1.005</t>
  </si>
  <si>
    <t>Грунтовка битумной мастикой примыканий и поверхности ремонтируемой кровли</t>
  </si>
  <si>
    <t>РАБ.Р4.1.005 — Грунтовка битумной мастикой примыканий и поверхности ремонтируемой кровли</t>
  </si>
  <si>
    <t>РАБ.Р4.1.006</t>
  </si>
  <si>
    <t>Монтаж водоотводных воронок с грязеуловителями</t>
  </si>
  <si>
    <t>РАБ.Р4.1.006 — Монтаж водоотводных воронок с грязеуловителями</t>
  </si>
  <si>
    <t>РАБ.Р4.1.007</t>
  </si>
  <si>
    <t>Заделка стыков морозоустойчивым герметиком</t>
  </si>
  <si>
    <t>РАБ.Р4.1.007 — Заделка стыков морозоустойчивым герметиком</t>
  </si>
  <si>
    <t>РАБ.Р4.1.008</t>
  </si>
  <si>
    <t>Ревизия кровли и водосточных систем с подготовкой акта</t>
  </si>
  <si>
    <t>РАБ.Р4.1.008 — Ревизия кровли и водосточных систем с подготовкой акта</t>
  </si>
  <si>
    <t>РАБ.Р4.1.009</t>
  </si>
  <si>
    <t>Устройство мелких покрытий (брандмауэры, парапеты, свесы и т.р.) из листовой оцинкованной стали</t>
  </si>
  <si>
    <t>РАБ.Р4.1.009 — Устройство мелких покрытий (брандмауэры, парапеты, свесы и т.р.) из листовой оцинкованной стали</t>
  </si>
  <si>
    <t>РАБ.Р4.1.010</t>
  </si>
  <si>
    <t>Подъем материалов на крышу здания</t>
  </si>
  <si>
    <t>РАБ.Р4.1.010 — Подъем материалов на крышу здания</t>
  </si>
  <si>
    <t>РАБ.Р4.1.011</t>
  </si>
  <si>
    <t>Устройство фартука из оцинкованной стали</t>
  </si>
  <si>
    <t>РАБ.Р4.1.011 — Устройство фартука из оцинкованной стали</t>
  </si>
  <si>
    <t>РАБ.Р4.1.012</t>
  </si>
  <si>
    <t>Устройство эл подогрева воронок и кровли вокруг низ не менее 1 п.м от воронки</t>
  </si>
  <si>
    <t>РАБ.Р4.1.012 — Устройство эл подогрева воронок и кровли вокруг низ не менее 1 п.м от воронки</t>
  </si>
  <si>
    <t>РАБ.Р4.2.001</t>
  </si>
  <si>
    <t>Устройство основания под штукатурку из металлической сетки по кирпичным и бетонным поверхностям</t>
  </si>
  <si>
    <t>РАБ.Р4.2.001 — Устройство основания под штукатурку из металлической сетки по кирпичным и бетонным поверхностям</t>
  </si>
  <si>
    <t>РАБ.Р4.2.002</t>
  </si>
  <si>
    <t>Штукатурка фасада по сетке морозоустройчивыми смесями с устройством "рисунка" согласно архитектуры фасада здания</t>
  </si>
  <si>
    <t>РАБ.Р4.2.002 — Штукатурка фасада по сетке морозоустройчивыми смесями с устройством "рисунка" согласно архитектуры фасада здания</t>
  </si>
  <si>
    <t>РАБ.Р4.2.003</t>
  </si>
  <si>
    <t>Ремонт штукатурки гладких фасадов по камню и бетону цементно-известковым раствором толщиной слоя до 20 мм</t>
  </si>
  <si>
    <t>РАБ.Р4.2.003 — Ремонт штукатурки гладких фасадов по камню и бетону цементно-известковым раствором толщиной слоя до 20 мм</t>
  </si>
  <si>
    <t>РАБ.Р4.2.004</t>
  </si>
  <si>
    <t>Частичный ремонт фасада (расшивка и заделка трещин на штукарке, шпатлевка выбоин, сколов)</t>
  </si>
  <si>
    <t>РАБ.Р4.2.004 — Частичный ремонт фасада (расшивка и заделка трещин на штукарке, шпатлевка выбоин, сколов)</t>
  </si>
  <si>
    <t>РАБ.Р4.2.005</t>
  </si>
  <si>
    <t>Грунтовка фасада глубопроникающей грунтовкой за два раза</t>
  </si>
  <si>
    <t>РАБ.Р4.2.005 — Грунтовка фасада глубопроникающей грунтовкой за два раза</t>
  </si>
  <si>
    <t>РАБ.Р4.2.006</t>
  </si>
  <si>
    <t>Шпатлевка фасада смесями Vetonit VH</t>
  </si>
  <si>
    <t>РАБ.Р4.2.006 — Шпатлевка фасада смесями Vetonit VH</t>
  </si>
  <si>
    <t>РАБ.Р4.2.007</t>
  </si>
  <si>
    <t>РАБ.Р4.2.007 — Окраска поверхности</t>
  </si>
  <si>
    <t>РАБ.Р4.2.008</t>
  </si>
  <si>
    <t>Установка и разборка лесов</t>
  </si>
  <si>
    <t>РАБ.Р4.2.008 — Установка и разборка лесов</t>
  </si>
  <si>
    <t>РАБ.Р4.2.009</t>
  </si>
  <si>
    <t>Монтаж фасада из композитных панелей "Алюкобонд" с подсистемой без утеплителя</t>
  </si>
  <si>
    <t>РАБ.Р4.2.009 — Монтаж фасада из композитных панелей "Алюкобонд" с подсистемой без утеплителя</t>
  </si>
  <si>
    <t>РАБ.Р4.2.010</t>
  </si>
  <si>
    <t>Монтаж фасада из композитных панелей "Алюкобонд" с подсистемой с утеплителем 100 мм. и ветровлагозащиткая мембраной (негорючая).</t>
  </si>
  <si>
    <t>РАБ.Р4.2.010 — Монтаж фасада из композитных панелей "Алюкобонд" с подсистемой с утеплителем 100 мм. и ветровлагозащиткая мембраной (негорючая).</t>
  </si>
  <si>
    <t>РАБ.Р4.2.011</t>
  </si>
  <si>
    <t>Монтаж фасада из кассетного профиля (оцинкованный лист окрашенный) без утеплителя</t>
  </si>
  <si>
    <t>РАБ.Р4.2.011 — Монтаж фасада из кассетного профиля (оцинкованный лист окрашенный) без утеплителя</t>
  </si>
  <si>
    <t>РАБ.Р4.2.012</t>
  </si>
  <si>
    <t>Монтаж фасада из кассетного профиля (оцинкованный лист окрашенный) с утеплением</t>
  </si>
  <si>
    <t>РАБ.Р4.2.012 — Монтаж фасада из кассетного профиля (оцинкованный лист окрашенный) с утеплением</t>
  </si>
  <si>
    <t>РАБ.Р4.2.013</t>
  </si>
  <si>
    <t>Изоляция покрытий теплоизоляционными матами URSA</t>
  </si>
  <si>
    <t>РАБ.Р4.2.013 — Изоляция покрытий теплоизоляционными матами URSA</t>
  </si>
  <si>
    <t>РАБ.Р4.2.014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</si>
  <si>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</si>
  <si>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РАБ.Р4.2.014 — 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</si>
  <si>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РАБ.Р4.2.015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</si>
  <si>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</si>
  <si>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РАБ.Р4.2.015 — Облицовка оконных и дверных откосов планкой из оцинкованной стали с полимерным покрытием с устройством водоотлива и наличником.</t>
  </si>
  <si>
    <t>РАБ.Р4.2.016</t>
  </si>
  <si>
    <t>Устройство пароизоляции</t>
  </si>
  <si>
    <t>РАБ.Р4.2.016 — Устройство пароизоляции</t>
  </si>
  <si>
    <t>РАБ.Р4.2.017</t>
  </si>
  <si>
    <t>Очистка фасада от пыли грязи, навесных и монтажных элементов</t>
  </si>
  <si>
    <t>РАБ.Р4.2.017 — Очистка фасада от пыли грязи, навесных и монтажных элементов</t>
  </si>
  <si>
    <t>РАБ.Р4.2.018</t>
  </si>
  <si>
    <t>Облицовка ступеней крыльца керамогранитом 300х300 мм.</t>
  </si>
  <si>
    <t>РАБ.Р4.2.018 — Облицовка ступеней крыльца керамогранитом 300х300 мм.</t>
  </si>
  <si>
    <t>РАБ.Р4.2.019</t>
  </si>
  <si>
    <t>Облицовка крыльца клинкерной плиткой</t>
  </si>
  <si>
    <t>РАБ.Р4.2.019 — Облицовка крыльца клинкерной плиткой</t>
  </si>
  <si>
    <t>РАБ.Р4.2.020</t>
  </si>
  <si>
    <t>Крепление Г-образных алюминиевых с резиновой вставкой противоскользящик порогов на ступени-25*45</t>
  </si>
  <si>
    <t>РАБ.Р4.2.020 — Крепление Г-образных алюминиевых с резиновой вставкой противоскользящик порогов на ступени-25*45</t>
  </si>
  <si>
    <t>РАБ.Р4.2.021</t>
  </si>
  <si>
    <t>Устройство козырьков на основе профтрубы (с грунтовкой и покраской) из поликарбоната</t>
  </si>
  <si>
    <t>РАБ.Р4.2.021 — Устройство козырьков на основе профтрубы (с грунтовкой и покраской) из поликарбоната</t>
  </si>
  <si>
    <t>РАБ.Р4.2.022</t>
  </si>
  <si>
    <t>Монтаж ветрозащиты (пароизоляции) негорючей</t>
  </si>
  <si>
    <t>РАБ.Р4.2.022 — Монтаж ветрозащиты (пароизоляции) негорючей</t>
  </si>
  <si>
    <t>РАБ.Р4.2.023</t>
  </si>
  <si>
    <t>Козырёк из триплекса на подвесах, габариты 1000*1500</t>
  </si>
  <si>
    <t>РАБ.Р4.2.023 — Козырёк из триплекса на подвесах, габариты 1000*1500</t>
  </si>
  <si>
    <t>РАБ.Р4.2.024</t>
  </si>
  <si>
    <t>Козырёк из триплекса на подвесах, габариты 1000*2000</t>
  </si>
  <si>
    <t>РАБ.Р4.2.024 — Козырёк из триплекса на подвесах, габариты 1000*2000</t>
  </si>
  <si>
    <t>РАБ.Р4.2.025</t>
  </si>
  <si>
    <t>Козырёк из триплекса на подвесах, габариты 1000*1000</t>
  </si>
  <si>
    <t>РАБ.Р4.2.025 — Козырёк из триплекса на подвесах, габариты 1000*1000</t>
  </si>
  <si>
    <t>РАБ.Р4.3.001</t>
  </si>
  <si>
    <t>Устройство каркаса из бруса (брус 100х50, 50х50, доска 150х15, саморезы, скобы, гвозди) с последующим демантажом</t>
  </si>
  <si>
    <t>РАБ.Р4.3.001 — Устройство каркаса из бруса (брус 100х50, 50х50, доска 150х15, саморезы, скобы, гвозди) с последующим демантажом</t>
  </si>
  <si>
    <t>РАБ.Р4.3.002</t>
  </si>
  <si>
    <t>Устройство защитного шатра из полиэтиленовой пленкой до 100 мкр., с последующим демонтажом</t>
  </si>
  <si>
    <t>РАБ.Р4.3.002 — Устройство защитного шатра из полиэтиленовой пленкой до 100 мкр., с последующим демонтажом</t>
  </si>
  <si>
    <t>РАБ.Р4.3.003</t>
  </si>
  <si>
    <t>Устройство защитного полотна из сетки строительной фасадной (зеленая мелкоячеистая) с последующим демантажом</t>
  </si>
  <si>
    <t>РАБ.Р4.3.003 — Устройство защитного полотна из сетки строительной фасадной (зеленая мелкоячеистая) с последующим демантажом</t>
  </si>
  <si>
    <t>РАБ.Р4.3.004</t>
  </si>
  <si>
    <t>Отопление временных конструкций в зимний период (электрическая пушка)</t>
  </si>
  <si>
    <t>м/час</t>
  </si>
  <si>
    <t>РАБ.Р4.3.004 — Отопление временных конструкций в зимний период (электрическая пушка)</t>
  </si>
  <si>
    <t>РАБ.Р4.3.005</t>
  </si>
  <si>
    <t>Отопление временных конструкций в зимний период (дизельная пушка)</t>
  </si>
  <si>
    <t>РАБ.Р4.3.005 — Отопление временных конструкций в зимний период (дизельная пушка)</t>
  </si>
  <si>
    <t>РАБ.Р4.3.006</t>
  </si>
  <si>
    <t>Отопление временных конструкций в зимний период (газовая пушка)</t>
  </si>
  <si>
    <t>РАБ.Р4.3.006 — Отопление временных конструкций в зимний период (газовая пушка)</t>
  </si>
  <si>
    <t>РАБ.Р4.5.001</t>
  </si>
  <si>
    <t>Разработка грунта вручную</t>
  </si>
  <si>
    <t>РАБ.Р4.5.001 — Разработка грунта вручную</t>
  </si>
  <si>
    <t>РАБ.Р4.5.002</t>
  </si>
  <si>
    <t>Обратная засыпка грунта вручную</t>
  </si>
  <si>
    <t>РАБ.Р4.5.002 — Обратная засыпка грунта вручную</t>
  </si>
  <si>
    <t>РАБ.Р4.5.003</t>
  </si>
  <si>
    <t>Подготовка подстилающих слоев вручную с уплотнением</t>
  </si>
  <si>
    <t>РАБ.Р4.5.003 — Подготовка подстилающих слоев вручную с уплотнением</t>
  </si>
  <si>
    <t>РАБ.Р4.5.004</t>
  </si>
  <si>
    <t>Установка подъемно секционных ворот автоматических 3000Х3000 мм</t>
  </si>
  <si>
    <t>РАБ.Р4.5.004 — Установка подъемно секционных ворот автоматических 3000Х3000 мм</t>
  </si>
  <si>
    <t>РАБ.Р4.5.005</t>
  </si>
  <si>
    <t>Установка подъемно секционных ворот автоматических 4500Х3000 мм</t>
  </si>
  <si>
    <t>РАБ.Р4.5.005 — Установка подъемно секционных ворот автоматических 4500Х3000 мм</t>
  </si>
  <si>
    <t>РАБ.Р4.5.006</t>
  </si>
  <si>
    <t>Установка автоматического шлагбаума GARD 4000-кр</t>
  </si>
  <si>
    <t>РАБ.Р4.5.006 — Установка автоматического шлагбаума GARD 4000-кр</t>
  </si>
  <si>
    <t>РАБ.Р4.5.007</t>
  </si>
  <si>
    <t>Устройство ограждения прилегающей территории ( Н - 2м. Проф-труба 60Х40 мм. с шагом 100 мм. Порошковая окраска - цвет черный).</t>
  </si>
  <si>
    <t>РАБ.Р4.5.007 — Устройство ограждения прилегающей территории ( Н - 2м. Проф-труба 60Х40 мм. с шагом 100 мм. Порошковая окраска - цвет черный).</t>
  </si>
  <si>
    <t>РАБ.Р4.5.008</t>
  </si>
  <si>
    <t>Разметка стоянок под автомобили</t>
  </si>
  <si>
    <t>РАБ.Р4.5.008 — Разметка стоянок под автомобили</t>
  </si>
  <si>
    <t>РАБ.Р4.5.009</t>
  </si>
  <si>
    <t>Облицовка фасада профлистом крашенным по RAL</t>
  </si>
  <si>
    <t>РАБ.Р4.5.009 — Облицовка фасада профлистом крашенным по RAL</t>
  </si>
  <si>
    <t>РАБ.Р4.5.010</t>
  </si>
  <si>
    <t>Устройство приямков</t>
  </si>
  <si>
    <t>РАБ.Р4.5.010 — Устройство приямков</t>
  </si>
  <si>
    <t>РАБ.Р4.5.011</t>
  </si>
  <si>
    <t>Укладка геотекстиля</t>
  </si>
  <si>
    <t>РАБ.Р4.5.011 — Укладка геотекстиля</t>
  </si>
  <si>
    <t>РАБ.Р4.5.012</t>
  </si>
  <si>
    <t>Укладка тротуарной плитки (толщину и цвет согласовать с заказчиком)</t>
  </si>
  <si>
    <t>РАБ.Р4.5.012 — Укладка тротуарной плитки (толщину и цвет согласовать с заказчиком)</t>
  </si>
  <si>
    <t>РАБ.Р4.5.013</t>
  </si>
  <si>
    <t>Устройство бордюра тротуарного</t>
  </si>
  <si>
    <t>РАБ.Р4.5.013 — Устройство бордюра тротуарного</t>
  </si>
  <si>
    <t>РАБ.Р4.5.014</t>
  </si>
  <si>
    <t>Устройство асфальтового покрытия</t>
  </si>
  <si>
    <t>РАБ.Р4.5.014 — Устройство асфальтового покрытия</t>
  </si>
  <si>
    <t>РАБ.Р4.5.015</t>
  </si>
  <si>
    <t>Устройство пандуса СНиП 35-01-2001 СП 59.13330.2012 ГОСТ Р 51261-2017 Материалы Каркас — нержавеющая сталь AISI 304. Настил — алюминиевый рифленый лист «Квинтет» Перила — нержавеющ…</t>
  </si>
  <si>
    <t>РАБ.Р4.5.015 — Устройство пандуса СНиП 35-01-2001 СП 59.13330.2012 ГОСТ Р 51261-2017 Материалы Каркас — нержавеющая сталь AISI 304. Настил — алюминиевый рифленый лист «Квинтет» Перила — нержавеющ…</t>
  </si>
  <si>
    <t>РАБ.Р5.1.001</t>
  </si>
  <si>
    <t>Установка пожарного шкафа в комлекте с пожарным рукавом 20 м и огнетушителем</t>
  </si>
  <si>
    <t>Р5</t>
  </si>
  <si>
    <t>Водоснабжение и канализация</t>
  </si>
  <si>
    <t>РАБ.Р5.1.001 — Установка пожарного шкафа в комлекте с пожарным рукавом 20 м и огнетушителем</t>
  </si>
  <si>
    <t>РАБ.Р5.1.002</t>
  </si>
  <si>
    <t>Установка пожарного шкафа двойного в комлекте с пожарными рукавами 20м- 2шт. и огнетушителями-2шт. ШПК-03-12</t>
  </si>
  <si>
    <t>РАБ.Р5.1.002 — Установка пожарного шкафа двойного в комлекте с пожарными рукавами 20м- 2шт. и огнетушителями-2шт. ШПК-03-12</t>
  </si>
  <si>
    <t>РАБ.Р5.1.003</t>
  </si>
  <si>
    <t>Врезка в существующий пожарный водопрвод</t>
  </si>
  <si>
    <t>РАБ.Р5.1.003 — Врезка в существующий пожарный водопрвод</t>
  </si>
  <si>
    <t>РАБ.Р5.1.004</t>
  </si>
  <si>
    <t>Установка пожарных кранов</t>
  </si>
  <si>
    <t>АРМ.ОВ</t>
  </si>
  <si>
    <t>РАБ.Р5.1.004 — Установка пожарных кранов</t>
  </si>
  <si>
    <t>РАБ.Р5.1.005</t>
  </si>
  <si>
    <t>Монтаж трубы электросварной д 50 мм</t>
  </si>
  <si>
    <t>ТРУБА.ОВ</t>
  </si>
  <si>
    <t>РАБ.Р5.1.005 — Монтаж трубы электросварной д 50 мм</t>
  </si>
  <si>
    <t>РАБ.Р5.2.001</t>
  </si>
  <si>
    <t>Установка Крючка для вещей и одежды. Merida MHW31 матовый</t>
  </si>
  <si>
    <t>РАБ.Р5.2.001 — Установка Крючка для вещей и одежды. Merida MHW31 матовый</t>
  </si>
  <si>
    <t>РАБ.Р5.2.002</t>
  </si>
  <si>
    <t>Установка корзины для использованных бумажных полотенец на 27 литров. Merida KSM 101. Матовый.</t>
  </si>
  <si>
    <t>РАБ.Р5.2.002 — Установка корзины для использованных бумажных полотенец на 27 литров. Merida KSM 101. Матовый.</t>
  </si>
  <si>
    <t>РАБ.Р5.2.003</t>
  </si>
  <si>
    <t>Установка щетки санитарной. Merida TAS02 (364747). Матовый.</t>
  </si>
  <si>
    <t>РАБ.Р5.2.003 — Установка щетки санитарной. Merida TAS02 (364747). Матовый.</t>
  </si>
  <si>
    <t>РАБ.Р5.2.004</t>
  </si>
  <si>
    <t>Ревизия и установка Люстр заказчика (без стоимости люстры) с заменой ламп</t>
  </si>
  <si>
    <t>РАБ.Р5.2.004 — Ревизия и установка Люстр заказчика (без стоимости люстры) с заменой ламп</t>
  </si>
  <si>
    <t>РАБ.Р5.3.001</t>
  </si>
  <si>
    <t>Установка унитаза / писсуара / инсталляции</t>
  </si>
  <si>
    <t>СТП.УНИТ</t>
  </si>
  <si>
    <t>РАБ.Р5.3.001 — Установка унитаза / писсуара / инсталляции</t>
  </si>
  <si>
    <t>РАБ.Р5.3.002</t>
  </si>
  <si>
    <t>Установка умывальника / раковины / мойки</t>
  </si>
  <si>
    <t>СТП.РАК</t>
  </si>
  <si>
    <t>РАБ.Р5.3.002 — Установка умывальника / раковины / мойки</t>
  </si>
  <si>
    <t>РАБ.Р5.3.003</t>
  </si>
  <si>
    <t>РАБ.Р5.3.003 — Установка умывальника / раковины / мойки</t>
  </si>
  <si>
    <t>РАБ.Р5.3.004</t>
  </si>
  <si>
    <t>Установка системы инсталяции Geberit Duofix UP320 111.300.00.5</t>
  </si>
  <si>
    <t>РАБ.Р5.3.004 — Установка системы инсталяции Geberit Duofix UP320 111.300.00.5</t>
  </si>
  <si>
    <t>РАБ.Р5.3.005</t>
  </si>
  <si>
    <t>РАБ.Р5.3.005 — Установка унитаза / писсуара / инсталляции</t>
  </si>
  <si>
    <t>РАБ.Р5.3.006</t>
  </si>
  <si>
    <t>Установка смесителя / водоразборной арматуры</t>
  </si>
  <si>
    <t>СТП.СМЕС</t>
  </si>
  <si>
    <t>РАБ.Р5.3.006 — Установка смесителя / водоразборной арматуры</t>
  </si>
  <si>
    <t>РАБ.Р5.3.007</t>
  </si>
  <si>
    <t>РАБ.Р5.3.007 — Установка умывальника / раковины / мойки</t>
  </si>
  <si>
    <t>РАБ.Р5.3.008</t>
  </si>
  <si>
    <t>Установка смесителя для раковины Damixa Jupiter 770230001 с гигиеническим душем, хром</t>
  </si>
  <si>
    <t>РАБ.Р5.3.008 — Установка смесителя для раковины Damixa Jupiter 770230001 с гигиеническим душем, хром</t>
  </si>
  <si>
    <t>РАБ.Р5.3.009</t>
  </si>
  <si>
    <t>РАБ.Р5.3.009 — Установка смесителя / водоразборной арматуры</t>
  </si>
  <si>
    <t>РАБ.Р5.3.010</t>
  </si>
  <si>
    <t>Устройство учета и управления ГВС и ХВС (счетчики, фильтр грубой очисти, манометр давления, гребенка, крепления, метизы, фасонные детали, краны вводные bugatti ф1/2 дюйма)</t>
  </si>
  <si>
    <t>РАБ.Р5.3.010 — Устройство учета и управления ГВС и ХВС (счетчики, фильтр грубой очисти, манометр давления, гребенка, крепления, метизы, фасонные детали, краны вводные bugatti ф1/2 дюйма)</t>
  </si>
  <si>
    <t>РАБ.Р5.3.011</t>
  </si>
  <si>
    <t>Монтаж трубопровода (отопление / водоснабжение)</t>
  </si>
  <si>
    <t>РАБ.Р5.3.011 — Монтаж трубопровода (отопление / водоснабжение)</t>
  </si>
  <si>
    <t>РАБ.Р5.3.012</t>
  </si>
  <si>
    <t>Монтаж арматуры и фасонных частей (ВК / отопление)</t>
  </si>
  <si>
    <t>РАБ.Р5.3.012 — Монтаж арматуры и фасонных частей (ВК / отопление)</t>
  </si>
  <si>
    <t>РАБ.Р5.3.013</t>
  </si>
  <si>
    <t>Монтаж трубопроводов канализации из полипропиленовых труб диаметром 50 мм</t>
  </si>
  <si>
    <t>РАБ.Р5.3.013 — Монтаж трубопроводов канализации из полипропиленовых труб диаметром 50 мм</t>
  </si>
  <si>
    <t>РАБ.Р5.3.014</t>
  </si>
  <si>
    <t>Прокладка канализации Ду50 (Труба канализационная чугунная безраструбная Duker SML Ду50)</t>
  </si>
  <si>
    <t>РАБ.Р5.3.014 — Прокладка канализации Ду50 (Труба канализационная чугунная безраструбная Duker SML Ду50)</t>
  </si>
  <si>
    <t>РАБ.Р5.3.015</t>
  </si>
  <si>
    <t>Прокладка канализации Ду50 скрыто в штробах и коробах (Труба канализационная раструбная ПНД Ду50)</t>
  </si>
  <si>
    <t>РАБ.Р5.3.015 — Прокладка канализации Ду50 скрыто в штробах и коробах (Труба канализационная раструбная ПНД Ду50)</t>
  </si>
  <si>
    <t>РАБ.Р5.3.016</t>
  </si>
  <si>
    <t>Монтаж трубопроводов канализации из полипропиленовых труб диаметром 110 мм</t>
  </si>
  <si>
    <t>РАБ.Р5.3.016 — Монтаж трубопроводов канализации из полипропиленовых труб диаметром 110 мм</t>
  </si>
  <si>
    <t>РАБ.Р5.3.017</t>
  </si>
  <si>
    <t>Подводка гибкая сантехническая</t>
  </si>
  <si>
    <t>РАБ.Р5.3.017 — Подводка гибкая сантехническая</t>
  </si>
  <si>
    <t>РАБ.Р5.3.018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</si>
  <si>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</si>
  <si>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РАБ.Р5.3.018 — Прокладка сетей холодного и горячего водопровода ДУ15 в подвале открыто (Труба водопроводная сшитый полипропилен + Изоляция Thermoflex Ду 15)</t>
  </si>
  <si>
    <t>РАБ.Р5.3.019</t>
  </si>
  <si>
    <t>Изоляция Thermoflex Ду 32</t>
  </si>
  <si>
    <t>РАБ.Р5.3.019 — Изоляция Thermoflex Ду 32</t>
  </si>
  <si>
    <t>РАБ.Р5.3.020</t>
  </si>
  <si>
    <t>Проход стояков 2хДу15 через перекрытие в гильзах</t>
  </si>
  <si>
    <t>РАБ.Р5.3.020 — Проход стояков 2хДу15 через перекрытие в гильзах</t>
  </si>
  <si>
    <t>РАБ.Р5.3.021</t>
  </si>
  <si>
    <t>Установка счетчиков на горячее и холодное водоснабжение</t>
  </si>
  <si>
    <t>РАБ.Р5.3.021 — Установка счетчиков на горячее и холодное водоснабжение</t>
  </si>
  <si>
    <t>РАБ.Р5.3.022</t>
  </si>
  <si>
    <t>Врезка в существующие сети ГВС/ХВС</t>
  </si>
  <si>
    <t>РАБ.Р5.3.022 — Врезка в существующие сети ГВС/ХВС</t>
  </si>
  <si>
    <t>РАБ.Р5.3.023</t>
  </si>
  <si>
    <t>Врезка в существующие сети канализации</t>
  </si>
  <si>
    <t>РАБ.Р5.3.023 — Врезка в существующие сети канализации</t>
  </si>
  <si>
    <t>РАБ.Р5.3.024</t>
  </si>
  <si>
    <t>Установка водонагревателя</t>
  </si>
  <si>
    <t>СТП.ВН</t>
  </si>
  <si>
    <t>РАБ.Р5.3.024 — Установка водонагревателя</t>
  </si>
  <si>
    <t>РАБ.Р5.3.025</t>
  </si>
  <si>
    <t>Капельная воронка HL 21</t>
  </si>
  <si>
    <t>РАБ.Р5.3.025 — Капельная воронка HL 21</t>
  </si>
  <si>
    <t>РАБ.Р5.3.026</t>
  </si>
  <si>
    <t>Ревизия системы водоснабжения и канализации</t>
  </si>
  <si>
    <t>РАБ.Р5.3.026 — Ревизия системы водоснабжения и канализации</t>
  </si>
  <si>
    <t>РАБ.Р5.3.027</t>
  </si>
  <si>
    <t>Установка душевой кабины River Neva 90/18 (сидение, зеркало, полки, душевая лейка, смеситель)</t>
  </si>
  <si>
    <t>РАБ.Р5.3.027 — Установка душевой кабины River Neva 90/18 (сидение, зеркало, полки, душевая лейка, смеситель)</t>
  </si>
  <si>
    <t>РАБ.Р5.3.028</t>
  </si>
  <si>
    <t>Сололифт Grundfos Sololift</t>
  </si>
  <si>
    <t>РАБ.Р5.3.028 — Сололифт Grundfos Sololift</t>
  </si>
  <si>
    <t>РАБ.Р5.3.029</t>
  </si>
  <si>
    <t>Монтаж гигиенического ручного душа Hansgrohe, шланг 1,6м, настенный держатель ( арт.3212800)</t>
  </si>
  <si>
    <t>РАБ.Р5.3.029 — Монтаж гигиенического ручного душа Hansgrohe, шланг 1,6м, настенный держатель ( арт.3212800)</t>
  </si>
  <si>
    <t>РАБ.Р5.3.030</t>
  </si>
  <si>
    <t>Монтаж металлического трубопровода D 110 мм (водоснабжение и канализация)</t>
  </si>
  <si>
    <t>РАБ.Р5.3.030 — Монтаж металлического трубопровода D 110 мм (водоснабжение и канализация)</t>
  </si>
  <si>
    <t>РАБ.Р5.3.031</t>
  </si>
  <si>
    <t>РАБ.Р5.3.031 — Монтаж трубопровода (отопление / водоснабжение)</t>
  </si>
  <si>
    <t>РАБ.Р5.3.032</t>
  </si>
  <si>
    <t>Монтаж задвижек 30с64нж Ду100 (водоснабжение и канализация)</t>
  </si>
  <si>
    <t>РАБ.Р5.3.032 — Монтаж задвижек 30с64нж Ду100 (водоснабжение и канализация)</t>
  </si>
  <si>
    <t>РАБ.Р5.3.033</t>
  </si>
  <si>
    <t>Монтаж задвижек 30с64нж Ду50</t>
  </si>
  <si>
    <t>РАБ.Р5.3.033 — Монтаж задвижек 30с64нж Ду50</t>
  </si>
  <si>
    <t>РАБ.Р5.3.034</t>
  </si>
  <si>
    <t>Клапан обратный 50 мм</t>
  </si>
  <si>
    <t>РАБ.Р5.3.034 — Клапан обратный 50 мм</t>
  </si>
  <si>
    <t>РАБ.Р5.3.035</t>
  </si>
  <si>
    <t>Монтаж Трубы ПВХ для систем наружной канализации ТУ 2248-057-72311668-2007 из ПВХ оранжевого цвета диаметром от 150 мм классом жесткости SN 4</t>
  </si>
  <si>
    <t>РАБ.Р5.3.035 — Монтаж Трубы ПВХ для систем наружной канализации ТУ 2248-057-72311668-2007 из ПВХ оранжевого цвета диаметром от 150 мм классом жесткости SN 4</t>
  </si>
  <si>
    <t>РАБ.Р5.4.001</t>
  </si>
  <si>
    <t>Перенос оросителя спринклера</t>
  </si>
  <si>
    <t>РАБ.Р5.4.001 — Перенос оросителя спринклера</t>
  </si>
  <si>
    <t>РАБ.Р5.4.002</t>
  </si>
  <si>
    <t>Устройство спринкерной системы пожаротушения ( в том числе гибкие подводки, оросители и т.д)</t>
  </si>
  <si>
    <t>РАБ.Р5.4.002 — Устройство спринкерной системы пожаротушения ( в том числе гибкие подводки, оросители и т.д)</t>
  </si>
  <si>
    <t>РАБ.Р6.1.001</t>
  </si>
  <si>
    <t>Отключение стояков отопления</t>
  </si>
  <si>
    <t>Р6</t>
  </si>
  <si>
    <t>Отопление</t>
  </si>
  <si>
    <t>РАБ.Р6.1.001 — Отключение стояков отопления</t>
  </si>
  <si>
    <t>РАБ.Р6.1.002</t>
  </si>
  <si>
    <t>Работы на существующих инженерных сетях (отключение / промывка / врезка)</t>
  </si>
  <si>
    <t>РАБ.Р6.1.002 — Работы на существующих инженерных сетях (отключение / промывка / врезка)</t>
  </si>
  <si>
    <t>РАБ.Р6.1.003</t>
  </si>
  <si>
    <t>Монтаж радиатора отопления</t>
  </si>
  <si>
    <t>секц.</t>
  </si>
  <si>
    <t>РАД</t>
  </si>
  <si>
    <t>РАБ.Р6.1.003 — Монтаж радиатора отопления</t>
  </si>
  <si>
    <t>РАБ.Р6.1.004</t>
  </si>
  <si>
    <t>РАБ.Р6.1.004 — Монтаж арматуры и фасонных частей (ВК / отопление)</t>
  </si>
  <si>
    <t>РАБ.Р6.1.005</t>
  </si>
  <si>
    <t>Монтаж комплектующих радиатора (кронштейны, узлы подключения)</t>
  </si>
  <si>
    <t>РАД.КОМПЛ</t>
  </si>
  <si>
    <t>РАБ.Р6.1.005 — Монтаж комплектующих радиатора (кронштейны, узлы подключения)</t>
  </si>
  <si>
    <t>РАБ.Р6.1.006</t>
  </si>
  <si>
    <t>РАБ.Р6.1.006 — Монтаж комплектующих радиатора (кронштейны, узлы подключения)</t>
  </si>
  <si>
    <t>РАБ.Р6.1.007</t>
  </si>
  <si>
    <t>Наценка на радиатор с нп Комплектация для радиатора с НП ( клапан термостатический с комплектующими , монтажный комплект</t>
  </si>
  <si>
    <t>РАБ.Р6.1.007 — Наценка на радиатор с нп Комплектация для радиатора с НП ( клапан термостатический с комплектующими , монтажный комплект</t>
  </si>
  <si>
    <t>РАБ.Р6.1.008</t>
  </si>
  <si>
    <t>РАБ.Р6.1.008 — Монтаж радиатора отопления</t>
  </si>
  <si>
    <t>РАБ.Р6.1.009</t>
  </si>
  <si>
    <t>РАБ.Р6.1.009 — Монтаж радиатора отопления</t>
  </si>
  <si>
    <t>РАБ.Р6.1.010</t>
  </si>
  <si>
    <t>РАБ.Р6.1.010 — Монтаж радиатора отопления</t>
  </si>
  <si>
    <t>РАБ.Р6.1.011</t>
  </si>
  <si>
    <t>РАБ.Р6.1.011 — Монтаж радиатора отопления</t>
  </si>
  <si>
    <t>РАБ.Р6.1.012</t>
  </si>
  <si>
    <t>РАБ.Р6.1.012 — Монтаж радиатора отопления</t>
  </si>
  <si>
    <t>РАБ.Р6.1.013</t>
  </si>
  <si>
    <t>РАБ.Р6.1.013 — Монтаж радиатора отопления</t>
  </si>
  <si>
    <t>РАБ.Р6.1.014</t>
  </si>
  <si>
    <t>РАБ.Р6.1.014 — Монтаж радиатора отопления</t>
  </si>
  <si>
    <t>РАБ.Р6.1.015</t>
  </si>
  <si>
    <t>РАБ.Р6.1.015 — Монтаж радиатора отопления</t>
  </si>
  <si>
    <t>РАБ.Р6.1.016</t>
  </si>
  <si>
    <t>РАБ.Р6.1.016 — Монтаж радиатора отопления</t>
  </si>
  <si>
    <t>РАБ.Р6.1.017</t>
  </si>
  <si>
    <t>РАБ.Р6.1.017 — Монтаж радиатора отопления</t>
  </si>
  <si>
    <t>РАБ.Р6.1.018</t>
  </si>
  <si>
    <t>Циркуляционный насос VALTEC 25-60 (VRS.256.13.0) DN25</t>
  </si>
  <si>
    <t>РАБ.Р6.1.018 — Циркуляционный насос VALTEC 25-60 (VRS.256.13.0) DN25</t>
  </si>
  <si>
    <t>РАБ.Р6.1.019</t>
  </si>
  <si>
    <t>РАБ.Р6.1.019 — Монтаж радиатора отопления</t>
  </si>
  <si>
    <t>РАБ.Р6.1.020</t>
  </si>
  <si>
    <t>РАБ.Р6.1.020 — Монтаж радиатора отопления</t>
  </si>
  <si>
    <t>РАБ.Р6.1.021</t>
  </si>
  <si>
    <t>РАБ.Р6.1.021 — Монтаж радиатора отопления</t>
  </si>
  <si>
    <t>РАБ.Р6.1.022</t>
  </si>
  <si>
    <t>Конвектор электрический Ballu с электронным термостатом 500 Вт</t>
  </si>
  <si>
    <t>РАБ.Р6.1.022 — Конвектор электрический Ballu с электронным термостатом 500 Вт</t>
  </si>
  <si>
    <t>РАБ.Р6.1.023</t>
  </si>
  <si>
    <t>Электрический Обогреватель ТеплЭко. (указать типоразмер)</t>
  </si>
  <si>
    <t>РАБ.Р6.1.023 — Электрический Обогреватель ТеплЭко. (указать типоразмер)</t>
  </si>
  <si>
    <t>РАБ.Р6.1.024</t>
  </si>
  <si>
    <t>Монтаж радиатора чугунного Радиаторы МС-140</t>
  </si>
  <si>
    <t>РАБ.Р6.1.024 — Монтаж радиатора чугунного Радиаторы МС-140</t>
  </si>
  <si>
    <t>РАБ.Р6.1.025</t>
  </si>
  <si>
    <t>РАБ.Р6.1.025 — Монтаж трубопровода (отопление / водоснабжение)</t>
  </si>
  <si>
    <t>РАБ.Р6.1.026</t>
  </si>
  <si>
    <t>Клапан VALTEC ручной, прямой 3/4 VT.008.LN.05</t>
  </si>
  <si>
    <t>РАБ.Р6.1.026 — Клапан VALTEC ручной, прямой 3/4 VT.008.LN.05</t>
  </si>
  <si>
    <t>РАБ.Р6.1.027</t>
  </si>
  <si>
    <t>Опрессовка системы отопления до 450 м.кв</t>
  </si>
  <si>
    <t>РАБ.Р6.1.027 — Опрессовка системы отопления до 450 м.кв</t>
  </si>
  <si>
    <t>РАБ.Р6.1.028</t>
  </si>
  <si>
    <t>Опрессовка системы отопления от 450 м.кв</t>
  </si>
  <si>
    <t>РАБ.Р6.1.028 — Опрессовка системы отопления от 450 м.кв</t>
  </si>
  <si>
    <t>РАБ.Р6.1.029</t>
  </si>
  <si>
    <t>Вырезка участка стояковых труб</t>
  </si>
  <si>
    <t>РАБ.Р6.1.029 — Вырезка участка стояковых труб</t>
  </si>
  <si>
    <t>РАБ.Р6.1.030</t>
  </si>
  <si>
    <t>Врезка в существующую систему отопления</t>
  </si>
  <si>
    <t>РАБ.Р6.1.030 — Врезка в существующую систему отопления</t>
  </si>
  <si>
    <t>РАБ.Р6.1.031</t>
  </si>
  <si>
    <t>Установка крестовин стояковых труб (труба 32, отвод 16)</t>
  </si>
  <si>
    <t>РАБ.Р6.1.031 — Установка крестовин стояковых труб (труба 32, отвод 16)</t>
  </si>
  <si>
    <t>РАБ.Р6.1.032</t>
  </si>
  <si>
    <t>Монтаж конвекторов электрических NOBO C2F 10 XSC 0,75 кВт с встроенным термостатом R80 XSC</t>
  </si>
  <si>
    <t>РАБ.Р6.1.032 — Монтаж конвекторов электрических NOBO C2F 10 XSC 0,75 кВт с встроенным термостатом R80 XSC</t>
  </si>
  <si>
    <t>РАБ.Р6.1.033</t>
  </si>
  <si>
    <t>Монтаж труб отопления из стальных водогазопроводных труб, диаметр до 16мм</t>
  </si>
  <si>
    <t>РАБ.Р6.1.033 — Монтаж труб отопления из стальных водогазопроводных труб, диаметр до 16мм</t>
  </si>
  <si>
    <t>РАБ.Р6.1.034</t>
  </si>
  <si>
    <t>Монтаж труб отопления из стальных водогазопроводных труб, диаметр до 25мм</t>
  </si>
  <si>
    <t>РАБ.Р6.1.034 — Монтаж труб отопления из стальных водогазопроводных труб, диаметр до 25мм</t>
  </si>
  <si>
    <t>РАБ.Р6.1.035</t>
  </si>
  <si>
    <t>Монтаж труб отопления из стальных водогазопроводных труб, диаметр до 32мм</t>
  </si>
  <si>
    <t>РАБ.Р6.1.035 — Монтаж труб отопления из стальных водогазопроводных труб, диаметр до 32мм</t>
  </si>
  <si>
    <t>РАБ.Р6.1.036</t>
  </si>
  <si>
    <t>Ревизия отопительных приборов</t>
  </si>
  <si>
    <t>РАБ.Р6.1.036 — Ревизия отопительных приборов</t>
  </si>
  <si>
    <t>РАБ.Р6.1.037</t>
  </si>
  <si>
    <t>Ревизия системы трубопроводов и запорно-регулирующей арматуры</t>
  </si>
  <si>
    <t>РАБ.Р6.1.037 — Ревизия системы трубопроводов и запорно-регулирующей арматуры</t>
  </si>
  <si>
    <t>РАБ.Р6.1.038</t>
  </si>
  <si>
    <t>Коллектор в сборе универсальный 1" ВР-3/4" НР, 12 выходов</t>
  </si>
  <si>
    <t>РАБ.Р6.1.038 — Коллектор в сборе универсальный 1" ВР-3/4" НР, 12 выходов</t>
  </si>
  <si>
    <t>РАБ.Р6.1.039</t>
  </si>
  <si>
    <t>Коллектор в сборе универсальный 1" ВР-3/4" НР, 10 выходов</t>
  </si>
  <si>
    <t>РАБ.Р6.1.039 — Коллектор в сборе универсальный 1" ВР-3/4" НР, 10 выходов</t>
  </si>
  <si>
    <t>РАБ.Р6.1.040</t>
  </si>
  <si>
    <t>Коллектор в сборе универсальный 1" ВР-3/4" НР, 8 выходов</t>
  </si>
  <si>
    <t>РАБ.Р6.1.040 — Коллектор в сборе универсальный 1" ВР-3/4" НР, 8 выходов</t>
  </si>
  <si>
    <t>РАБ.Р6.1.041</t>
  </si>
  <si>
    <t>Соединение прямое с внутренней резьбой 16 (накидная гайка, евроконус)</t>
  </si>
  <si>
    <t>РАБ.Р6.1.041 — Соединение прямое с внутренней резьбой 16 (накидная гайка, евроконус)</t>
  </si>
  <si>
    <t>РАБ.Р6.1.042</t>
  </si>
  <si>
    <t>Монтаж задвижек 30с64нж Ду100 (отопление)</t>
  </si>
  <si>
    <t>РАБ.Р6.1.042 — Монтаж задвижек 30с64нж Ду100 (отопление)</t>
  </si>
  <si>
    <t>РАБ.Р6.1.043</t>
  </si>
  <si>
    <t>Монтаж отводов D 110 мм (отопление)</t>
  </si>
  <si>
    <t>РАБ.Р6.1.043 — Монтаж отводов D 110 мм (отопление)</t>
  </si>
  <si>
    <t>РАБ.Р6.1.044</t>
  </si>
  <si>
    <t>Монтаж металлического трубопровода D 110 мм (отопление)</t>
  </si>
  <si>
    <t>РАБ.Р6.1.044 — Монтаж металлического трубопровода D 110 мм (отопление)</t>
  </si>
  <si>
    <t>РАБ.Р6.1.045</t>
  </si>
  <si>
    <t>Расходные и крепежные материалы</t>
  </si>
  <si>
    <t>РАБ.Р6.1.045 — Расходные и крепежные материалы</t>
  </si>
  <si>
    <t>РАБ.Р6.1.046</t>
  </si>
  <si>
    <t>Ревизия газовых котлов отопления</t>
  </si>
  <si>
    <t>РАБ.Р6.1.046 — Ревизия газовых котлов отопления</t>
  </si>
  <si>
    <t>РАБ.Р6.1.047</t>
  </si>
  <si>
    <t>Установка сантехнического люка доступа</t>
  </si>
  <si>
    <t>РАБ.Р6.1.047 — Установка сантехнического люка доступа</t>
  </si>
  <si>
    <t>РАБ.Р7.1.001</t>
  </si>
  <si>
    <t>Приточно-вытяжная установка Globalvent iСLIMATE-038+ E (либо аналог в соответствии с ТЗ) включая дополнительный нагреватель+ настенный пульт управления пользователя с регулировками…</t>
  </si>
  <si>
    <t>Р7</t>
  </si>
  <si>
    <t>Вентиляция</t>
  </si>
  <si>
    <t>ПВУ</t>
  </si>
  <si>
    <t>РАБ.Р7.1.001 — Приточно-вытяжная установка Globalvent iСLIMATE-038+ E (либо аналог в соответствии с ТЗ) включая дополнительный нагреватель+ настенный пульт управления пользователя с регулировками…</t>
  </si>
  <si>
    <t>РАБ.Р7.1.002</t>
  </si>
  <si>
    <t>Приточно-вытяжная установка Globalvent iСLIMATE-042 E (либо аналог в соответствии с ТЗ) включая дополнительный нагреватель+ настенный пульт управления пользователя с регулировками …</t>
  </si>
  <si>
    <t>РАБ.Р7.1.002 — Приточно-вытяжная установка Globalvent iСLIMATE-042 E (либо аналог в соответствии с ТЗ) включая дополнительный нагреватель+ настенный пульт управления пользователя с регулировками …</t>
  </si>
  <si>
    <t>РАБ.Р7.1.003</t>
  </si>
  <si>
    <t>Приточно-вытяжная установка Globalvent iСLIMATE-042+ E (либо аналог в соответствии с ТЗ) включая дополнительный нагреватель+ настенный пульт управления пользователя с регулировками…</t>
  </si>
  <si>
    <t>РАБ.Р7.1.003 — Приточно-вытяжная установка Globalvent iСLIMATE-042+ E (либо аналог в соответствии с ТЗ) включая дополнительный нагреватель+ настенный пульт управления пользователя с регулировками…</t>
  </si>
  <si>
    <t>РАБ.Р7.1.004</t>
  </si>
  <si>
    <t>Приточно-вытяжная установка Globalvent iСLIMATE-050 E (либо аналог в соответствии с ТЗ) включая дополнительный нагреватель+ настенный пульт управления пользователя с регулировками …</t>
  </si>
  <si>
    <t>РАБ.Р7.1.004 — Приточно-вытяжная установка Globalvent iСLIMATE-050 E (либо аналог в соответствии с ТЗ) включая дополнительный нагреватель+ настенный пульт управления пользователя с регулировками …</t>
  </si>
  <si>
    <t>РАБ.Р7.1.005</t>
  </si>
  <si>
    <t>Приточно-вытяжная установка Globalvent iСLIMATE-050i+ E (либо аналог в соответствии с ТЗ) включая дополнительный нагреватель+ настенный пульт управления пользователя с регулировкам…</t>
  </si>
  <si>
    <t>РАБ.Р7.1.005 — Приточно-вытяжная установка Globalvent iСLIMATE-050i+ E (либо аналог в соответствии с ТЗ) включая дополнительный нагреватель+ настенный пульт управления пользователя с регулировкам…</t>
  </si>
  <si>
    <t>РАБ.Р7.1.006</t>
  </si>
  <si>
    <t>Компактная воздушно-тепловая завеса КЭВ-3П1154Е с пультом</t>
  </si>
  <si>
    <t>ЗАВЕСА</t>
  </si>
  <si>
    <t>РАБ.Р7.1.006 — Компактная воздушно-тепловая завеса КЭВ-3П1154Е с пультом</t>
  </si>
  <si>
    <t>РАБ.Р7.1.007</t>
  </si>
  <si>
    <t>Монтаж тепловой завесы</t>
  </si>
  <si>
    <t>РАБ.Р7.1.007 — Монтаж тепловой завесы</t>
  </si>
  <si>
    <t>РАБ.Р7.1.008</t>
  </si>
  <si>
    <t>Приточный очиститель воздуха Тион Бризер 4S Magic</t>
  </si>
  <si>
    <t>РАБ.Р7.1.008 — Приточный очиститель воздуха Тион Бризер 4S Magic</t>
  </si>
  <si>
    <t>РАБ.Р7.1.009</t>
  </si>
  <si>
    <t>Подставка под ПВУ сборная , усиленная - (уголок металлический, окрашеный)</t>
  </si>
  <si>
    <t>РАБ.Р7.1.009 — Подставка под ПВУ сборная , усиленная - (уголок металлический, окрашеный)</t>
  </si>
  <si>
    <t>РАБ.Р7.1.010</t>
  </si>
  <si>
    <t>Привод для клапана вентмашины</t>
  </si>
  <si>
    <t>РАБ.Р7.1.010 — Привод для клапана вентмашины</t>
  </si>
  <si>
    <t>РАБ.Р7.1.011</t>
  </si>
  <si>
    <t>Клапан 600х300 вентмашины</t>
  </si>
  <si>
    <t>РАБ.Р7.1.011 — Клапан 600х300 вентмашины</t>
  </si>
  <si>
    <t>РАБ.Р7.1.012</t>
  </si>
  <si>
    <t>Клапан 700х400 вентмашины</t>
  </si>
  <si>
    <t>РАБ.Р7.1.012 — Клапан 700х400 вентмашины</t>
  </si>
  <si>
    <t>РАБ.Р7.1.013</t>
  </si>
  <si>
    <t>Гибкая вставка 600х300 вентмашины</t>
  </si>
  <si>
    <t>РАБ.Р7.1.013 — Гибкая вставка 600х300 вентмашины</t>
  </si>
  <si>
    <t>РАБ.Р7.1.014</t>
  </si>
  <si>
    <t>Гибкая вставка 700х400 вентмашины</t>
  </si>
  <si>
    <t>РАБ.Р7.1.014 — Гибкая вставка 700х400 вентмашины</t>
  </si>
  <si>
    <t>РАБ.Р7.1.015</t>
  </si>
  <si>
    <t>Монтаж вентилятора</t>
  </si>
  <si>
    <t>ВЕНТ</t>
  </si>
  <si>
    <t>РАБ.Р7.1.015 — Монтаж вентилятора</t>
  </si>
  <si>
    <t>РАБ.Р7.1.016</t>
  </si>
  <si>
    <t>Тепловая завеса Frico с термостатом и пультом</t>
  </si>
  <si>
    <t>РАБ.Р7.1.016 — Тепловая завеса Frico с термостатом и пультом</t>
  </si>
  <si>
    <t>РАБ.Р7.1.017</t>
  </si>
  <si>
    <t>Пусконаладочные работы системы вентиляции</t>
  </si>
  <si>
    <t>РАБ.Р7.1.017 — Пусконаладочные работы системы вентиляции</t>
  </si>
  <si>
    <t>РАБ.Р7.1.018</t>
  </si>
  <si>
    <t>Противопожарный клапан (с электромеханическим приводом Belimo с возвратной пружиной) НО 500*300</t>
  </si>
  <si>
    <t>РАБ.Р7.1.018 — Противопожарный клапан (с электромеханическим приводом Belimo с возвратной пружиной) НО 500*300</t>
  </si>
  <si>
    <t>РАБ.Р7.1.019</t>
  </si>
  <si>
    <t>Монтаж тепло-шумоизоляции K-FLEX K-Flex Air 25мм самоклеющаяся (или Энергофлекс) воздуховодов согласно ТЗ</t>
  </si>
  <si>
    <t>ВОЗД</t>
  </si>
  <si>
    <t>РАБ.Р7.1.019 — Монтаж тепло-шумоизоляции K-FLEX K-Flex Air 25мм самоклеющаяся (или Энергофлекс) воздуховодов согласно ТЗ</t>
  </si>
  <si>
    <t>РАБ.Р7.1.020</t>
  </si>
  <si>
    <t>Монтаж тепло-шумоизоляции K-FLEX K-Flex Air 6мм самоклеющаяся (или Энергофлекс) воздуховодов согласно ТЗ</t>
  </si>
  <si>
    <t>РАБ.Р7.1.020 — Монтаж тепло-шумоизоляции K-FLEX K-Flex Air 6мм самоклеющаяся (или Энергофлекс) воздуховодов согласно ТЗ</t>
  </si>
  <si>
    <t>РАБ.Р7.1.021</t>
  </si>
  <si>
    <t>Монтаж ленты K-FLEX ST Н50х3х15 самоклеющаяся для изоляции стыков.</t>
  </si>
  <si>
    <t>РАБ.Р7.1.021 — Монтаж ленты K-FLEX ST Н50х3х15 самоклеющаяся для изоляции стыков.</t>
  </si>
  <si>
    <t>РАБ.Р7.1.022</t>
  </si>
  <si>
    <t>Монтаж теплоизоляции K-FLEX (или Энергофлекс) воздуховодов согласно ТЗ</t>
  </si>
  <si>
    <t>м2 (по площади помещения)</t>
  </si>
  <si>
    <t>РАБ.Р7.1.022 — Монтаж теплоизоляции K-FLEX (или Энергофлекс) воздуховодов согласно ТЗ</t>
  </si>
  <si>
    <t>РАБ.Р7.1.023</t>
  </si>
  <si>
    <t>Монтаж воздухораспределителя (решётка / диффузор)</t>
  </si>
  <si>
    <t>ВР</t>
  </si>
  <si>
    <t>РАБ.Р7.1.023 — Монтаж воздухораспределителя (решётка / диффузор)</t>
  </si>
  <si>
    <t>РАБ.Р7.1.024</t>
  </si>
  <si>
    <t>РАБ.Р7.1.024 — Монтаж вентилятора</t>
  </si>
  <si>
    <t>РАБ.Р7.1.025</t>
  </si>
  <si>
    <t>Монтаж шумоглушителя</t>
  </si>
  <si>
    <t>ШГ</t>
  </si>
  <si>
    <t>РАБ.Р7.1.025 — Монтаж шумоглушителя</t>
  </si>
  <si>
    <t>РАБ.Р7.1.026</t>
  </si>
  <si>
    <t>RSK 100, обратный клапан для круглых каналов</t>
  </si>
  <si>
    <t>РАБ.Р7.1.026 — RSK 100, обратный клапан для круглых каналов</t>
  </si>
  <si>
    <t>РАБ.Р7.1.027</t>
  </si>
  <si>
    <t>РАБ.Р7.1.027 — Монтаж воздухораспределителя (решётка / диффузор)</t>
  </si>
  <si>
    <t>РАБ.Р7.1.028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</si>
  <si>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</si>
  <si>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РАБ.Р7.1.028 — 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</si>
  <si>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РАБ.Р7.1.029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</si>
  <si>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расхо…</t>
  </si>
  <si>
    <t>РАБ.Р7.1.029 — 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расхо…</t>
  </si>
  <si>
    <t>РАБ.Р7.2.001</t>
  </si>
  <si>
    <t>Вентилятор дымоудаления Systemair DVV 400D4-6/F400 в комплекте со щитом автоматики.</t>
  </si>
  <si>
    <t>РАБ.Р7.2.001 — Вентилятор дымоудаления Systemair DVV 400D4-6/F400 в комплекте со щитом автоматики.</t>
  </si>
  <si>
    <t>РАБ.Р7.2.002</t>
  </si>
  <si>
    <t>Монтаж матов теплоизоляционных из минеральной ваты, фольгированные S=50мм ISOVER KIM-Light-Al 50 мм</t>
  </si>
  <si>
    <t>РАБ.Р7.2.002 — Монтаж матов теплоизоляционных из минеральной ваты, фольгированные S=50мм ISOVER KIM-Light-Al 50 мм</t>
  </si>
  <si>
    <t>РАБ.Р7.2.003</t>
  </si>
  <si>
    <t>Нанесение конструктивной огнезащиты</t>
  </si>
  <si>
    <t>РАБ.Р7.2.003 — Нанесение конструктивной огнезащиты</t>
  </si>
  <si>
    <t>РАБ.Р7.2.004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</si>
  <si>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</si>
  <si>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КЛ.ОЗК</t>
  </si>
  <si>
    <t>РАБ.Р7.2.004 — 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</si>
  <si>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РАБ.Р7.2.005</t>
  </si>
  <si>
    <t>Комплект воздуховодов сварных из черной стали ГОСТ 19903-74 в огнезащитном покрытии EI60 (огнезащитное покрытие для воздуховодов ФАЙРЕКС), дымоприемные устройста (решетки), расходн…</t>
  </si>
  <si>
    <t>РАБ.Р7.2.005 — Комплект воздуховодов сварных из черной стали ГОСТ 19903-74 в огнезащитном покрытии EI60 (огнезащитное покрытие для воздуховодов ФАЙРЕКС), дымоприемные устройста (решетки), расходн…</t>
  </si>
  <si>
    <t>РАБ.Р8.1.001</t>
  </si>
  <si>
    <t>Монтаж сплит-системы</t>
  </si>
  <si>
    <t>Р8</t>
  </si>
  <si>
    <t>Кондиционирование</t>
  </si>
  <si>
    <t>СПЛИТ</t>
  </si>
  <si>
    <t>РАБ.Р8.1.001 — Монтаж сплит-системы</t>
  </si>
  <si>
    <t>РАБ.Р8.1.002</t>
  </si>
  <si>
    <t>СБР02 Проводной контроллер для серверных помещений (Включая Модуль управления кондиционером СБР02-М - 2 шт)</t>
  </si>
  <si>
    <t>РАБ.Р8.1.002 — СБР02 Проводной контроллер для серверных помещений (Включая Модуль управления кондиционером СБР02-М - 2 шт)</t>
  </si>
  <si>
    <t>РАБ.Р8.2.001</t>
  </si>
  <si>
    <t>РАБ.Р8.2.001 — Монтаж сплит-системы</t>
  </si>
  <si>
    <t>РАБ.Р8.2.002</t>
  </si>
  <si>
    <t>Монтаж приточной / приточно-вытяжной установки</t>
  </si>
  <si>
    <t>РАБ.Р8.2.002 — Монтаж приточной / приточно-вытяжной установки</t>
  </si>
  <si>
    <t>РАБ.Р8.2.003</t>
  </si>
  <si>
    <t>РАБ.Р8.2.003 — Монтаж приточной / приточно-вытяжной установки</t>
  </si>
  <si>
    <t>РАБ.Р8.2.004</t>
  </si>
  <si>
    <t>Канальный кондиционер MDV 48 MDTJ2-48HWN1 / MDOU3-48HN1-L+пульт (либо аналог согласно ТЗ. Замену согласовать с заказчиком)</t>
  </si>
  <si>
    <t>РАБ.Р8.2.004 — Канальный кондиционер MDV 48 MDTJ2-48HWN1 / MDOU3-48HN1-L+пульт (либо аналог согласно ТЗ. Замену согласовать с заказчиком)</t>
  </si>
  <si>
    <t>РАБ.Р8.2.005</t>
  </si>
  <si>
    <t>Канальный кондиционер MDV 60 MDTJ2-60HWN1 / MDOU3-60HN1-L+пульт (либо аналог согласно ТЗ. Замену согласовать с заказчиком)</t>
  </si>
  <si>
    <t>РАБ.Р8.2.005 — Канальный кондиционер MDV 60 MDTJ2-60HWN1 / MDOU3-60HN1-L+пульт (либо аналог согласно ТЗ. Замену согласовать с заказчиком)</t>
  </si>
  <si>
    <t>РАБ.Р8.2.006</t>
  </si>
  <si>
    <t>Кассетный кондиционер MDV 12 MDCA6-12HRN1 / T-MBQ4-03B / MDOU3-12HN1-L+пульт (либо аналог согласно ТЗ. Замену согласовать с заказчиком)</t>
  </si>
  <si>
    <t>РАБ.Р8.2.006 — Кассетный кондиционер MDV 12 MDCA6-12HRN1 / T-MBQ4-03B / MDOU3-12HN1-L+пульт (либо аналог согласно ТЗ. Замену согласовать с заказчиком)</t>
  </si>
  <si>
    <t>РАБ.Р8.2.007</t>
  </si>
  <si>
    <t>Монтаж внутреннего блока VRF / мультисплит</t>
  </si>
  <si>
    <t>VRF.ВНУТ</t>
  </si>
  <si>
    <t>РАБ.Р8.2.007 — Монтаж внутреннего блока VRF / мультисплит</t>
  </si>
  <si>
    <t>РАБ.Р8.2.008</t>
  </si>
  <si>
    <t>РАБ.Р8.2.008 — Монтаж внутреннего блока VRF / мультисплит</t>
  </si>
  <si>
    <t>РАБ.Р8.2.009</t>
  </si>
  <si>
    <t>РАБ.Р8.2.009 — Монтаж внутреннего блока VRF / мультисплит</t>
  </si>
  <si>
    <t>РАБ.Р8.2.010</t>
  </si>
  <si>
    <t>Разветвитель FQG-B335A</t>
  </si>
  <si>
    <t>РАБ.Р8.2.010 — Разветвитель FQG-B335A</t>
  </si>
  <si>
    <t>РАБ.Р8.2.011</t>
  </si>
  <si>
    <t>Разветвитель FQG-B506A</t>
  </si>
  <si>
    <t>РАБ.Р8.2.011 — Разветвитель FQG-B506A</t>
  </si>
  <si>
    <t>РАБ.Р8.2.012</t>
  </si>
  <si>
    <t>Экран для потолочного (кассетного) кондиционера из ударопрочного стекла</t>
  </si>
  <si>
    <t>РАБ.Р8.2.012 — Экран для потолочного (кассетного) кондиционера из ударопрочного стекла</t>
  </si>
  <si>
    <t>РАБ.Р8.2.013</t>
  </si>
  <si>
    <t>Экран для настенного кондиционера из ударопрочного стекла</t>
  </si>
  <si>
    <t>РАБ.Р8.2.013 — Экран для настенного кондиционера из ударопрочного стекла</t>
  </si>
  <si>
    <t>РАБ.Р8.2.014</t>
  </si>
  <si>
    <t>Вентиль шаровый под пайку для внутреннего блока</t>
  </si>
  <si>
    <t>РАБ.Р8.2.014 — Вентиль шаровый под пайку для внутреннего блока</t>
  </si>
  <si>
    <t>РАБ.Р8.2.015</t>
  </si>
  <si>
    <t>Регенерация, заправка хладагентом, Фреон R407C, R410A R 32</t>
  </si>
  <si>
    <t>кг</t>
  </si>
  <si>
    <t>РАБ.Р8.2.015 — Регенерация, заправка хладагентом, Фреон R407C, R410A R 32</t>
  </si>
  <si>
    <t>РАБ.Р8.2.016</t>
  </si>
  <si>
    <t>Дренажный насос Aqua mini blue, ASPEN</t>
  </si>
  <si>
    <t>РАБ.Р8.2.016 — Дренажный насос Aqua mini blue, ASPEN</t>
  </si>
  <si>
    <t>РАБ.Р8.2.017</t>
  </si>
  <si>
    <t>Антивандальные решетки с козырьком для внешних блоков</t>
  </si>
  <si>
    <t>РАБ.Р8.2.017 — Антивандальные решетки с козырьком для внешних блоков</t>
  </si>
  <si>
    <t>РАБ.Р8.2.018</t>
  </si>
  <si>
    <t>Пусконаладочные работы систем кондиционирования</t>
  </si>
  <si>
    <t>РАБ.Р8.2.018 — Пусконаладочные работы систем кондиционирования</t>
  </si>
  <si>
    <t>РАБ.Р8.2.019</t>
  </si>
  <si>
    <t>Зимний комплект к кондиционерам</t>
  </si>
  <si>
    <t>РАБ.Р8.2.019 — Зимний комплект к кондиционерам</t>
  </si>
  <si>
    <t>РАБ.Р8.2.020</t>
  </si>
  <si>
    <t>Помпа дренажная Si 1805</t>
  </si>
  <si>
    <t>РАБ.Р8.2.020 — Помпа дренажная Si 1805</t>
  </si>
  <si>
    <t>РАБ.Р8.2.021</t>
  </si>
  <si>
    <t>Прокладка 1м.п трассы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</si>
  <si>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РАБ.Р8.2.021 — Прокладка 1м.п трассы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</si>
  <si>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РАБ.Р8.2.022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</si>
  <si>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по…</t>
  </si>
  <si>
    <t>VRF.НАР</t>
  </si>
  <si>
    <t>РАБ.Р8.2.022 — 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по…</t>
  </si>
  <si>
    <t>РАБ.Р8.2.023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</si>
  <si>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</si>
  <si>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РАБ.Р8.2.023 — 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</si>
  <si>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РАБ.Р9.1.001</t>
  </si>
  <si>
    <t>ГРЩ(1)</t>
  </si>
  <si>
    <t>Р9</t>
  </si>
  <si>
    <t>Электротехнические работы</t>
  </si>
  <si>
    <t>ЭЩ</t>
  </si>
  <si>
    <t>РАБ.Р9.1.001 — ГРЩ(1)</t>
  </si>
  <si>
    <t>РАБ.Р9.1.002</t>
  </si>
  <si>
    <t>ГРЩ(2)</t>
  </si>
  <si>
    <t>РАБ.Р9.1.002 — ГРЩ(2)</t>
  </si>
  <si>
    <t>РАБ.Р9.1.003</t>
  </si>
  <si>
    <t>ППУ</t>
  </si>
  <si>
    <t>РАБ.Р9.1.003 — ППУ</t>
  </si>
  <si>
    <t>РАБ.Р9.2.001</t>
  </si>
  <si>
    <t>Монтаж щита / бокса</t>
  </si>
  <si>
    <t>РАБ.Р9.2.001 — Монтаж щита / бокса</t>
  </si>
  <si>
    <t>РАБ.Р9.2.002</t>
  </si>
  <si>
    <t>Щит 48 модулей, IP43, ABB или Legrand, с замком в комплекте с DIN-рейками, перемычками, шинами РЕ и N</t>
  </si>
  <si>
    <t>РАБ.Р9.2.002 — Щит 48 модулей, IP43, ABB или Legrand, с замком в комплекте с DIN-рейками, перемычками, шинами РЕ и N</t>
  </si>
  <si>
    <t>РАБ.Р9.2.003</t>
  </si>
  <si>
    <t>Щит 72 модулей, IP43, ABB или Legrand, с замком в комплекте с DIN-рейками, перемычками, шинами РЕ и N</t>
  </si>
  <si>
    <t>РАБ.Р9.2.003 — Щит 72 модулей, IP43, ABB или Legrand, с замком в комплекте с DIN-рейками, перемычками, шинами РЕ и N</t>
  </si>
  <si>
    <t>РАБ.Р9.2.004</t>
  </si>
  <si>
    <t>Щит 96 модулей, IP43, ABB или Legrand, с замком в комплекте с DIN-рейками, перемычками, шинами РЕ и N</t>
  </si>
  <si>
    <t>РАБ.Р9.2.004 — Щит 96 модулей, IP43, ABB или Legrand, с замком в комплекте с DIN-рейками, перемычками, шинами РЕ и N</t>
  </si>
  <si>
    <t>РАБ.Р9.2.005</t>
  </si>
  <si>
    <t>Щит 144 модулей, IP43, ABB или Legrand, с замком в комплекте с DIN-рейками, перемычками, шинами РЕ и N</t>
  </si>
  <si>
    <t>РАБ.Р9.2.005 — Щит 144 модулей, IP43, ABB или Legrand, с замком в комплекте с DIN-рейками, перемычками, шинами РЕ и N</t>
  </si>
  <si>
    <t>РАБ.Р9.2.006</t>
  </si>
  <si>
    <t>Щит 168 модулей, IP43, ABB или Legrand, с замком в комплекте с DIN-рейками, перемычками, шинами РЕ и N</t>
  </si>
  <si>
    <t>РАБ.Р9.2.006 — Щит 168 модулей, IP43, ABB или Legrand, с замком в комплекте с DIN-рейками, перемычками, шинами РЕ и N</t>
  </si>
  <si>
    <t>РАБ.Р9.2.007</t>
  </si>
  <si>
    <t>Щит ППУ 8-12 мод IP 65 красный металлический</t>
  </si>
  <si>
    <t>РАБ.Р9.2.007 — Щит ППУ 8-12 мод IP 65 красный металлический</t>
  </si>
  <si>
    <t>РАБ.Р9.2.008</t>
  </si>
  <si>
    <t>Автоматический ввод резерва 63А, 380В в сборе</t>
  </si>
  <si>
    <t>РАБ.Р9.2.008 — Автоматический ввод резерва 63А, 380В в сборе</t>
  </si>
  <si>
    <t>РАБ.Р9.2.009</t>
  </si>
  <si>
    <t>Автоматический ввод резерва 80А, 380В в сборе</t>
  </si>
  <si>
    <t>РАБ.Р9.2.009 — Автоматический ввод резерва 80А, 380В в сборе</t>
  </si>
  <si>
    <t>РАБ.Р9.2.010</t>
  </si>
  <si>
    <t>Автоматический ввод резерва 125А, 380В в сборе</t>
  </si>
  <si>
    <t>РАБ.Р9.2.010 — Автоматический ввод резерва 125А, 380В в сборе</t>
  </si>
  <si>
    <t>РАБ.Р9.2.011</t>
  </si>
  <si>
    <t>Монтаж модульного аппарата (автомат / УЗО / дифавтомат / рубильник)</t>
  </si>
  <si>
    <t>ЭА.МОД</t>
  </si>
  <si>
    <t>РАБ.Р9.2.011 — Монтаж модульного аппарата (автомат / УЗО / дифавтомат / рубильник)</t>
  </si>
  <si>
    <t>РАБ.Р9.2.012</t>
  </si>
  <si>
    <t>Выключатель нагрузки OT45E3, 45А, ABB</t>
  </si>
  <si>
    <t>РАБ.Р9.2.012 — Выключатель нагрузки OT45E3, 45А, ABB</t>
  </si>
  <si>
    <t>РАБ.Р9.2.013</t>
  </si>
  <si>
    <t>Выключатель нагрузки OT63E3, 63А, ABB</t>
  </si>
  <si>
    <t>РАБ.Р9.2.013 — Выключатель нагрузки OT63E3, 63А, ABB</t>
  </si>
  <si>
    <t>РАБ.Р9.2.014</t>
  </si>
  <si>
    <t>РАБ.Р9.2.014 — Монтаж модульного аппарата (автомат / УЗО / дифавтомат / рубильник)</t>
  </si>
  <si>
    <t>РАБ.Р9.2.015</t>
  </si>
  <si>
    <t>Счетчик электроэнергии, Меркурий 231 АТ 01 (двухтарифный, 3-х фазный, 63А)</t>
  </si>
  <si>
    <t>РАБ.Р9.2.015 — Счетчик электроэнергии, Меркурий 231 АТ 01 (двухтарифный, 3-х фазный, 63А)</t>
  </si>
  <si>
    <t>РАБ.Р9.2.016</t>
  </si>
  <si>
    <t>Счетчик электроэнергии, Меркурий 231 АТ 01 с трансформаторами тока (двухтарифный, 3-х фазный, 63А)</t>
  </si>
  <si>
    <t>РАБ.Р9.2.016 — Счетчик электроэнергии, Меркурий 231 АТ 01 с трансформаторами тока (двухтарифный, 3-х фазный, 63А)</t>
  </si>
  <si>
    <t>РАБ.Р9.2.017</t>
  </si>
  <si>
    <t>Устройство защитного отключения 2пол. тип A 16A 10mA F202 A-16/0,01 ABB</t>
  </si>
  <si>
    <t>РАБ.Р9.2.017 — Устройство защитного отключения 2пол. тип A 16A 10mA F202 A-16/0,01 ABB</t>
  </si>
  <si>
    <t>РАБ.Р9.2.018</t>
  </si>
  <si>
    <t>Устройство защитного отключения 2пол. тип A 25A 30mA F202 A-25/0,03 АВВ</t>
  </si>
  <si>
    <t>РАБ.Р9.2.018 — Устройство защитного отключения 2пол. тип A 25A 30mA F202 A-25/0,03 АВВ</t>
  </si>
  <si>
    <t>РАБ.Р9.2.019</t>
  </si>
  <si>
    <t>Устройство защитного отключения 2пол. тип A 40A 30mA F202 A-40/0,03 АВВ</t>
  </si>
  <si>
    <t>РАБ.Р9.2.019 — Устройство защитного отключения 2пол. тип A 40A 30mA F202 A-40/0,03 АВВ</t>
  </si>
  <si>
    <t>РАБ.Р9.2.020</t>
  </si>
  <si>
    <t>Устройство защитного отключения 2пол. тип AC 63A 100mA F202 AC-63/0,1 АВВ</t>
  </si>
  <si>
    <t>РАБ.Р9.2.020 — Устройство защитного отключения 2пол. тип AC 63A 100mA F202 AC-63/0,1 АВВ</t>
  </si>
  <si>
    <t>РАБ.Р9.2.021</t>
  </si>
  <si>
    <t>Устройство защитного отключения 4пол. F204 AC-40/0,1 ABB</t>
  </si>
  <si>
    <t>РАБ.Р9.2.021 — Устройство защитного отключения 4пол. F204 AC-40/0,1 ABB</t>
  </si>
  <si>
    <t>РАБ.Р9.2.022</t>
  </si>
  <si>
    <t>Устройство защитного отключения 4пол. тип A 25A 30mA F204 A-25/0,03 АВВ</t>
  </si>
  <si>
    <t>РАБ.Р9.2.022 — Устройство защитного отключения 4пол. тип A 25A 30mA F204 A-25/0,03 АВВ</t>
  </si>
  <si>
    <t>РАБ.Р9.2.023</t>
  </si>
  <si>
    <t>Устройство защитного отключения 4пол. тип AC 63A 100mA F204 AC-63/0,1 ABB</t>
  </si>
  <si>
    <t>РАБ.Р9.2.023 — Устройство защитного отключения 4пол. тип AC 63A 100mA F204 AC-63/0,1 ABB</t>
  </si>
  <si>
    <t>РАБ.Р9.2.024</t>
  </si>
  <si>
    <t>Устройство защитного отключения 4пол. тип AC 80A 300mA F204 AC-80/0,3 ABB</t>
  </si>
  <si>
    <t>РАБ.Р9.2.024 — Устройство защитного отключения 4пол. тип AC 80A 300mA F204 AC-80/0,3 ABB</t>
  </si>
  <si>
    <t>РАБ.Р9.2.025</t>
  </si>
  <si>
    <t>Устройство защитного отключения 4пол. тип AC 100A 300mA F204 AC-100/0,3 ABB</t>
  </si>
  <si>
    <t>РАБ.Р9.2.025 — Устройство защитного отключения 4пол. тип AC 100A 300mA F204 AC-100/0,3 ABB</t>
  </si>
  <si>
    <t>РАБ.Р9.2.026</t>
  </si>
  <si>
    <t>Устройство защитного отключения 4пол. тип AC 125A 300mA F204 AC-125/0,3 ABB</t>
  </si>
  <si>
    <t>РАБ.Р9.2.026 — Устройство защитного отключения 4пол. тип AC 125A 300mA F204 AC-125/0,3 ABB</t>
  </si>
  <si>
    <t>РАБ.Р9.2.027</t>
  </si>
  <si>
    <t>РАБ.Р9.2.027 — Монтаж модульного аппарата (автомат / УЗО / дифавтомат / рубильник)</t>
  </si>
  <si>
    <t>РАБ.Р9.2.028</t>
  </si>
  <si>
    <t>РАБ.Р9.2.028 — Монтаж модульного аппарата (автомат / УЗО / дифавтомат / рубильник)</t>
  </si>
  <si>
    <t>РАБ.Р9.2.029</t>
  </si>
  <si>
    <t>РАБ.Р9.2.029 — Монтаж модульного аппарата (автомат / УЗО / дифавтомат / рубильник)</t>
  </si>
  <si>
    <t>РАБ.Р9.2.030</t>
  </si>
  <si>
    <t>РАБ.Р9.2.030 — Монтаж модульного аппарата (автомат / УЗО / дифавтомат / рубильник)</t>
  </si>
  <si>
    <t>РАБ.Р9.2.031</t>
  </si>
  <si>
    <t>РАБ.Р9.2.031 — Монтаж модульного аппарата (автомат / УЗО / дифавтомат / рубильник)</t>
  </si>
  <si>
    <t>РАБ.Р9.2.032</t>
  </si>
  <si>
    <t>РАБ.Р9.2.032 — Монтаж модульного аппарата (автомат / УЗО / дифавтомат / рубильник)</t>
  </si>
  <si>
    <t>РАБ.Р9.2.033</t>
  </si>
  <si>
    <t>РАБ.Р9.2.033 — Монтаж модульного аппарата (автомат / УЗО / дифавтомат / рубильник)</t>
  </si>
  <si>
    <t>РАБ.Р9.2.034</t>
  </si>
  <si>
    <t>РАБ.Р9.2.034 — Монтаж модульного аппарата (автомат / УЗО / дифавтомат / рубильник)</t>
  </si>
  <si>
    <t>РАБ.Р9.2.035</t>
  </si>
  <si>
    <t>РАБ.Р9.2.035 — Монтаж модульного аппарата (автомат / УЗО / дифавтомат / рубильник)</t>
  </si>
  <si>
    <t>РАБ.Р9.2.036</t>
  </si>
  <si>
    <t>РАБ.Р9.2.036 — Монтаж модульного аппарата (автомат / УЗО / дифавтомат / рубильник)</t>
  </si>
  <si>
    <t>РАБ.Р9.2.037</t>
  </si>
  <si>
    <t>РАБ.Р9.2.037 — Монтаж модульного аппарата (автомат / УЗО / дифавтомат / рубильник)</t>
  </si>
  <si>
    <t>РАБ.Р9.2.038</t>
  </si>
  <si>
    <t>РАБ.Р9.2.038 — Монтаж модульного аппарата (автомат / УЗО / дифавтомат / рубильник)</t>
  </si>
  <si>
    <t>РАБ.Р9.2.039</t>
  </si>
  <si>
    <t>РАБ.Р9.2.039 — Монтаж модульного аппарата (автомат / УЗО / дифавтомат / рубильник)</t>
  </si>
  <si>
    <t>РАБ.Р9.2.040</t>
  </si>
  <si>
    <t>РАБ.Р9.2.040 — Монтаж модульного аппарата (автомат / УЗО / дифавтомат / рубильник)</t>
  </si>
  <si>
    <t>РАБ.Р9.2.041</t>
  </si>
  <si>
    <t>РАБ.Р9.2.041 — Монтаж модульного аппарата (автомат / УЗО / дифавтомат / рубильник)</t>
  </si>
  <si>
    <t>РАБ.Р9.2.042</t>
  </si>
  <si>
    <t>РАБ.Р9.2.042 — Монтаж модульного аппарата (автомат / УЗО / дифавтомат / рубильник)</t>
  </si>
  <si>
    <t>РАБ.Р9.2.043</t>
  </si>
  <si>
    <t>РАБ.Р9.2.043 — Монтаж модульного аппарата (автомат / УЗО / дифавтомат / рубильник)</t>
  </si>
  <si>
    <t>РАБ.Р9.2.044</t>
  </si>
  <si>
    <t>Автомат.выкл-ль АВВ Т1В160 40А</t>
  </si>
  <si>
    <t>РАБ.Р9.2.044 — Автомат.выкл-ль АВВ Т1В160 40А</t>
  </si>
  <si>
    <t>РАБ.Р9.2.045</t>
  </si>
  <si>
    <t>Автомат.выкл-ль АВВ Т1В160 32А</t>
  </si>
  <si>
    <t>РАБ.Р9.2.045 — Автомат.выкл-ль АВВ Т1В160 32А</t>
  </si>
  <si>
    <t>РАБ.Р9.2.046</t>
  </si>
  <si>
    <t>Автомат.выкл-ль АВВ Т1В160 25А</t>
  </si>
  <si>
    <t>РАБ.Р9.2.046 — Автомат.выкл-ль АВВ Т1В160 25А</t>
  </si>
  <si>
    <t>РАБ.Р9.2.047</t>
  </si>
  <si>
    <t>Автомат.выкл-ль АВВ Т1В160 63А</t>
  </si>
  <si>
    <t>РАБ.Р9.2.047 — Автомат.выкл-ль АВВ Т1В160 63А</t>
  </si>
  <si>
    <t>РАБ.Р9.2.048</t>
  </si>
  <si>
    <t>Автомат.выкл-ль АВВ Т1В160 50А</t>
  </si>
  <si>
    <t>РАБ.Р9.2.048 — Автомат.выкл-ль АВВ Т1В160 50А</t>
  </si>
  <si>
    <t>РАБ.Р9.2.049</t>
  </si>
  <si>
    <t>Автомат.выкл-ль АВВ Т1В160 80А</t>
  </si>
  <si>
    <t>РАБ.Р9.2.049 — Автомат.выкл-ль АВВ Т1В160 80А</t>
  </si>
  <si>
    <t>РАБ.Р9.2.050</t>
  </si>
  <si>
    <t>Автомат.выкл-ль АВВ Т1В160 100А</t>
  </si>
  <si>
    <t>РАБ.Р9.2.050 — Автомат.выкл-ль АВВ Т1В160 100А</t>
  </si>
  <si>
    <t>РАБ.Р9.2.051</t>
  </si>
  <si>
    <t>Автомат.выкл-ль АВВ Т1В160 125А</t>
  </si>
  <si>
    <t>РАБ.Р9.2.051 — Автомат.выкл-ль АВВ Т1В160 125А</t>
  </si>
  <si>
    <t>РАБ.Р9.2.052</t>
  </si>
  <si>
    <t>Монтажная площадка для Т1В 160</t>
  </si>
  <si>
    <t>РАБ.Р9.2.052 — Монтажная площадка для Т1В 160</t>
  </si>
  <si>
    <t>РАБ.Р9.2.053</t>
  </si>
  <si>
    <t>РАБ.Р9.2.053 — Монтаж модульного аппарата (автомат / УЗО / дифавтомат / рубильник)</t>
  </si>
  <si>
    <t>РАБ.Р9.2.054</t>
  </si>
  <si>
    <t>Дифференциальный автомат АВВ DS204 C10 4P 10А (C) 6kA тип AC 30mA (6мод.)</t>
  </si>
  <si>
    <t>РАБ.Р9.2.054 — Дифференциальный автомат АВВ DS204 C10 4P 10А (C) 6kA тип AC 30mA (6мод.)</t>
  </si>
  <si>
    <t>РАБ.Р9.2.055</t>
  </si>
  <si>
    <t>РАБ.Р9.2.055 — Монтаж модульного аппарата (автомат / УЗО / дифавтомат / рубильник)</t>
  </si>
  <si>
    <t>РАБ.Р9.2.056</t>
  </si>
  <si>
    <t>РАБ.Р9.2.056 — Монтаж модульного аппарата (автомат / УЗО / дифавтомат / рубильник)</t>
  </si>
  <si>
    <t>РАБ.Р9.2.057</t>
  </si>
  <si>
    <t>Дифференциальный автомат АВВ DS204 C63 4P 63А (C) 6kA тип AC 30mA (6мод.)</t>
  </si>
  <si>
    <t>РАБ.Р9.2.057 — Дифференциальный автомат АВВ DS204 C63 4P 63А (C) 6kA тип AC 30mA (6мод.)</t>
  </si>
  <si>
    <t>РАБ.Р9.2.058</t>
  </si>
  <si>
    <t>Контактор модульный ABB ESB24-31</t>
  </si>
  <si>
    <t>РАБ.Р9.2.058 — Контактор модульный ABB ESB24-31</t>
  </si>
  <si>
    <t>РАБ.Р9.2.059</t>
  </si>
  <si>
    <t>Контактор модульный ABB ESB40-40</t>
  </si>
  <si>
    <t>РАБ.Р9.2.059 — Контактор модульный ABB ESB40-40</t>
  </si>
  <si>
    <t>РАБ.Р9.2.060</t>
  </si>
  <si>
    <t>Контактор модульный ABB ESB63-40</t>
  </si>
  <si>
    <t>РАБ.Р9.2.060 — Контактор модульный ABB ESB63-40</t>
  </si>
  <si>
    <t>РАБ.Р9.2.061</t>
  </si>
  <si>
    <t>Реле освещенности ABB TW, Датчик освещенности ABB LS-SP</t>
  </si>
  <si>
    <t>РАБ.Р9.2.061 — Реле освещенности ABB TW, Датчик освещенности ABB LS-SP</t>
  </si>
  <si>
    <t>РАБ.Р9.2.062</t>
  </si>
  <si>
    <t>Реле управления нагрузкой LSS1/2 230В ,90А (АВВ)</t>
  </si>
  <si>
    <t>РАБ.Р9.2.062 — Реле управления нагрузкой LSS1/2 230В ,90А (АВВ)</t>
  </si>
  <si>
    <t>РАБ.Р9.2.063</t>
  </si>
  <si>
    <t>Реле максимального тока STT6 114 E 451 5,7A</t>
  </si>
  <si>
    <t>РАБ.Р9.2.063 — Реле максимального тока STT6 114 E 451 5,7A</t>
  </si>
  <si>
    <t>РАБ.Р9.2.064</t>
  </si>
  <si>
    <t>Трансформатор 230В/24В понижающий однофазный 160ВА , на din -рейку,</t>
  </si>
  <si>
    <t>РАБ.Р9.2.064 — Трансформатор 230В/24В понижающий однофазный 160ВА , на din -рейку,</t>
  </si>
  <si>
    <t>РАБ.Р9.2.065</t>
  </si>
  <si>
    <t>Устройство отключения неприоритетных цепей Legrand 038 13</t>
  </si>
  <si>
    <t>РАБ.Р9.2.065 — Устройство отключения неприоритетных цепей Legrand 038 13</t>
  </si>
  <si>
    <t>РАБ.Р9.2.066</t>
  </si>
  <si>
    <t>Электромеханический недельный таймер ABB</t>
  </si>
  <si>
    <t>РАБ.Р9.2.066 — Электромеханический недельный таймер ABB</t>
  </si>
  <si>
    <t>РАБ.Р9.2.067</t>
  </si>
  <si>
    <t>Выключатель нагрузки Legrand 04350, 63А, 3-полюсный</t>
  </si>
  <si>
    <t>РАБ.Р9.2.067 — Выключатель нагрузки Legrand 04350, 63А, 3-полюсный</t>
  </si>
  <si>
    <t>РАБ.Р9.2.068</t>
  </si>
  <si>
    <t>Монтаж светильника аварийного / эвакуационного</t>
  </si>
  <si>
    <t>СВЕТ.АВАР</t>
  </si>
  <si>
    <t>РАБ.Р9.2.068 — Монтаж светильника аварийного / эвакуационного</t>
  </si>
  <si>
    <t>РАБ.Р9.2.069</t>
  </si>
  <si>
    <t>Светильник с зеркалом и SPC-RNG-600-LED-TCH, 12W, 220-240V, 600x30с подсветкой и сенсорным выключателем belbagno арт. SPC-RNG-600-LED-TCH</t>
  </si>
  <si>
    <t>СВЕТ</t>
  </si>
  <si>
    <t>РАБ.Р9.2.069 — Светильник с зеркалом и SPC-RNG-600-LED-TCH, 12W, 220-240V, 600x30с подсветкой и сенсорным выключателем belbagno арт. SPC-RNG-600-LED-TCH</t>
  </si>
  <si>
    <t>РАБ.Р9.2.070</t>
  </si>
  <si>
    <t>Монтаж трубы ПВХ / гофротрубы под электропроводку</t>
  </si>
  <si>
    <t>ТРУБА.ЭЛ</t>
  </si>
  <si>
    <t>РАБ.Р9.2.070 — Монтаж трубы ПВХ / гофротрубы под электропроводку</t>
  </si>
  <si>
    <t>РАБ.Р9.2.071</t>
  </si>
  <si>
    <t>Труба гладкая жесткая ПВХ 20 мм легкая серая (3м) в комплекте с углами, крепежами,переходниками и расходными материалами</t>
  </si>
  <si>
    <t>РАБ.Р9.2.071 — Труба гладкая жесткая ПВХ 20 мм легкая серая (3м) в комплекте с углами, крепежами,переходниками и расходными материалами</t>
  </si>
  <si>
    <t>РАБ.Р9.2.072</t>
  </si>
  <si>
    <t>Труба гладкая жесткая ПВХ 32 мм легкая серая (3м) в комплекте с углами, крепежами,переходниками и расходными материалами</t>
  </si>
  <si>
    <t>РАБ.Р9.2.072 — Труба гладкая жесткая ПВХ 32 мм легкая серая (3м) в комплекте с углами, крепежами,переходниками и расходными материалами</t>
  </si>
  <si>
    <t>РАБ.Р9.2.073</t>
  </si>
  <si>
    <t>Труба гофрированная ПНД HF d20мм с протяжкой, безгалогенная оранжевая</t>
  </si>
  <si>
    <t>РАБ.Р9.2.073 — Труба гофрированная ПНД HF d20мм с протяжкой, безгалогенная оранжевая</t>
  </si>
  <si>
    <t>РАБ.Р9.2.074</t>
  </si>
  <si>
    <t>Гладкая труба ∅ 40 ПНД</t>
  </si>
  <si>
    <t>РАБ.Р9.2.074 — Гладкая труба ∅ 40 ПНД</t>
  </si>
  <si>
    <t>РАБ.Р9.2.075</t>
  </si>
  <si>
    <t>Поворот 90° для ПВХ-трубы ∅ 40</t>
  </si>
  <si>
    <t>РАБ.Р9.2.075 — Поворот 90° для ПВХ-трубы ∅ 40</t>
  </si>
  <si>
    <t>РАБ.Р9.2.076</t>
  </si>
  <si>
    <t>Монтаж кабель-канала</t>
  </si>
  <si>
    <t>КОРОБ.ЭЛ</t>
  </si>
  <si>
    <t>РАБ.Р9.2.076 — Монтаж кабель-канала</t>
  </si>
  <si>
    <t>РАБ.Р9.2.077</t>
  </si>
  <si>
    <t>Консоль с опорой ML 100 мм облегченная</t>
  </si>
  <si>
    <t>РАБ.Р9.2.077 — Консоль с опорой ML 100 мм облегченная</t>
  </si>
  <si>
    <t>РАБ.Р9.2.078</t>
  </si>
  <si>
    <t>Монтаж кабельного лотка</t>
  </si>
  <si>
    <t>ЛОТОК</t>
  </si>
  <si>
    <t>РАБ.Р9.2.078 — Монтаж кабельного лотка</t>
  </si>
  <si>
    <t>РАБ.Р9.2.079</t>
  </si>
  <si>
    <t>РАБ.Р9.2.079 — Монтаж кабельного лотка</t>
  </si>
  <si>
    <t>РАБ.Р9.2.080</t>
  </si>
  <si>
    <t>Лоток проволочный 100х50х3000</t>
  </si>
  <si>
    <t>РАБ.Р9.2.080 — Лоток проволочный 100х50х3000</t>
  </si>
  <si>
    <t>РАБ.Р9.2.081</t>
  </si>
  <si>
    <t>Лоток проволочный 300х50х3000</t>
  </si>
  <si>
    <t>РАБ.Р9.2.081 — Лоток проволочный 300х50х3000</t>
  </si>
  <si>
    <t>РАБ.Р9.2.082</t>
  </si>
  <si>
    <t>Установка розетки</t>
  </si>
  <si>
    <t>ЭУИ.РОЗ</t>
  </si>
  <si>
    <t>РАБ.Р9.2.082 — Установка розетки</t>
  </si>
  <si>
    <t>РАБ.Р9.2.083</t>
  </si>
  <si>
    <t>РАБ.Р9.2.083 — Установка розетки</t>
  </si>
  <si>
    <t>РАБ.Р9.2.084</t>
  </si>
  <si>
    <t>Установка выключателя электроустановочного</t>
  </si>
  <si>
    <t>ЭУИ.ВЫКЛ</t>
  </si>
  <si>
    <t>РАБ.Р9.2.084 — Установка выключателя электроустановочного</t>
  </si>
  <si>
    <t>РАБ.Р9.2.085</t>
  </si>
  <si>
    <t>РАБ.Р9.2.085 — Установка выключателя электроустановочного</t>
  </si>
  <si>
    <t>РАБ.Р9.2.086</t>
  </si>
  <si>
    <t>Установка точечных светодиодных светильников R63 12 Вт в мебельные конструкции (холодное свечение)</t>
  </si>
  <si>
    <t>РАБ.Р9.2.086 — Установка точечных светодиодных светильников R63 12 Вт в мебельные конструкции (холодное свечение)</t>
  </si>
  <si>
    <t>РАБ.Р9.2.087</t>
  </si>
  <si>
    <t>Лампа DULUXSTAR MICRO TWIST 23W/840</t>
  </si>
  <si>
    <t>РАБ.Р9.2.087 — Лампа DULUXSTAR MICRO TWIST 23W/840</t>
  </si>
  <si>
    <t>РАБ.Р9.2.088</t>
  </si>
  <si>
    <t>Пуско-наладочные работы</t>
  </si>
  <si>
    <t>РАБ.Р9.2.088 — Пуско-наладочные работы</t>
  </si>
  <si>
    <t>РАБ.Р9.2.089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</si>
  <si>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</si>
  <si>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КАБЕЛЬ</t>
  </si>
  <si>
    <t>РАБ.Р9.2.089 — 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</si>
  <si>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РАБ.Р9.2.090</t>
  </si>
  <si>
    <t>Установка коробки напольной 18 модульн Mosaik с нерж крышкой (суппорта в комплекте )</t>
  </si>
  <si>
    <t>РАБ.Р9.2.090 — Установка коробки напольной 18 модульн Mosaik с нерж крышкой (суппорта в комплекте )</t>
  </si>
  <si>
    <t>РАБ.Р9.2.091</t>
  </si>
  <si>
    <t>Блок аварийного питания INTERLUX ES-1 ( 6-58Ц)</t>
  </si>
  <si>
    <t>РАБ.Р9.2.091 — Блок аварийного питания INTERLUX ES-1 ( 6-58Ц)</t>
  </si>
  <si>
    <t>РАБ.Р9.2.092</t>
  </si>
  <si>
    <t>Встраиваемый блок розеток EVOLINE FlipTop Medium</t>
  </si>
  <si>
    <t>РАБ.Р9.2.092 — Встраиваемый блок розеток EVOLINE FlipTop Medium</t>
  </si>
  <si>
    <t>РАБ.Р9.2.093</t>
  </si>
  <si>
    <t>Светодиодная лента, IP65 Источник света: LED,14Вт/м, 4200К (основной свет в переговорных)</t>
  </si>
  <si>
    <t>РАБ.Р9.2.093 — Светодиодная лента, IP65 Источник света: LED,14Вт/м, 4200К (основной свет в переговорных)</t>
  </si>
  <si>
    <t>РАБ.Р9.2.094</t>
  </si>
  <si>
    <t>Алюминиевый профиль встраевыемый в гипсокартон для светодиодной ленты</t>
  </si>
  <si>
    <t>РАБ.Р9.2.094 — Алюминиевый профиль встраевыемый в гипсокартон для светодиодной ленты</t>
  </si>
  <si>
    <t>РАБ.Р9.2.095</t>
  </si>
  <si>
    <t>Распред коробка legrand</t>
  </si>
  <si>
    <t>РАБ.Р9.2.095 — Распред коробка legrand</t>
  </si>
  <si>
    <t>РАБ.Р9.2.096</t>
  </si>
  <si>
    <t>Установка люстры ARSTID, 3-х рожковая с лампами э/сберег.</t>
  </si>
  <si>
    <t>РАБ.Р9.2.096 — Установка люстры ARSTID, 3-х рожковая с лампами э/сберег.</t>
  </si>
  <si>
    <t>РАБ.Р9.2.097</t>
  </si>
  <si>
    <t>Подвес LGD-4TR-HANG-2-WH ©</t>
  </si>
  <si>
    <t>РАБ.Р9.2.097 — Подвес LGD-4TR-HANG-2-WH ©</t>
  </si>
  <si>
    <t>РАБ.Р9.2.098</t>
  </si>
  <si>
    <t>Коннектор прямой LGD-4TR-CON-LONG-WH</t>
  </si>
  <si>
    <t>РАБ.Р9.2.098 — Коннектор прямой LGD-4TR-CON-LONG-WH</t>
  </si>
  <si>
    <t>РАБ.Р9.2.099</t>
  </si>
  <si>
    <t>Трек LGD-4TR-TRACK-3000-WH-M КРАСНЫЙ RAL3020</t>
  </si>
  <si>
    <t>РАБ.Р9.2.099 — Трек LGD-4TR-TRACK-3000-WH-M КРАСНЫЙ RAL3020</t>
  </si>
  <si>
    <t>РАБ.Р9.2.100</t>
  </si>
  <si>
    <t>Трек LGD-4TR-TRACK-2000-WH-M КРАСНЫЙ RAL3020</t>
  </si>
  <si>
    <t>РАБ.Р9.2.100 — Трек LGD-4TR-TRACK-2000-WH-M КРАСНЫЙ RAL3020</t>
  </si>
  <si>
    <t>РАБ.Р9.2.101</t>
  </si>
  <si>
    <t>Коннектор питания LGD-4TR-CON-POWER-L-WH</t>
  </si>
  <si>
    <t>РАБ.Р9.2.101 — Коннектор питания LGD-4TR-CON-POWER-L-WH</t>
  </si>
  <si>
    <t>РАБ.Р9.2.102</t>
  </si>
  <si>
    <t>Заглушка LGD-4TR-CAP-WH</t>
  </si>
  <si>
    <t>РАБ.Р9.2.102 — Заглушка LGD-4TR-CAP-WH</t>
  </si>
  <si>
    <t>РАБ.Р9.2.103</t>
  </si>
  <si>
    <t>Коннектор внутренний LGD-4TR-CON-MINI-WH ©</t>
  </si>
  <si>
    <t>РАБ.Р9.2.103 — Коннектор внутренний LGD-4TR-CON-MINI-WH ©</t>
  </si>
  <si>
    <t>РАБ.Р9.2.104</t>
  </si>
  <si>
    <t>Зажим LGD-4TR-CLIP-WH ©</t>
  </si>
  <si>
    <t>РАБ.Р9.2.104 — Зажим LGD-4TR-CLIP-WH ©</t>
  </si>
  <si>
    <t>РАБ.Р9.2.105</t>
  </si>
  <si>
    <t>Монтаж светильника</t>
  </si>
  <si>
    <t>РАБ.Р9.2.105 — Монтаж светильника</t>
  </si>
  <si>
    <t>РАБ.Р9.2.106</t>
  </si>
  <si>
    <t>РАБ.Р9.2.106 — Монтаж светильника</t>
  </si>
  <si>
    <t>РАБ.Р9.2.107</t>
  </si>
  <si>
    <t>Лайтбокс LED Высота114 мм.Диаметр 1000 мм RAL 3020,ORTUS SORES 1000 DIMM 0-10V, c функцией диммрования, производство ООО "Профлед"</t>
  </si>
  <si>
    <t>РАБ.Р9.2.107 — Лайтбокс LED Высота114 мм.Диаметр 1000 мм RAL 3020,ORTUS SORES 1000 DIMM 0-10V, c функцией диммрования, производство ООО "Профлед"</t>
  </si>
  <si>
    <t>РАБ.Р9.2.108</t>
  </si>
  <si>
    <t>Лайтбокс LED Высота114 мм.Диаметр 1500 мм RAL 3020, ORTUS SORES 1500 DIMM 0-10V c функцией диммрования, производство ООО "Профлед"</t>
  </si>
  <si>
    <t>РАБ.Р9.2.108 — Лайтбокс LED Высота114 мм.Диаметр 1500 мм RAL 3020, ORTUS SORES 1500 DIMM 0-10V c функцией диммрования, производство ООО "Профлед"</t>
  </si>
  <si>
    <t>РАБ.Р9.2.109</t>
  </si>
  <si>
    <t>Лайтбокс LED Высота114 мм.Диаметр 2000 мм RAL 3020, ORTUS SORES 2000 DIMM 0-10V c функцией диммрования, производство ООО "Профлед"</t>
  </si>
  <si>
    <t>РАБ.Р9.2.109 — Лайтбокс LED Высота114 мм.Диаметр 2000 мм RAL 3020, ORTUS SORES 2000 DIMM 0-10V c функцией диммрования, производство ООО "Профлед"</t>
  </si>
  <si>
    <t>РАБ.Р9.2.110</t>
  </si>
  <si>
    <t>Лайтбокс LED Высота114 мм.Диаметр 2500 мм RAL 3020, ORTUS SORES 2500 DIMM 0-10V c функцией диммрования, производство ООО "Профлед"</t>
  </si>
  <si>
    <t>РАБ.Р9.2.110 — Лайтбокс LED Высота114 мм.Диаметр 2500 мм RAL 3020, ORTUS SORES 2500 DIMM 0-10V c функцией диммрования, производство ООО "Профлед"</t>
  </si>
  <si>
    <t>РАБ.Р9.2.111</t>
  </si>
  <si>
    <t>Пульт дистанционного управления SMART-R10-DIM для лайтбоксов Профлед</t>
  </si>
  <si>
    <t>РАБ.Р9.2.111 — Пульт дистанционного управления SMART-R10-DIM для лайтбоксов Профлед</t>
  </si>
  <si>
    <t>РАБ.Р9.2.112</t>
  </si>
  <si>
    <t>РАБ.Р9.2.112 — Монтаж светильника</t>
  </si>
  <si>
    <t>РАБ.Р9.2.113</t>
  </si>
  <si>
    <t>РАБ.Р9.2.113 — Монтаж светильника</t>
  </si>
  <si>
    <t>РАБ.Р9.2.114</t>
  </si>
  <si>
    <t>РАБ.Р9.2.114 — Монтаж светильника</t>
  </si>
  <si>
    <t>РАБ.Р9.2.115</t>
  </si>
  <si>
    <t>РАБ.Р9.2.115 — Монтаж светильника аварийного / эвакуационного</t>
  </si>
  <si>
    <t>РАБ.Р9.2.116</t>
  </si>
  <si>
    <t>РАБ.Р9.2.116 — Монтаж светильника</t>
  </si>
  <si>
    <t>РАБ.Р9.2.117</t>
  </si>
  <si>
    <t>РАБ.Р9.2.117 — Монтаж светильника</t>
  </si>
  <si>
    <t>РАБ.Р9.2.118</t>
  </si>
  <si>
    <t>Quark IN IT D70 REF 60` 12W-4000K CRI 90 Recess WHI - Светильник + Acc. Emergency kit 0,72-1,4W 20-45V {COBx1, {1xL12/0,5-1xL24} EM1H (18-35V, max 40V) BOX I - Аварийный блок</t>
  </si>
  <si>
    <t>РАБ.Р9.2.118 — Quark IN IT D70 REF 60` 12W-4000K CRI 90 Recess WHI - Светильник + Acc. Emergency kit 0,72-1,4W 20-45V {COBx1, {1xL12/0,5-1xL24} EM1H (18-35V, max 40V) BOX I - Аварийный блок</t>
  </si>
  <si>
    <t>РАБ.Р9.2.119</t>
  </si>
  <si>
    <t>MICA D190 14W-4000K CRI 90 Recess MP ECO WHI - Светильник</t>
  </si>
  <si>
    <t>РАБ.Р9.2.119 — MICA D190 14W-4000K CRI 90 Recess MP ECO WHI - Светильник</t>
  </si>
  <si>
    <t>РАБ.Р9.2.120</t>
  </si>
  <si>
    <t>РАБ.Р9.2.120 — Монтаж светильника</t>
  </si>
  <si>
    <t>РАБ.Р9.2.121</t>
  </si>
  <si>
    <t>РАБ.Р9.2.121 — Монтаж светильника аварийного / эвакуационного</t>
  </si>
  <si>
    <t>РАБ.Р9.2.122</t>
  </si>
  <si>
    <t>РАБ.Р9.2.122 — Монтаж светильника</t>
  </si>
  <si>
    <t>РАБ.Р9.2.123</t>
  </si>
  <si>
    <t>РАБ.Р9.2.123 — Монтаж светильника аварийного / эвакуационного</t>
  </si>
  <si>
    <t>РАБ.Р9.2.124</t>
  </si>
  <si>
    <t>Quark AIR IT Lens D70 8W-4000K CRI 90 H210 Susp WHI- Светильник</t>
  </si>
  <si>
    <t>РАБ.Р9.2.124 — Quark AIR IT Lens D70 8W-4000K CRI 90 H210 Susp WHI- Светильник</t>
  </si>
  <si>
    <t>РАБ.Р9.2.125</t>
  </si>
  <si>
    <t>Quark AIR IT MP D70 8W-4000K CRI 90 H210 Susp BLK - Светильник</t>
  </si>
  <si>
    <t>РАБ.Р9.2.125 — Quark AIR IT MP D70 8W-4000K CRI 90 H210 Susp BLK - Светильник</t>
  </si>
  <si>
    <t>РАБ.Р9.2.126</t>
  </si>
  <si>
    <t>Quark AIR IT MP D45 12W-4000K CRI 90 H210 Susp - Светильник + NECK Q45 IT - Декоративная насадка</t>
  </si>
  <si>
    <t>РАБ.Р9.2.126 — Quark AIR IT MP D45 12W-4000K CRI 90 H210 Susp - Светильник + NECK Q45 IT - Декоративная насадка</t>
  </si>
  <si>
    <t>РАБ.Р9.2.127</t>
  </si>
  <si>
    <t>Agat D80 31W/mt-4000K CRI 90 ROW Susp WHI - Светильник</t>
  </si>
  <si>
    <t>РАБ.Р9.2.127 — Agat D80 31W/mt-4000K CRI 90 ROW Susp WHI - Светильник</t>
  </si>
  <si>
    <t>РАБ.Р9.2.128</t>
  </si>
  <si>
    <t>Ray IN D750 49W-4000K CRI 90 Reduced Susp BLK - Светильник</t>
  </si>
  <si>
    <t>РАБ.Р9.2.128 — Ray IN D750 49W-4000K CRI 90 Reduced Susp BLK - Светильник</t>
  </si>
  <si>
    <t>РАБ.Р9.2.129</t>
  </si>
  <si>
    <t>Ray IN D750 69W-4000K CRI 90 Susp WHI - Светильник + Acc. Emergency kit 1,8-3,5W {1-5L12/0,5-2,5L24} EM1H (18-35V, max 100V) BOX I - Аварийный блок</t>
  </si>
  <si>
    <t>РАБ.Р9.2.129 — Ray IN D750 69W-4000K CRI 90 Susp WHI - Светильник + Acc. Emergency kit 1,8-3,5W {1-5L12/0,5-2,5L24} EM1H (18-35V, max 100V) BOX I - Аварийный блок</t>
  </si>
  <si>
    <t>РАБ.Р9.2.130</t>
  </si>
  <si>
    <t>Rota D650 MP ECO 28W-4000K CRI 90 Susp BLK - Светильник</t>
  </si>
  <si>
    <t>РАБ.Р9.2.130 — Rota D650 MP ECO 28W-4000K CRI 90 Susp BLK - Светильник</t>
  </si>
  <si>
    <t>РАБ.Р9.2.131</t>
  </si>
  <si>
    <t>Longa 61 46W-4000K CRI 90 MP 2xL24 Reduced M1200 Susp BLK - Светильник</t>
  </si>
  <si>
    <t>РАБ.Р9.2.131 — Longa 61 46W-4000K CRI 90 MP 2xL24 Reduced M1200 Susp BLK - Светильник</t>
  </si>
  <si>
    <t>РАБ.Р9.2.132</t>
  </si>
  <si>
    <t>Longa 61 35W-4000K CRI 90 MP M1200 Susp BLK - Светильник</t>
  </si>
  <si>
    <t>РАБ.Р9.2.132 — Longa 61 35W-4000K CRI 90 MP M1200 Susp BLK - Светильник</t>
  </si>
  <si>
    <t>РАБ.Р9.2.133</t>
  </si>
  <si>
    <t>Longa 61 35W-4000K CRI 90 MP M1200 Susp BLK- Светильник + Acc. Emergency kit 1,8-3,5W {1-5L12/0,5-2,5L24} EM1H (18-35V, max 100V) BOX I - Аварийный блок</t>
  </si>
  <si>
    <t>РАБ.Р9.2.133 — Longa 61 35W-4000K CRI 90 MP M1200 Susp BLK- Светильник + Acc. Emergency kit 1,8-3,5W {1-5L12/0,5-2,5L24} EM1H (18-35V, max 100V) BOX I - Аварийный блок</t>
  </si>
  <si>
    <t>РАБ.Р9.2.134</t>
  </si>
  <si>
    <t>Longa 40 DI 22W/mt-4000K CRI 90 ROW Reduced Susp BLK - Светильник</t>
  </si>
  <si>
    <t>РАБ.Р9.2.134 — Longa 40 DI 22W/mt-4000K CRI 90 ROW Reduced Susp BLK - Светильник</t>
  </si>
  <si>
    <t>РАБ.Р9.2.135</t>
  </si>
  <si>
    <t>Longa 40 DI 25W-4000K CRI 90 M1200 Reduced Susp WHI - Светильник</t>
  </si>
  <si>
    <t>РАБ.Р9.2.135 — Longa 40 DI 25W-4000K CRI 90 M1200 Reduced Susp WHI - Светильник</t>
  </si>
  <si>
    <t>РАБ.Р9.2.136</t>
  </si>
  <si>
    <t>Longa 40 DI 25W-4000K CRI 90 M1200 Reduced Susp WHI Emerg - Светильник + Acc. Emergency kit 1,8-3,5W {1-5L12/0,5-2,5L24} EM1H (18-35V, max 100V) BOX I - Аварийный блок</t>
  </si>
  <si>
    <t>РАБ.Р9.2.136 — Longa 40 DI 25W-4000K CRI 90 M1200 Reduced Susp WHI Emerg - Светильник + Acc. Emergency kit 1,8-3,5W {1-5L12/0,5-2,5L24} EM1H (18-35V, max 100V) BOX I - Аварийный блок</t>
  </si>
  <si>
    <t>РАБ.Р9.2.137</t>
  </si>
  <si>
    <t>Longa 40 DI 39W-4000K CRI 90 M1400 Susp WHI, L=1392mm - Светильник</t>
  </si>
  <si>
    <t>РАБ.Р9.2.137 — Longa 40 DI 39W-4000K CRI 90 M1400 Susp WHI, L=1392mm - Светильник</t>
  </si>
  <si>
    <t>РАБ.Р9.2.138</t>
  </si>
  <si>
    <t>Ray line 31W/mt-4000K CRI 90 ROW Recess - Светильник</t>
  </si>
  <si>
    <t>РАБ.Р9.2.138 — Ray line 31W/mt-4000K CRI 90 ROW Recess - Светильник</t>
  </si>
  <si>
    <t>РАБ.Р9.2.139</t>
  </si>
  <si>
    <t>Ray line.U-kit - Крепёж в потолок 1 шт.</t>
  </si>
  <si>
    <t>РАБ.Р9.2.139 — Ray line.U-kit - Крепёж в потолок 1 шт.</t>
  </si>
  <si>
    <t>РАБ.Р9.2.140</t>
  </si>
  <si>
    <t>Longa 40 DI 22W/mt-4000K CRI 90 ROW Reduced Susp BLK, L=3928mm - Светильник</t>
  </si>
  <si>
    <t>РАБ.Р9.2.140 — Longa 40 DI 22W/mt-4000K CRI 90 ROW Reduced Susp BLK, L=3928mm - Светильник</t>
  </si>
  <si>
    <t>РАБ.Р9.2.141</t>
  </si>
  <si>
    <t>Ray line 31W/mt-4000K CRI 90 ROW Susp BLK, L=931mm - Светильник</t>
  </si>
  <si>
    <t>РАБ.Р9.2.141 — Ray line 31W/mt-4000K CRI 90 ROW Susp BLK, L=931mm - Светильник</t>
  </si>
  <si>
    <t>РАБ.Р9.2.142</t>
  </si>
  <si>
    <t>Ray line 20W/mt-3500K ROW 270mA Susp BLK, L=2314mm - Светильник</t>
  </si>
  <si>
    <t>РАБ.Р9.2.142 — Ray line 20W/mt-3500K ROW 270mA Susp BLK, L=2314mm - Светильник</t>
  </si>
  <si>
    <t>РАБ.Р9.2.143</t>
  </si>
  <si>
    <t>Ray line 20W/mt-3500K ROW 270mA Susp BLK, L=3697mm - Светильник</t>
  </si>
  <si>
    <t>РАБ.Р9.2.143 — Ray line 20W/mt-3500K ROW 270mA Susp BLK, L=3697mm - Светильник</t>
  </si>
  <si>
    <t>РАБ.Р9.2.144</t>
  </si>
  <si>
    <t>Ray line 33W-4000K CRI 90 M1200 Susp BLK - Светильник</t>
  </si>
  <si>
    <t>РАБ.Р9.2.144 — Ray line 33W-4000K CRI 90 M1200 Susp BLK - Светильник</t>
  </si>
  <si>
    <t>РАБ.Р9.2.145</t>
  </si>
  <si>
    <t>Ray line 31W/mt-4000K CRI 90 ROW Susp BLK, L=2084mm - Светильник</t>
  </si>
  <si>
    <t>РАБ.Р9.2.145 — Ray line 31W/mt-4000K CRI 90 ROW Susp BLK, L=2084mm - Светильник</t>
  </si>
  <si>
    <t>РАБ.Р9.2.146</t>
  </si>
  <si>
    <t>РАБ.Р9.2.146 — Монтаж светильника</t>
  </si>
  <si>
    <t>РАБ.Р9.2.147</t>
  </si>
  <si>
    <t>РАБ.Р9.2.147 — Монтаж светильника</t>
  </si>
  <si>
    <t>РАБ.Р9.2.148</t>
  </si>
  <si>
    <t>Ray line 15W/mt-4000K CRI 90 ROW 175mA Susp, L=3928mm - Светильник</t>
  </si>
  <si>
    <t>РАБ.Р9.2.148 — Ray line 15W/mt-4000K CRI 90 ROW 175mA Susp, L=3928mm - Светильник</t>
  </si>
  <si>
    <t>РАБ.Р9.2.149</t>
  </si>
  <si>
    <t>Ray line 15W/mt-4000K CRI 90 ROW 175mA Susp, L=5080mm - Светильник</t>
  </si>
  <si>
    <t>РАБ.Р9.2.149 — Ray line 15W/mt-4000K CRI 90 ROW 175mA Susp, L=5080mm - Светильник</t>
  </si>
  <si>
    <t>РАБ.Р9.2.150</t>
  </si>
  <si>
    <t>Ray line 31W/mt-4000K CRI 90 ROW Susp BLK, L=5311mm - Светильник</t>
  </si>
  <si>
    <t>РАБ.Р9.2.150 — Ray line 31W/mt-4000K CRI 90 ROW Susp BLK, L=5311mm - Светильник</t>
  </si>
  <si>
    <t>РАБ.Р9.2.151</t>
  </si>
  <si>
    <t>Ray line 31W/mt-4000K CRI 90 ROW Susp BLK, L=5541mm - Светильник</t>
  </si>
  <si>
    <t>РАБ.Р9.2.151 — Ray line 31W/mt-4000K CRI 90 ROW Susp BLK, L=5541mm - Светильник</t>
  </si>
  <si>
    <t>РАБ.Р9.2.152</t>
  </si>
  <si>
    <t>Ray line 15W/mt-4000K CRI 90 ROW 175mA Susp, L=5772mm - Светильник</t>
  </si>
  <si>
    <t>РАБ.Р9.2.152 — Ray line 15W/mt-4000K CRI 90 ROW 175mA Susp, L=5772mm - Светильник</t>
  </si>
  <si>
    <t>РАБ.Р9.2.153</t>
  </si>
  <si>
    <t>Ray line 15W/mt-4000K CRI 90 ROW 175mA Susp, L=6694mm - Светильник</t>
  </si>
  <si>
    <t>РАБ.Р9.2.153 — Ray line 15W/mt-4000K CRI 90 ROW 175mA Susp, L=6694mm - Светильник</t>
  </si>
  <si>
    <t>РАБ.Р9.2.154</t>
  </si>
  <si>
    <t>Ray line 31W/mt-4000K CRI 90 ROW Susp BLK, L=6924mm - Светильник</t>
  </si>
  <si>
    <t>РАБ.Р9.2.154 — Ray line 31W/mt-4000K CRI 90 ROW Susp BLK, L=6924mm - Светильник</t>
  </si>
  <si>
    <t>РАБ.Р9.2.155</t>
  </si>
  <si>
    <t>Ray line 15W/mt-4000K CRI 90 ROW 175mA Susp, L=7846mm - Светильник</t>
  </si>
  <si>
    <t>РАБ.Р9.2.155 — Ray line 15W/mt-4000K CRI 90 ROW 175mA Susp, L=7846mm - Светильник</t>
  </si>
  <si>
    <t>РАБ.Р9.2.156</t>
  </si>
  <si>
    <t>Ray line 15W/mt-4000K CRI 90 ROW 175mA Susp, L=8077mm - Светильник</t>
  </si>
  <si>
    <t>РАБ.Р9.2.156 — Ray line 15W/mt-4000K CRI 90 ROW 175mA Susp, L=8077mm - Светильник</t>
  </si>
  <si>
    <t>РАБ.Р9.2.157</t>
  </si>
  <si>
    <t>Ray line 15W/mt-4000K CRI 90 ROW 175mA Susp, L=8307mm - Светильник</t>
  </si>
  <si>
    <t>РАБ.Р9.2.157 — Ray line 15W/mt-4000K CRI 90 ROW 175mA Susp, L=8307mm - Светильник</t>
  </si>
  <si>
    <t>РАБ.Р9.2.158</t>
  </si>
  <si>
    <t>Ray line 15W/mt-4000K CRI 90 ROW 175mA Susp, L=8999mm - Светильник</t>
  </si>
  <si>
    <t>РАБ.Р9.2.158 — Ray line 15W/mt-4000K CRI 90 ROW 175mA Susp, L=8999mm - Светильник</t>
  </si>
  <si>
    <t>РАБ.Р9.2.159</t>
  </si>
  <si>
    <t>IEK Светильник ДСП 1318 48Вт 4500К IP65 1500мм</t>
  </si>
  <si>
    <t>РАБ.Р9.2.159 — IEK Светильник ДСП 1318 48Вт 4500К IP65 1500мм</t>
  </si>
  <si>
    <t>РАБ.Р9.2.160</t>
  </si>
  <si>
    <t>IEK Светильник ДСП 1318 48Вт 4500К IP65 1500мм Emerg</t>
  </si>
  <si>
    <t>РАБ.Р9.2.160 — IEK Светильник ДСП 1318 48Вт 4500К IP65 1500мм Emerg</t>
  </si>
  <si>
    <t>РАБ.Р9.2.161</t>
  </si>
  <si>
    <t>Acc. Wire ↓ suspension 1500mm - Тросовый подвес с регулировкой внизу, 1 шт.</t>
  </si>
  <si>
    <t>РАБ.Р9.2.161 — Acc. Wire ↓ suspension 1500mm - Тросовый подвес с регулировкой внизу, 1 шт.</t>
  </si>
  <si>
    <t>РАБ.Р9.2.162</t>
  </si>
  <si>
    <t>LED strip N2835 11W/m 24V 120led/m 1220Lm/m 4000K CRI90 IP20 5m</t>
  </si>
  <si>
    <t>РАБ.Р9.2.162 — LED strip N2835 11W/m 24V 120led/m 1220Lm/m 4000K CRI90 IP20 5m</t>
  </si>
  <si>
    <t>РАБ.Р9.2.163</t>
  </si>
  <si>
    <t>Led driver N24V45W</t>
  </si>
  <si>
    <t>РАБ.Р9.2.163 — Led driver N24V45W</t>
  </si>
  <si>
    <t>РАБ.Р9.2.164</t>
  </si>
  <si>
    <t>Led driver N24V60W</t>
  </si>
  <si>
    <t>РАБ.Р9.2.164 — Led driver N24V60W</t>
  </si>
  <si>
    <t>РАБ.Р9.2.165</t>
  </si>
  <si>
    <t>Led driver N24V80W</t>
  </si>
  <si>
    <t>РАБ.Р9.2.165 — Led driver N24V80W</t>
  </si>
  <si>
    <t>РАБ.Р9.2.166</t>
  </si>
  <si>
    <t>Longa 16 L=2000 mm h=12 ANO - Профиль накладной алюминиевый анодированный, цена за 2 п.м.</t>
  </si>
  <si>
    <t>РАБ.Р9.2.166 — Longa 16 L=2000 mm h=12 ANO - Профиль накладной алюминиевый анодированный, цена за 2 п.м.</t>
  </si>
  <si>
    <t>РАБ.Р9.2.167</t>
  </si>
  <si>
    <t>Longa 15/16/22 L=2000 mm PC Clear - Рассеиватель прозрачный</t>
  </si>
  <si>
    <t>РАБ.Р9.2.167 — Longa 15/16/22 L=2000 mm PC Clear - Рассеиватель прозрачный</t>
  </si>
  <si>
    <t>РАБ.Р9.2.168</t>
  </si>
  <si>
    <t>Шинопровод 3м (черный) (белый)</t>
  </si>
  <si>
    <t>РАБ.Р9.2.168 — Шинопровод 3м (черный) (белый)</t>
  </si>
  <si>
    <t>РАБ.Р9.2.169</t>
  </si>
  <si>
    <t>Внутренний стык к шинопроводу (черный) (белый)</t>
  </si>
  <si>
    <t>РАБ.Р9.2.169 — Внутренний стык к шинопроводу (черный) (белый)</t>
  </si>
  <si>
    <t>РАБ.Р9.2.170</t>
  </si>
  <si>
    <t>Усилитель стыка, (черный) (белый)</t>
  </si>
  <si>
    <t>РАБ.Р9.2.170 — Усилитель стыка, (черный) (белый)</t>
  </si>
  <si>
    <t>РАБ.Р9.2.171</t>
  </si>
  <si>
    <t>Левый токоподвод к шинопроводу (черный) (белый)</t>
  </si>
  <si>
    <t>РАБ.Р9.2.171 — Левый токоподвод к шинопроводу (черный) (белый)</t>
  </si>
  <si>
    <t>РАБ.Р9.2.172</t>
  </si>
  <si>
    <t>Скоба крепления к шинопроводу (черный) (белый)</t>
  </si>
  <si>
    <t>РАБ.Р9.2.172 — Скоба крепления к шинопроводу (черный) (белый)</t>
  </si>
  <si>
    <t>РАБ.Р9.2.173</t>
  </si>
  <si>
    <t>Tросик 1,5м (серебро)</t>
  </si>
  <si>
    <t>РАБ.Р9.2.173 — Tросик 1,5м (серебро)</t>
  </si>
  <si>
    <t>РАБ.Р9.2.174</t>
  </si>
  <si>
    <t>Колпачок к шинопроводу (черный)</t>
  </si>
  <si>
    <t>РАБ.Р9.2.174 — Колпачок к шинопроводу (черный)</t>
  </si>
  <si>
    <t>РАБ.Р9.2.175</t>
  </si>
  <si>
    <t>Q45 Track 8W-4000K CRI 90 BLK / WHI - Прожектор</t>
  </si>
  <si>
    <t>РАБ.Р9.2.175 — Q45 Track 8W-4000K CRI 90 BLK / WHI - Прожектор</t>
  </si>
  <si>
    <t>РАБ.Р9.2.176</t>
  </si>
  <si>
    <t>Угол к шинопроводу (черный)</t>
  </si>
  <si>
    <t>РАБ.Р9.2.176 — Угол к шинопроводу (черный)</t>
  </si>
  <si>
    <t>РАБ.Р9.2.177</t>
  </si>
  <si>
    <t>Шинопровод 1м (черный) (белый)</t>
  </si>
  <si>
    <t>РАБ.Р9.2.177 — Шинопровод 1м (черный) (белый)</t>
  </si>
  <si>
    <t>РАБ.Р9.2.178</t>
  </si>
  <si>
    <t>Заглушка, (черная, белая)</t>
  </si>
  <si>
    <t>РАБ.Р9.2.178 — Заглушка, (черная, белая)</t>
  </si>
  <si>
    <t>РАБ.Р9.2.179</t>
  </si>
  <si>
    <t>Шинопровод 2м (белый)</t>
  </si>
  <si>
    <t>РАБ.Р9.2.179 — Шинопровод 2м (белый)</t>
  </si>
  <si>
    <t>РАБ.Р9.2.180</t>
  </si>
  <si>
    <t>Silent acoustic D380x230x(h)500 mm, 1xE27, one side colour Susp (белый внутри, серый снаружи)- Светильник</t>
  </si>
  <si>
    <t>РАБ.Р9.2.180 — Silent acoustic D380x230x(h)500 mm, 1xE27, one side colour Susp (белый внутри, серый снаружи)- Светильник</t>
  </si>
  <si>
    <t>РАБ.Р9.2.181</t>
  </si>
  <si>
    <t>Silent acoustic D200-100x(h)300 mm, 1xE27, one side colour Susp Серый- Светильник</t>
  </si>
  <si>
    <t>РАБ.Р9.2.181 — Silent acoustic D200-100x(h)300 mm, 1xE27, one side colour Susp Серый- Светильник</t>
  </si>
  <si>
    <t>РАБ.Р9.2.182</t>
  </si>
  <si>
    <t>Silent acoustic D800-400x(h)400 mm, 3xE27, one side colour Susp RED - Светильник</t>
  </si>
  <si>
    <t>РАБ.Р9.2.182 — Silent acoustic D800-400x(h)400 mm, 3xE27, one side colour Susp RED - Светильник</t>
  </si>
  <si>
    <t>РАБ.Р9.2.183</t>
  </si>
  <si>
    <t>Grata Slim SL D750 MP ECO 50W-4000K CRI 90 Reduced Susp BLK - Светильник</t>
  </si>
  <si>
    <t>РАБ.Р9.2.183 — Grata Slim SL D750 MP ECO 50W-4000K CRI 90 Reduced Susp BLK - Светильник</t>
  </si>
  <si>
    <t>РАБ.Р9.2.184</t>
  </si>
  <si>
    <t>LED лампа 13W/827 FR DIM E27 1521 lm</t>
  </si>
  <si>
    <t>РАБ.Р9.2.184 — LED лампа 13W/827 FR DIM E27 1521 lm</t>
  </si>
  <si>
    <t>РАБ.Р9.2.185</t>
  </si>
  <si>
    <t>Longa 40 DI 26W-4000K CRI 90 M900 WALL WHI - Светильник</t>
  </si>
  <si>
    <t>РАБ.Р9.2.185 — Longa 40 DI 26W-4000K CRI 90 M900 WALL WHI - Светильник</t>
  </si>
  <si>
    <t>РАБ.Р9.2.186</t>
  </si>
  <si>
    <t>Байпасная блокировка АВВ</t>
  </si>
  <si>
    <t>РАБ.Р9.2.186 — Байпасная блокировка АВВ</t>
  </si>
  <si>
    <t>РАБ.Р9.2.187</t>
  </si>
  <si>
    <t>Кабель ВВГнг-LS 5х16</t>
  </si>
  <si>
    <t>РАБ.Р9.2.187 — Кабель ВВГнг-LS 5х16</t>
  </si>
  <si>
    <t>РАБ.Р9.2.188</t>
  </si>
  <si>
    <t>Кабель ВВГнг-LS 5х10</t>
  </si>
  <si>
    <t>РАБ.Р9.2.188 — Кабель ВВГнг-LS 5х10</t>
  </si>
  <si>
    <t>РАБ.Р9.2.189</t>
  </si>
  <si>
    <t>Кабель ВВГнг-LS 5х6</t>
  </si>
  <si>
    <t>РАБ.Р9.2.189 — Кабель ВВГнг-LS 5х6</t>
  </si>
  <si>
    <t>РАБ.Р9.2.190</t>
  </si>
  <si>
    <t>Кабель ВВГнг-LS 5х4</t>
  </si>
  <si>
    <t>РАБ.Р9.2.190 — Кабель ВВГнг-LS 5х4</t>
  </si>
  <si>
    <t>РАБ.Р9.2.191</t>
  </si>
  <si>
    <t>Прокладка кабеля / провода</t>
  </si>
  <si>
    <t>РАБ.Р9.2.191 — Прокладка кабеля / провода</t>
  </si>
  <si>
    <t>РАБ.Р9.2.192</t>
  </si>
  <si>
    <t>РАБ.Р9.2.192 — Прокладка кабеля / провода</t>
  </si>
  <si>
    <t>РАБ.Р9.2.193</t>
  </si>
  <si>
    <t>РАБ.Р9.2.193 — Прокладка кабеля / провода</t>
  </si>
  <si>
    <t>РАБ.Р9.2.194</t>
  </si>
  <si>
    <t>РАБ.Р9.2.194 — Прокладка кабеля / провода</t>
  </si>
  <si>
    <t>РАБ.Р9.2.195</t>
  </si>
  <si>
    <t>Кабель ППГнг(А)-HF 5х35</t>
  </si>
  <si>
    <t>РАБ.Р9.2.195 — Кабель ППГнг(А)-HF 5х35</t>
  </si>
  <si>
    <t>РАБ.Р9.2.196</t>
  </si>
  <si>
    <t>Кабель ППГнг(А)-HF 5х25</t>
  </si>
  <si>
    <t>РАБ.Р9.2.196 — Кабель ППГнг(А)-HF 5х25</t>
  </si>
  <si>
    <t>РАБ.Р9.2.197</t>
  </si>
  <si>
    <t>РАБ.Р9.2.197 — Прокладка кабеля / провода</t>
  </si>
  <si>
    <t>РАБ.Р9.2.198</t>
  </si>
  <si>
    <t>Кабель ППГнг(А)-HF 5х6</t>
  </si>
  <si>
    <t>РАБ.Р9.2.198 — Кабель ППГнг(А)-HF 5х6</t>
  </si>
  <si>
    <t>РАБ.Р9.2.199</t>
  </si>
  <si>
    <t>Кабель ППГнг(А)-HF 5х4</t>
  </si>
  <si>
    <t>РАБ.Р9.2.199 — Кабель ППГнг(А)-HF 5х4</t>
  </si>
  <si>
    <t>РАБ.Р9.2.200</t>
  </si>
  <si>
    <t>Кабель ППГнг(А)-HF 3х6,0</t>
  </si>
  <si>
    <t>РАБ.Р9.2.200 — Кабель ППГнг(А)-HF 3х6,0</t>
  </si>
  <si>
    <t>РАБ.Р9.2.201</t>
  </si>
  <si>
    <t>РАБ.Р9.2.201 — Прокладка кабеля / провода</t>
  </si>
  <si>
    <t>РАБ.Р9.2.202</t>
  </si>
  <si>
    <t>РАБ.Р9.2.202 — Прокладка кабеля / провода</t>
  </si>
  <si>
    <t>РАБ.Р9.2.203</t>
  </si>
  <si>
    <t>Кабельная проходка ОГНЕЗА-ПМ-К/50 (муфта)</t>
  </si>
  <si>
    <t>РАБ.Р9.2.203 — Кабельная проходка ОГНЕЗА-ПМ-К/50 (муфта)</t>
  </si>
  <si>
    <t>РАБ.Р9.2.204</t>
  </si>
  <si>
    <t>РАБ.Р9.2.204 — Прокладка кабеля / провода</t>
  </si>
  <si>
    <t>РАБ.Р9.2.205</t>
  </si>
  <si>
    <t>Напольная коробка 18 модулей Legrand арт. 089611</t>
  </si>
  <si>
    <t>ЛЮЧОК</t>
  </si>
  <si>
    <t>РАБ.Р9.2.205 — Напольная коробка 18 модулей Legrand арт. 089611</t>
  </si>
  <si>
    <t>РАБ.Р9.2.206</t>
  </si>
  <si>
    <t>РАБ.Р9.2.206 — Установка розетки</t>
  </si>
  <si>
    <t>РАБ.Р9.2.207</t>
  </si>
  <si>
    <t>Сертифицированная линия ОКЛ (включая кабель, соединительные коробки, клеммы, лотки, крепежные элементы, гофрированная труба) Сертифицированная под окраску водно-дисперсионной краск…</t>
  </si>
  <si>
    <t>РАБ.Р9.2.207 — Сертифицированная линия ОКЛ (включая кабель, соединительные коробки, клеммы, лотки, крепежные элементы, гофрированная труба) Сертифицированная под окраску водно-дисперсионной краск…</t>
  </si>
  <si>
    <t>РАБ.Р9.2.208</t>
  </si>
  <si>
    <t>Обработка проходов кабелей через перегородки огнезой с 2 сторон</t>
  </si>
  <si>
    <t>РАБ.Р9.2.208 — Обработка проходов кабелей через перегородки огнезой с 2 сторон</t>
  </si>
  <si>
    <t>РАБ.Р9.3.001</t>
  </si>
  <si>
    <t>ВРЩ(микро)</t>
  </si>
  <si>
    <t>РАБ.Р9.3.001 — ВРЩ(микро)</t>
  </si>
  <si>
    <t>РАБ.Р9.3.002</t>
  </si>
  <si>
    <t>ППУ(микро)</t>
  </si>
  <si>
    <t>РАБ.Р9.3.002 — ППУ(микро)</t>
  </si>
  <si>
    <t>РАБ.Р9.4.001</t>
  </si>
  <si>
    <t>Монтаж Светильника аварийного светодиодного iTECH M2 302 M ST, 2W/1LED, IP65, 115 Lm, 3 часа, постоянного действия, ручное тестирование</t>
  </si>
  <si>
    <t>РАБ.Р9.4.001 — Монтаж Светильника аварийного светодиодного iTECH M2 302 M ST, 2W/1LED, IP65, 115 Lm, 3 часа, постоянного действия, ручное тестирование</t>
  </si>
  <si>
    <t>РАБ.Р9.4.002</t>
  </si>
  <si>
    <t>Гофрированная ПВХ труба ∅ 20</t>
  </si>
  <si>
    <t>РАБ.Р9.4.002 — Гофрированная ПВХ труба ∅ 20</t>
  </si>
  <si>
    <t>РАБ.Р9.4.003</t>
  </si>
  <si>
    <t>РАБ.Р9.4.003 — Труба гладкая жесткая ПВХ 20 мм легкая серая (3м) в комплекте с углами, крепежами,переходниками и расходными материалами</t>
  </si>
  <si>
    <t>РАБ.Р9.4.004</t>
  </si>
  <si>
    <t>Кабель-канал DLP 105х50 мм Legrand, включая заглушки, уголки и разделители.</t>
  </si>
  <si>
    <t>РАБ.Р9.4.004 — Кабель-канал DLP 105х50 мм Legrand, включая заглушки, уголки и разделители.</t>
  </si>
  <si>
    <t>РАБ.Р9.4.005</t>
  </si>
  <si>
    <t>Зажим 773-302 безвинтовой 6х (0,75-2,5) кв. мм для меди и алюминия (Wago)</t>
  </si>
  <si>
    <t>РАБ.Р9.4.005 — Зажим 773-302 безвинтовой 6х (0,75-2,5) кв. мм для меди и алюминия (Wago)</t>
  </si>
  <si>
    <t>РАБ.Р9.4.006</t>
  </si>
  <si>
    <t>Провод ПВ1 1х6 (красный/голубой/желтый/зеленый/желто-зеленый)</t>
  </si>
  <si>
    <t>РАБ.Р9.4.006 — Провод ПВ1 1х6 (красный/голубой/желтый/зеленый/желто-зеленый)</t>
  </si>
  <si>
    <t>РАБ.Р9.4.007</t>
  </si>
  <si>
    <t>Провод ПВ1 1х4 (красный/голубой/желтый/зеленый/желто-зеленый)</t>
  </si>
  <si>
    <t>РАБ.Р9.4.007 — Провод ПВ1 1х4 (красный/голубой/желтый/зеленый/желто-зеленый)</t>
  </si>
  <si>
    <t>РАБ.Р9.4.008</t>
  </si>
  <si>
    <t>РАБ.Р9.4.008 — Установка розетки</t>
  </si>
  <si>
    <t>РАБ.Р9.4.009</t>
  </si>
  <si>
    <t>Установка выключателя с ключом двухпозиционного</t>
  </si>
  <si>
    <t>РАБ.Р9.4.009 — Установка выключателя с ключом двухпозиционного</t>
  </si>
  <si>
    <t>РАБ.Р9.4.010</t>
  </si>
  <si>
    <t>РАБ.Р9.4.010 — Пуско-наладочные работы</t>
  </si>
  <si>
    <t>РАБ.Р9.4.011</t>
  </si>
  <si>
    <t>РАБ.Р9.4.011 — Расходные и крепежные материалы</t>
  </si>
  <si>
    <t>РАБ.Р9.4.012</t>
  </si>
  <si>
    <t>РАБ.Р9.4.012 — Распред коробка legrand</t>
  </si>
  <si>
    <t>РАБ.Р9.4.013</t>
  </si>
  <si>
    <t>РАБ.Р9.4.013 — Прокладка кабеля / провода</t>
  </si>
  <si>
    <t>РАБ.Р9.4.014</t>
  </si>
  <si>
    <t>РАБ.Р9.4.014 — Прокладка кабеля / провода</t>
  </si>
  <si>
    <t>РАБ.Р9.5.001</t>
  </si>
  <si>
    <t>Полоса 40х5 горячеоцинкованная NC2405 DKC</t>
  </si>
  <si>
    <t>МЗ</t>
  </si>
  <si>
    <t>РАБ.Р9.5.001 — Полоса 40х5 горячеоцинкованная NC2405 DKC</t>
  </si>
  <si>
    <t>РАБ.Р9.5.002</t>
  </si>
  <si>
    <t>Пруток 8 мм горячеоцинкованный NC1008 DKC</t>
  </si>
  <si>
    <t>РАБ.Р9.5.002 — Пруток 8 мм горячеоцинкованный NC1008 DKC</t>
  </si>
  <si>
    <t>РАБ.Р9.5.003</t>
  </si>
  <si>
    <t>Зажим угловой коньковый 100мм ND2202 DKC</t>
  </si>
  <si>
    <t>РАБ.Р9.5.003 — Зажим угловой коньковый 100мм ND2202 DKC</t>
  </si>
  <si>
    <t>РАБ.Р9.5.004</t>
  </si>
  <si>
    <t>Держатель металлический для плоской кровли 100мм ND2106 DKC</t>
  </si>
  <si>
    <t>РАБ.Р9.5.004 — Держатель металлический для плоской кровли 100мм ND2106 DKC</t>
  </si>
  <si>
    <t>РАБ.Р9.5.005</t>
  </si>
  <si>
    <t>Держатель фасадный 100мм ND2307 DKC</t>
  </si>
  <si>
    <t>РАБ.Р9.5.005 — Держатель фасадный 100мм ND2307 DKC</t>
  </si>
  <si>
    <t>РАБ.Р9.5.006</t>
  </si>
  <si>
    <t>Заземлитель вертикальный из уголка 50х50х5мм 3м NE5503 DKC</t>
  </si>
  <si>
    <t>РАБ.Р9.5.006 — Заземлитель вертикальный из уголка 50х50х5мм 3м NE5503 DKC</t>
  </si>
  <si>
    <t>РАБ.Р9.5.007</t>
  </si>
  <si>
    <t>Соединитель универсальный NG3103 DKC</t>
  </si>
  <si>
    <t>РАБ.Р9.5.007 — Соединитель универсальный NG3103 DKC</t>
  </si>
  <si>
    <t>РАБ.Р9.5.008</t>
  </si>
  <si>
    <t>Зажим параллельный D8-10мм NG3108 DKC</t>
  </si>
  <si>
    <t>РАБ.Р9.5.008 — Зажим параллельный D8-10мм NG3108 DKC</t>
  </si>
  <si>
    <t>РАБ.Р9.5.009</t>
  </si>
  <si>
    <t>Держатель прутка на водостоке с болтом ND2308 DKC</t>
  </si>
  <si>
    <t>РАБ.Р9.5.009 — Держатель прутка на водостоке с болтом ND2308 DKC</t>
  </si>
  <si>
    <t>РАБ.Р9.5.010</t>
  </si>
  <si>
    <t>Соединитель пруток - полоса, 80х80 мм NG3101 DKC</t>
  </si>
  <si>
    <t>РАБ.Р9.5.010 — Соединитель пруток - полоса, 80х80 мм NG3101 DKC</t>
  </si>
  <si>
    <t>РАБ.Р9.5.011</t>
  </si>
  <si>
    <t>Скоба-держатель полосы с болтом ND2312 DKC</t>
  </si>
  <si>
    <t>РАБ.Р9.5.011 — Скоба-держатель полосы с болтом ND2312 DKC</t>
  </si>
  <si>
    <t>РАБ.Р9.5.012</t>
  </si>
  <si>
    <t>Коробка уравнивания потенциалов 85х85х40 КУП2603-И HEGEL</t>
  </si>
  <si>
    <t>РАБ.Р9.5.012 — Коробка уравнивания потенциалов 85х85х40 КУП2603-И HEGEL</t>
  </si>
  <si>
    <t>РАБ.Р10.1.001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</si>
  <si>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</si>
  <si>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Р10</t>
  </si>
  <si>
    <t>Адаптация для МГН</t>
  </si>
  <si>
    <t>РАБ.Р10.1.001 — 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</si>
  <si>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РАБ.Р10.1.002</t>
  </si>
  <si>
    <t>Установка подъемной платформы для МГН с наклонным перемещением БК 350 (Брянск, Россия).</t>
  </si>
  <si>
    <t>РАБ.Р10.1.002 — Установка подъемной платформы для МГН с наклонным перемещением БК 350 (Брянск, Россия).</t>
  </si>
  <si>
    <t>РАБ.Р10.1.003</t>
  </si>
  <si>
    <t>Монтаж элемента адаптации для МГН</t>
  </si>
  <si>
    <t>МГН</t>
  </si>
  <si>
    <t>РАБ.Р10.1.003 — Монтаж элемента адаптации для МГН</t>
  </si>
  <si>
    <t>РАБ.Р10.1.004</t>
  </si>
  <si>
    <t>Накладки на ступени материал: AL, резина тип указателя: обозначение крайних ступеней (полоса) цвет вставки: желтый (для первой и последней ступеней).</t>
  </si>
  <si>
    <t>РАБ.Р10.1.004 — Накладки на ступени материал: AL, резина тип указателя: обозначение крайних ступеней (полоса) цвет вставки: желтый (для первой и последней ступеней).</t>
  </si>
  <si>
    <t>РАБ.Р10.1.005</t>
  </si>
  <si>
    <t>Откидной пандус. Конструкция из двух рельс (аппарелей), которые соединены между собой направляющими (до 2,5 м)</t>
  </si>
  <si>
    <t>РАБ.Р10.1.005 — Откидной пандус. Конструкция из двух рельс (аппарелей), которые соединены между собой направляющими (до 2,5 м)</t>
  </si>
  <si>
    <t>РАБ.Р10.1.006</t>
  </si>
  <si>
    <t>Мини пандус из листового метала. Выполнен из алюминиевого рифленого листа на металлическом каркасе (900х350х50 мм).</t>
  </si>
  <si>
    <t>РАБ.Р10.1.006 — Мини пандус из листового метала. Выполнен из алюминиевого рифленого листа на металлическом каркасе (900х350х50 мм).</t>
  </si>
  <si>
    <t>РАБ.Р10.1.007</t>
  </si>
  <si>
    <t>Мини пандус из листового метала. Выполнен из алюминиевого рифленого листа на металлическом каркасе (900х350х100 мм).</t>
  </si>
  <si>
    <t>РАБ.Р10.1.007 — Мини пандус из листового метала. Выполнен из алюминиевого рифленого листа на металлическом каркасе (900х350х100 мм).</t>
  </si>
  <si>
    <t>РАБ.Р10.1.008</t>
  </si>
  <si>
    <t>Мини пандус из листового метала. Выполнен из алюминиевого рифленого листа на металлическом каркасе (900х700х50 мм).</t>
  </si>
  <si>
    <t>РАБ.Р10.1.008 — Мини пандус из листового метала. Выполнен из алюминиевого рифленого листа на металлическом каркасе (900х700х50 мм).</t>
  </si>
  <si>
    <t>РАБ.Р10.1.009</t>
  </si>
  <si>
    <t>Мини пандус из листового метала. Выполнен из алюминиевого рифленого листа на металлическом каркасе (900х1000х100 мм).</t>
  </si>
  <si>
    <t>РАБ.Р10.1.009 — Мини пандус из листового метала. Выполнен из алюминиевого рифленого листа на металлическом каркасе (900х1000х100 мм).</t>
  </si>
  <si>
    <t>РАБ.Р10.1.010</t>
  </si>
  <si>
    <t>Наклейка на дверь круг. Самоклеящаяся, виниловая, желтого цвета, размер 200мм.</t>
  </si>
  <si>
    <t>РАБ.Р10.1.010 — Наклейка на дверь круг. Самоклеящаяся, виниловая, желтого цвета, размер 200мм.</t>
  </si>
  <si>
    <t>РАБ.Р10.1.011</t>
  </si>
  <si>
    <t>Транспортные расходы (% от стоимости материалов):</t>
  </si>
  <si>
    <t>%</t>
  </si>
  <si>
    <t>РАБ.Р10.1.011 — Транспортные расходы (% от стоимости материалов):</t>
  </si>
  <si>
    <t>РАБ.Р10.1.012</t>
  </si>
  <si>
    <t>ВСЕГО*:</t>
  </si>
  <si>
    <t>руб.</t>
  </si>
  <si>
    <t>РАБ.Р10.1.012 — ВСЕГО*:</t>
  </si>
  <si>
    <t>РАБ.Р11.1.001</t>
  </si>
  <si>
    <t>Автоматическая пожарная сигнализация (АПС) — монтаж и ПНР</t>
  </si>
  <si>
    <t>компл</t>
  </si>
  <si>
    <t>Р11</t>
  </si>
  <si>
    <t>Слаботочные системы и безопасность</t>
  </si>
  <si>
    <t>по проекту / КП вендора</t>
  </si>
  <si>
    <t>РАБ.Р11.1.001 — Автоматическая пожарная сигнализация (АПС) — монтаж и ПНР</t>
  </si>
  <si>
    <t>РАБ.Р11.1.002</t>
  </si>
  <si>
    <t>Система оповещения и управления эвакуацией (СОУЭ) — монтаж и ПНР</t>
  </si>
  <si>
    <t>РАБ.Р11.1.002 — Система оповещения и управления эвакуацией (СОУЭ) — монтаж и ПНР</t>
  </si>
  <si>
    <t>РАБ.Р11.2.001</t>
  </si>
  <si>
    <t>Система контроля и управления доступом (СКУД) — монтаж и ПНР</t>
  </si>
  <si>
    <t>РАБ.Р11.2.001 — Система контроля и управления доступом (СКУД) — монтаж и ПНР</t>
  </si>
  <si>
    <t>РАБ.Р11.2.002</t>
  </si>
  <si>
    <t>Система охранного видеонаблюдения (CCTV) — монтаж и ПНР</t>
  </si>
  <si>
    <t>РАБ.Р11.2.002 — Система охранного видеонаблюдения (CCTV) — монтаж и ПНР</t>
  </si>
  <si>
    <t>РАБ.Р11.2.003</t>
  </si>
  <si>
    <t>Охранная и тревожная сигнализация — монтаж и ПНР</t>
  </si>
  <si>
    <t>РАБ.Р11.2.003 — Охранная и тревожная сигнализация — монтаж и ПНР</t>
  </si>
  <si>
    <t>РАБ.Р11.2.004</t>
  </si>
  <si>
    <t>Охрана кассового узла (ДКБ) — оборудование и ПНР</t>
  </si>
  <si>
    <t>РАБ.Р11.2.004 — Охрана кассового узла (ДКБ) — оборудование и ПНР</t>
  </si>
  <si>
    <t>РАБ.Р11.3.001</t>
  </si>
  <si>
    <t>Структурированная кабельная сеть (СКС/ЛВС) — монтаж</t>
  </si>
  <si>
    <t>РАБ.Р11.3.001 — Структурированная кабельная сеть (СКС/ЛВС) — монтаж</t>
  </si>
  <si>
    <t>РАБ.Р11.3.002</t>
  </si>
  <si>
    <t>Закладные и лотки под слаботочные системы</t>
  </si>
  <si>
    <t>если в границах подрядчика fit-out</t>
  </si>
  <si>
    <t>РАБ.Р11.3.002 — Закладные и лотки под слаботочные системы</t>
  </si>
  <si>
    <t>РАБ.Р11.9.001</t>
  </si>
  <si>
    <t>Граница ответственности: слаботочка/безопасность — вендор банка</t>
  </si>
  <si>
    <t>интерфейсы: питание, лотки, закладные — уточнить в ТЗ</t>
  </si>
  <si>
    <t>РАБ.Р11.9.001 — Граница ответственности: слаботочка/безопасность — вендор банка</t>
  </si>
  <si>
    <t>РАБ.Р12.1.001</t>
  </si>
  <si>
    <t>Временное электроснабжение строительной площадки</t>
  </si>
  <si>
    <t>Р12</t>
  </si>
  <si>
    <t>Лимитированные и прочие затраты</t>
  </si>
  <si>
    <t>по расчёту</t>
  </si>
  <si>
    <t>РАБ.Р12.1.001 — Временное электроснабжение строительной площадки</t>
  </si>
  <si>
    <t>РАБ.Р12.1.002</t>
  </si>
  <si>
    <t>Временное водоснабжение строительной площадки</t>
  </si>
  <si>
    <t>РАБ.Р12.1.002 — Временное водоснабжение строительной площадки</t>
  </si>
  <si>
    <t>РАБ.Р12.1.003</t>
  </si>
  <si>
    <t>Ограждение строительной зоны</t>
  </si>
  <si>
    <t>РАБ.Р12.1.003 — Ограждение строительной зоны</t>
  </si>
  <si>
    <t>РАБ.Р12.1.004</t>
  </si>
  <si>
    <t>Бытовое помещение на период производства работ</t>
  </si>
  <si>
    <t>мес</t>
  </si>
  <si>
    <t>аренда, по сроку</t>
  </si>
  <si>
    <t>РАБ.Р12.1.004 — Бытовое помещение на период производства работ</t>
  </si>
  <si>
    <t>РАБ.Р12.1.005</t>
  </si>
  <si>
    <t>Охрана объекта на период производства работ</t>
  </si>
  <si>
    <t>по сроку</t>
  </si>
  <si>
    <t>РАБ.Р12.1.005 — Охрана объекта на период производства работ</t>
  </si>
  <si>
    <t>РАБ.Р12.1.006</t>
  </si>
  <si>
    <t>Мероприятия по охране труда, пожарной безопасности, СИЗ</t>
  </si>
  <si>
    <t>% от СМР</t>
  </si>
  <si>
    <t>РАБ.Р12.1.006 — Мероприятия по охране труда, пожарной безопасности, СИЗ</t>
  </si>
  <si>
    <t>РАБ.Р12.2.001</t>
  </si>
  <si>
    <t>Пусконаладочные работы систем вентиляции</t>
  </si>
  <si>
    <t>РАБ.Р12.2.001 — Пусконаладочные работы систем вентиляции</t>
  </si>
  <si>
    <t>РАБ.Р12.2.002</t>
  </si>
  <si>
    <t>РАБ.Р12.2.002 — Пусконаладочные работы систем кондиционирования</t>
  </si>
  <si>
    <t>РАБ.Р12.2.003</t>
  </si>
  <si>
    <t>Пусконаладочные работы систем отопления</t>
  </si>
  <si>
    <t>РАБ.Р12.2.003 — Пусконаладочные работы систем отопления</t>
  </si>
  <si>
    <t>РАБ.Р12.2.004</t>
  </si>
  <si>
    <t>Пусконаладочные работы систем водоснабжения, канализации и ВПВ</t>
  </si>
  <si>
    <t>РАБ.Р12.2.004 — Пусконаладочные работы систем водоснабжения, канализации и ВПВ</t>
  </si>
  <si>
    <t>РАБ.Р12.2.005</t>
  </si>
  <si>
    <t>Пусконаладочные работы систем АУПТ (спринклерные)</t>
  </si>
  <si>
    <t>РАБ.Р12.2.005 — Пусконаладочные работы систем АУПТ (спринклерные)</t>
  </si>
  <si>
    <t>РАБ.Р12.3.001</t>
  </si>
  <si>
    <t>Исполнительная документация (комплект)</t>
  </si>
  <si>
    <t>% от СМР / по расчёту</t>
  </si>
  <si>
    <t>РАБ.Р12.3.001 — Исполнительная документация (комплект)</t>
  </si>
  <si>
    <t>РАБ.Р12.3.002</t>
  </si>
  <si>
    <t>Геодезическая разбивка, вынос осей и отметок</t>
  </si>
  <si>
    <t>РАБ.Р12.3.002 — Геодезическая разбивка, вынос осей и отметок</t>
  </si>
  <si>
    <t>РАБ.Р12.3.003</t>
  </si>
  <si>
    <t>Обмерные работы помещений</t>
  </si>
  <si>
    <t>РАБ.Р12.3.003 — Обмерные работы помещений</t>
  </si>
  <si>
    <t>РАБ.Р12.4.001</t>
  </si>
  <si>
    <t>Предсдаточная (финишная) уборка помещений</t>
  </si>
  <si>
    <t>по площади</t>
  </si>
  <si>
    <t>РАБ.Р12.4.001 — Предсдаточная (финишная) уборка помещений</t>
  </si>
  <si>
    <t>РАБ.Р12.4.002</t>
  </si>
  <si>
    <t>Вывоз и утилизация строительного мусора (сверх демонтажа)</t>
  </si>
  <si>
    <t>РАБ.Р12.4.002 — Вывоз и утилизация строительного мусора (сверх демонтажа)</t>
  </si>
  <si>
    <t>РАБ.Р12.5.001</t>
  </si>
  <si>
    <t>Резерв на непредвиденные работы и затраты</t>
  </si>
  <si>
    <t>% от СМР — задаётся в «Параметрах» сметы</t>
  </si>
  <si>
    <t>РАБ.Р12.5.001 — Резерв на непредвиденные работы и затраты</t>
  </si>
  <si>
    <t>Код_материала</t>
  </si>
  <si>
    <t>Наименование</t>
  </si>
  <si>
    <t>Артикул</t>
  </si>
  <si>
    <t>Производитель</t>
  </si>
  <si>
    <t>Поставщик</t>
  </si>
  <si>
    <t>Цена</t>
  </si>
  <si>
    <t>Валюта</t>
  </si>
  <si>
    <t>КОД — Наименование (служебный)</t>
  </si>
  <si>
    <t>МАТ.VRF.ВНУТ.001</t>
  </si>
  <si>
    <t>BMS interface HCM-04</t>
  </si>
  <si>
    <t>HCM-04</t>
  </si>
  <si>
    <t>Haier</t>
  </si>
  <si>
    <t>Хайер</t>
  </si>
  <si>
    <t>USD</t>
  </si>
  <si>
    <t>МАТ.VRF.ВНУТ.001 — BMS interface HCM-04</t>
  </si>
  <si>
    <t>МАТ.VRF.ВНУТ.002</t>
  </si>
  <si>
    <t>Inverter Protocol Adapter IGU02</t>
  </si>
  <si>
    <t>IGU02</t>
  </si>
  <si>
    <t>МАТ.VRF.ВНУТ.002 — Inverter Protocol Adapter IGU02</t>
  </si>
  <si>
    <t>МАТ.VRF.ВНУТ.003</t>
  </si>
  <si>
    <t>MDVI3-100C4VR12D</t>
  </si>
  <si>
    <t>MDV</t>
  </si>
  <si>
    <t>Дженерал-Трейд (АЯК)</t>
  </si>
  <si>
    <t>10.0 кВт охл.</t>
  </si>
  <si>
    <t>МАТ.VRF.ВНУТ.003 — MDVI3-100C4VR12D</t>
  </si>
  <si>
    <t>МАТ.VRF.ВНУТ.004</t>
  </si>
  <si>
    <t>MDVI3-100CFVR12D</t>
  </si>
  <si>
    <t>МАТ.VRF.ВНУТ.004 — MDVI3-100CFVR12D</t>
  </si>
  <si>
    <t>МАТ.VRF.ВНУТ.005</t>
  </si>
  <si>
    <t>MDVI3-112C4VR12D</t>
  </si>
  <si>
    <t>11.2 кВт охл.</t>
  </si>
  <si>
    <t>МАТ.VRF.ВНУТ.005 — MDVI3-112C4VR12D</t>
  </si>
  <si>
    <t>МАТ.VRF.ВНУТ.006</t>
  </si>
  <si>
    <t>MDVI3-112CFVR12D</t>
  </si>
  <si>
    <t>МАТ.VRF.ВНУТ.006 — MDVI3-112CFVR12D</t>
  </si>
  <si>
    <t>МАТ.VRF.ВНУТ.007</t>
  </si>
  <si>
    <t>MDVI3-112D1VR12D</t>
  </si>
  <si>
    <t>МАТ.VRF.ВНУТ.007 — MDVI3-112D1VR12D</t>
  </si>
  <si>
    <t>МАТ.VRF.ВНУТ.008</t>
  </si>
  <si>
    <t>MDVI3-112D2VR12D</t>
  </si>
  <si>
    <t>МАТ.VRF.ВНУТ.008 — MDVI3-112D2VR12D</t>
  </si>
  <si>
    <t>МАТ.VRF.ВНУТ.009</t>
  </si>
  <si>
    <t>MDVI3-112D3VR12D</t>
  </si>
  <si>
    <t>МАТ.VRF.ВНУТ.009 — MDVI3-112D3VR12D</t>
  </si>
  <si>
    <t>МАТ.VRF.ВНУТ.010</t>
  </si>
  <si>
    <t>MDVI3-125CFVR12D</t>
  </si>
  <si>
    <t>12.5 кВт охл.</t>
  </si>
  <si>
    <t>МАТ.VRF.ВНУТ.010 — MDVI3-125CFVR12D</t>
  </si>
  <si>
    <t>МАТ.VRF.ВНУТ.011</t>
  </si>
  <si>
    <t>MDVI3-125D2VR12D</t>
  </si>
  <si>
    <t>МАТ.VRF.ВНУТ.011 — MDVI3-125D2VR12D</t>
  </si>
  <si>
    <t>МАТ.VRF.ВНУТ.012</t>
  </si>
  <si>
    <t>MDVI3-125D3VR12D</t>
  </si>
  <si>
    <t>МАТ.VRF.ВНУТ.012 — MDVI3-125D3VR12D</t>
  </si>
  <si>
    <t>МАТ.VRF.ВНУТ.013</t>
  </si>
  <si>
    <t>MDVI3-140C4VR12D</t>
  </si>
  <si>
    <t>14.0 кВт охл.</t>
  </si>
  <si>
    <t>МАТ.VRF.ВНУТ.013 — MDVI3-140C4VR12D</t>
  </si>
  <si>
    <t>МАТ.VRF.ВНУТ.014</t>
  </si>
  <si>
    <t>MDVI3-140CFVR12D</t>
  </si>
  <si>
    <t>МАТ.VRF.ВНУТ.014 — MDVI3-140CFVR12D</t>
  </si>
  <si>
    <t>МАТ.VRF.ВНУТ.015</t>
  </si>
  <si>
    <t>MDVI3-140D2VR12D</t>
  </si>
  <si>
    <t>МАТ.VRF.ВНУТ.015 — MDVI3-140D2VR12D</t>
  </si>
  <si>
    <t>МАТ.VRF.ВНУТ.016</t>
  </si>
  <si>
    <t>MDVI3-140D3VR12D</t>
  </si>
  <si>
    <t>МАТ.VRF.ВНУТ.016 — MDVI3-140D3VR12D</t>
  </si>
  <si>
    <t>МАТ.VRF.ВНУТ.017</t>
  </si>
  <si>
    <t>MDVI3-140OAVR12D(A)</t>
  </si>
  <si>
    <t>МАТ.VRF.ВНУТ.017 — MDVI3-140OAVR12D(A)</t>
  </si>
  <si>
    <t>МАТ.VRF.ВНУТ.018</t>
  </si>
  <si>
    <t>MDVI3-15C4CVR12D</t>
  </si>
  <si>
    <t>1.5 кВт охл.</t>
  </si>
  <si>
    <t>МАТ.VRF.ВНУТ.018 — MDVI3-15C4CVR12D</t>
  </si>
  <si>
    <t>МАТ.VRF.ВНУТ.019</t>
  </si>
  <si>
    <t>MDVI3-15D1VR12D</t>
  </si>
  <si>
    <t>МАТ.VRF.ВНУТ.019 — MDVI3-15D1VR12D</t>
  </si>
  <si>
    <t>МАТ.VRF.ВНУТ.020</t>
  </si>
  <si>
    <t>MDVI3-15D2VR12D</t>
  </si>
  <si>
    <t>МАТ.VRF.ВНУТ.020 — MDVI3-15D2VR12D</t>
  </si>
  <si>
    <t>МАТ.VRF.ВНУТ.021</t>
  </si>
  <si>
    <t>MDVI3-15WMVR12D</t>
  </si>
  <si>
    <t>МАТ.VRF.ВНУТ.021 — MDVI3-15WMVR12D</t>
  </si>
  <si>
    <t>МАТ.VRF.ВНУТ.022</t>
  </si>
  <si>
    <t>MDVI3-15WMVR12D-B</t>
  </si>
  <si>
    <t>МАТ.VRF.ВНУТ.022 — MDVI3-15WMVR12D-B</t>
  </si>
  <si>
    <t>МАТ.VRF.ВНУТ.023</t>
  </si>
  <si>
    <t>MDVI3-160C4VR12D</t>
  </si>
  <si>
    <t>16.0 кВт охл.</t>
  </si>
  <si>
    <t>МАТ.VRF.ВНУТ.023 — MDVI3-160C4VR12D</t>
  </si>
  <si>
    <t>МАТ.VRF.ВНУТ.024</t>
  </si>
  <si>
    <t>MDVI3-160D2VR12D</t>
  </si>
  <si>
    <t>МАТ.VRF.ВНУТ.024 — MDVI3-160D2VR12D</t>
  </si>
  <si>
    <t>МАТ.VRF.ВНУТ.025</t>
  </si>
  <si>
    <t>MDVI3-160D3VR12D</t>
  </si>
  <si>
    <t>МАТ.VRF.ВНУТ.025 — MDVI3-160D3VR12D</t>
  </si>
  <si>
    <t>МАТ.VRF.ВНУТ.026</t>
  </si>
  <si>
    <t>MDVI3-160OAVR12D(A)</t>
  </si>
  <si>
    <t>МАТ.VRF.ВНУТ.026 — MDVI3-160OAVR12D(A)</t>
  </si>
  <si>
    <t>МАТ.VRF.ВНУТ.027</t>
  </si>
  <si>
    <t>MDVI3-180C4VR12D</t>
  </si>
  <si>
    <t>18.0 кВт охл.</t>
  </si>
  <si>
    <t>МАТ.VRF.ВНУТ.027 — MDVI3-180C4VR12D</t>
  </si>
  <si>
    <t>МАТ.VRF.ВНУТ.028</t>
  </si>
  <si>
    <t>MDVI3-18C1VR12D</t>
  </si>
  <si>
    <t>1.8 кВт охл.</t>
  </si>
  <si>
    <t>МАТ.VRF.ВНУТ.028 — MDVI3-18C1VR12D</t>
  </si>
  <si>
    <t>МАТ.VRF.ВНУТ.029</t>
  </si>
  <si>
    <t>MDVI3-200D3VR12D</t>
  </si>
  <si>
    <t>20.0 кВт охл.</t>
  </si>
  <si>
    <t>МАТ.VRF.ВНУТ.029 — MDVI3-200D3VR12D</t>
  </si>
  <si>
    <t>МАТ.VRF.ВНУТ.030</t>
  </si>
  <si>
    <t>MDVI3-200OAVR12D</t>
  </si>
  <si>
    <t>МАТ.VRF.ВНУТ.030 — MDVI3-200OAVR12D</t>
  </si>
  <si>
    <t>МАТ.VRF.ВНУТ.031</t>
  </si>
  <si>
    <t>MDVI3-224D3VR12D</t>
  </si>
  <si>
    <t>22.4 кВт охл.</t>
  </si>
  <si>
    <t>МАТ.VRF.ВНУТ.031 — MDVI3-224D3VR12D</t>
  </si>
  <si>
    <t>МАТ.VRF.ВНУТ.032</t>
  </si>
  <si>
    <t>MDVI3-224OAVR12D</t>
  </si>
  <si>
    <t>МАТ.VRF.ВНУТ.032 — MDVI3-224OAVR12D</t>
  </si>
  <si>
    <t>МАТ.VRF.ВНУТ.033</t>
  </si>
  <si>
    <t>MDVI3-224OAVR12D(A)</t>
  </si>
  <si>
    <t>МАТ.VRF.ВНУТ.033 — MDVI3-224OAVR12D(A)</t>
  </si>
  <si>
    <t>МАТ.VRF.ВНУТ.034</t>
  </si>
  <si>
    <t>MDVI3-22C1VR12D</t>
  </si>
  <si>
    <t>2.2 кВт охл.</t>
  </si>
  <si>
    <t>МАТ.VRF.ВНУТ.034 — MDVI3-22C1VR12D</t>
  </si>
  <si>
    <t>МАТ.VRF.ВНУТ.035</t>
  </si>
  <si>
    <t>MDVI3-22C2VR12D</t>
  </si>
  <si>
    <t>МАТ.VRF.ВНУТ.035 — MDVI3-22C2VR12D</t>
  </si>
  <si>
    <t>МАТ.VRF.ВНУТ.036</t>
  </si>
  <si>
    <t>MDVI3-22C4CVR12D</t>
  </si>
  <si>
    <t>МАТ.VRF.ВНУТ.036 — MDVI3-22C4CVR12D</t>
  </si>
  <si>
    <t>МАТ.VRF.ВНУТ.037</t>
  </si>
  <si>
    <t>MDVI3-22D1VR12D</t>
  </si>
  <si>
    <t>МАТ.VRF.ВНУТ.037 — MDVI3-22D1VR12D</t>
  </si>
  <si>
    <t>МАТ.VRF.ВНУТ.038</t>
  </si>
  <si>
    <t>MDVI3-22D2VR12D</t>
  </si>
  <si>
    <t>МАТ.VRF.ВНУТ.038 — MDVI3-22D2VR12D</t>
  </si>
  <si>
    <t>МАТ.VRF.ВНУТ.039</t>
  </si>
  <si>
    <t>MDVI3-22FS3VR12D</t>
  </si>
  <si>
    <t>МАТ.VRF.ВНУТ.039 — MDVI3-22FS3VR12D</t>
  </si>
  <si>
    <t>МАТ.VRF.ВНУТ.040</t>
  </si>
  <si>
    <t>MDVI3-22FS4VR12D</t>
  </si>
  <si>
    <t>МАТ.VRF.ВНУТ.040 — MDVI3-22FS4VR12D</t>
  </si>
  <si>
    <t>МАТ.VRF.ВНУТ.041</t>
  </si>
  <si>
    <t>MDVI3-22FS5VR12D</t>
  </si>
  <si>
    <t>МАТ.VRF.ВНУТ.041 — MDVI3-22FS5VR12D</t>
  </si>
  <si>
    <t>МАТ.VRF.ВНУТ.042</t>
  </si>
  <si>
    <t>MDVI3-22WMVR12D</t>
  </si>
  <si>
    <t>МАТ.VRF.ВНУТ.042 — MDVI3-22WMVR12D</t>
  </si>
  <si>
    <t>МАТ.VRF.ВНУТ.043</t>
  </si>
  <si>
    <t>MDVI3-22WMVR12D-B</t>
  </si>
  <si>
    <t>МАТ.VRF.ВНУТ.043 — MDVI3-22WMVR12D-B</t>
  </si>
  <si>
    <t>МАТ.VRF.ВНУТ.044</t>
  </si>
  <si>
    <t>MDVI3-252D3VR12D</t>
  </si>
  <si>
    <t>25.2 кВт охл.</t>
  </si>
  <si>
    <t>МАТ.VRF.ВНУТ.044 — MDVI3-252D3VR12D</t>
  </si>
  <si>
    <t>МАТ.VRF.ВНУТ.045</t>
  </si>
  <si>
    <t>MDVI3-252OAVR12D</t>
  </si>
  <si>
    <t>МАТ.VRF.ВНУТ.045 — MDVI3-252OAVR12D</t>
  </si>
  <si>
    <t>МАТ.VRF.ВНУТ.046</t>
  </si>
  <si>
    <t>MDVI3-280D3VR12D</t>
  </si>
  <si>
    <t>28.0 кВт охл.</t>
  </si>
  <si>
    <t>МАТ.VRF.ВНУТ.046 — MDVI3-280D3VR12D</t>
  </si>
  <si>
    <t>МАТ.VRF.ВНУТ.047</t>
  </si>
  <si>
    <t>MDVI3-280OAVR12D</t>
  </si>
  <si>
    <t>МАТ.VRF.ВНУТ.047 — MDVI3-280OAVR12D</t>
  </si>
  <si>
    <t>МАТ.VRF.ВНУТ.048</t>
  </si>
  <si>
    <t>MDVI3-280OAVR12D(A)</t>
  </si>
  <si>
    <t>МАТ.VRF.ВНУТ.048 — MDVI3-280OAVR12D(A)</t>
  </si>
  <si>
    <t>МАТ.VRF.ВНУТ.049</t>
  </si>
  <si>
    <t>MDVI3-28C1VR12D</t>
  </si>
  <si>
    <t>2.8 кВт охл.</t>
  </si>
  <si>
    <t>МАТ.VRF.ВНУТ.049 — MDVI3-28C1VR12D</t>
  </si>
  <si>
    <t>МАТ.VRF.ВНУТ.050</t>
  </si>
  <si>
    <t>MDVI3-28C2VR12D</t>
  </si>
  <si>
    <t>МАТ.VRF.ВНУТ.050 — MDVI3-28C2VR12D</t>
  </si>
  <si>
    <t>МАТ.VRF.ВНУТ.051</t>
  </si>
  <si>
    <t>MDVI3-28C4CVR12D</t>
  </si>
  <si>
    <t>МАТ.VRF.ВНУТ.051 — MDVI3-28C4CVR12D</t>
  </si>
  <si>
    <t>МАТ.VRF.ВНУТ.052</t>
  </si>
  <si>
    <t>MDVI3-28C4VR12D</t>
  </si>
  <si>
    <t>МАТ.VRF.ВНУТ.052 — MDVI3-28C4VR12D</t>
  </si>
  <si>
    <t>МАТ.VRF.ВНУТ.053</t>
  </si>
  <si>
    <t>MDVI3-28D1VR12D</t>
  </si>
  <si>
    <t>МАТ.VRF.ВНУТ.053 — MDVI3-28D1VR12D</t>
  </si>
  <si>
    <t>МАТ.VRF.ВНУТ.054</t>
  </si>
  <si>
    <t>MDVI3-28D2VR12D</t>
  </si>
  <si>
    <t>МАТ.VRF.ВНУТ.054 — MDVI3-28D2VR12D</t>
  </si>
  <si>
    <t>МАТ.VRF.ВНУТ.055</t>
  </si>
  <si>
    <t>MDVI3-28FS3VR12D</t>
  </si>
  <si>
    <t>МАТ.VRF.ВНУТ.055 — MDVI3-28FS3VR12D</t>
  </si>
  <si>
    <t>МАТ.VRF.ВНУТ.056</t>
  </si>
  <si>
    <t>MDVI3-28FS4VR12D</t>
  </si>
  <si>
    <t>МАТ.VRF.ВНУТ.056 — MDVI3-28FS4VR12D</t>
  </si>
  <si>
    <t>МАТ.VRF.ВНУТ.057</t>
  </si>
  <si>
    <t>MDVI3-28FS5VR12D</t>
  </si>
  <si>
    <t>МАТ.VRF.ВНУТ.057 — MDVI3-28FS5VR12D</t>
  </si>
  <si>
    <t>МАТ.VRF.ВНУТ.058</t>
  </si>
  <si>
    <t>MDVI3-28WMVR12D</t>
  </si>
  <si>
    <t>МАТ.VRF.ВНУТ.058 — MDVI3-28WMVR12D</t>
  </si>
  <si>
    <t>МАТ.VRF.ВНУТ.059</t>
  </si>
  <si>
    <t>MDVI3-28WMVR12D-B</t>
  </si>
  <si>
    <t>МАТ.VRF.ВНУТ.059 — MDVI3-28WMVR12D-B</t>
  </si>
  <si>
    <t>МАТ.VRF.ВНУТ.060</t>
  </si>
  <si>
    <t>MDVI3-335D3VR12D</t>
  </si>
  <si>
    <t>33.5 кВт охл.</t>
  </si>
  <si>
    <t>МАТ.VRF.ВНУТ.060 — MDVI3-335D3VR12D</t>
  </si>
  <si>
    <t>МАТ.VRF.ВНУТ.061</t>
  </si>
  <si>
    <t>MDVI3-335OAVR12D</t>
  </si>
  <si>
    <t>МАТ.VRF.ВНУТ.061 — MDVI3-335OAVR12D</t>
  </si>
  <si>
    <t>МАТ.VRF.ВНУТ.062</t>
  </si>
  <si>
    <t>MDVI3-36C1VR12D</t>
  </si>
  <si>
    <t>3.6 кВт охл.</t>
  </si>
  <si>
    <t>МАТ.VRF.ВНУТ.062 — MDVI3-36C1VR12D</t>
  </si>
  <si>
    <t>МАТ.VRF.ВНУТ.063</t>
  </si>
  <si>
    <t>MDVI3-36C2VR12D</t>
  </si>
  <si>
    <t>МАТ.VRF.ВНУТ.063 — MDVI3-36C2VR12D</t>
  </si>
  <si>
    <t>МАТ.VRF.ВНУТ.064</t>
  </si>
  <si>
    <t>MDVI3-36C4CVR12D</t>
  </si>
  <si>
    <t>МАТ.VRF.ВНУТ.064 — MDVI3-36C4CVR12D</t>
  </si>
  <si>
    <t>МАТ.VRF.ВНУТ.065</t>
  </si>
  <si>
    <t>MDVI3-36C4VR12D</t>
  </si>
  <si>
    <t>МАТ.VRF.ВНУТ.065 — MDVI3-36C4VR12D</t>
  </si>
  <si>
    <t>МАТ.VRF.ВНУТ.066</t>
  </si>
  <si>
    <t>MDVI3-36CFVR12D</t>
  </si>
  <si>
    <t>МАТ.VRF.ВНУТ.066 — MDVI3-36CFVR12D</t>
  </si>
  <si>
    <t>МАТ.VRF.ВНУТ.067</t>
  </si>
  <si>
    <t>MDVI3-36D1VR12D</t>
  </si>
  <si>
    <t>МАТ.VRF.ВНУТ.067 — MDVI3-36D1VR12D</t>
  </si>
  <si>
    <t>МАТ.VRF.ВНУТ.068</t>
  </si>
  <si>
    <t>MDVI3-36D2VR12D</t>
  </si>
  <si>
    <t>МАТ.VRF.ВНУТ.068 — MDVI3-36D2VR12D</t>
  </si>
  <si>
    <t>МАТ.VRF.ВНУТ.069</t>
  </si>
  <si>
    <t>MDVI3-36FS3VR12D</t>
  </si>
  <si>
    <t>МАТ.VRF.ВНУТ.069 — MDVI3-36FS3VR12D</t>
  </si>
  <si>
    <t>МАТ.VRF.ВНУТ.070</t>
  </si>
  <si>
    <t>MDVI3-36FS4VR12D</t>
  </si>
  <si>
    <t>МАТ.VRF.ВНУТ.070 — MDVI3-36FS4VR12D</t>
  </si>
  <si>
    <t>МАТ.VRF.ВНУТ.071</t>
  </si>
  <si>
    <t>MDVI3-36FS5VR12D</t>
  </si>
  <si>
    <t>МАТ.VRF.ВНУТ.071 — MDVI3-36FS5VR12D</t>
  </si>
  <si>
    <t>МАТ.VRF.ВНУТ.072</t>
  </si>
  <si>
    <t>MDVI3-36WMVR12D</t>
  </si>
  <si>
    <t>МАТ.VRF.ВНУТ.072 — MDVI3-36WMVR12D</t>
  </si>
  <si>
    <t>МАТ.VRF.ВНУТ.073</t>
  </si>
  <si>
    <t>MDVI3-36WMVR12D-B</t>
  </si>
  <si>
    <t>МАТ.VRF.ВНУТ.073 — MDVI3-36WMVR12D-B</t>
  </si>
  <si>
    <t>МАТ.VRF.ВНУТ.074</t>
  </si>
  <si>
    <t>MDVI3-400D3VR12D</t>
  </si>
  <si>
    <t>40.0 кВт охл.</t>
  </si>
  <si>
    <t>МАТ.VRF.ВНУТ.074 — MDVI3-400D3VR12D</t>
  </si>
  <si>
    <t>МАТ.VRF.ВНУТ.075</t>
  </si>
  <si>
    <t>MDVI3-400OAVR12D</t>
  </si>
  <si>
    <t>МАТ.VRF.ВНУТ.075 — MDVI3-400OAVR12D</t>
  </si>
  <si>
    <t>МАТ.VRF.ВНУТ.076</t>
  </si>
  <si>
    <t>MDVI3-450D3VR12D</t>
  </si>
  <si>
    <t>45.0 кВт охл.</t>
  </si>
  <si>
    <t>МАТ.VRF.ВНУТ.076 — MDVI3-450D3VR12D</t>
  </si>
  <si>
    <t>МАТ.VRF.ВНУТ.077</t>
  </si>
  <si>
    <t>MDVI3-450OAVR12D</t>
  </si>
  <si>
    <t>МАТ.VRF.ВНУТ.077 — MDVI3-450OAVR12D</t>
  </si>
  <si>
    <t>МАТ.VRF.ВНУТ.078</t>
  </si>
  <si>
    <t>MDVI3-45C1VR12D</t>
  </si>
  <si>
    <t>4.5 кВт охл.</t>
  </si>
  <si>
    <t>МАТ.VRF.ВНУТ.078 — MDVI3-45C1VR12D</t>
  </si>
  <si>
    <t>МАТ.VRF.ВНУТ.079</t>
  </si>
  <si>
    <t>MDVI3-45C2VR12D</t>
  </si>
  <si>
    <t>МАТ.VRF.ВНУТ.079 — MDVI3-45C2VR12D</t>
  </si>
  <si>
    <t>МАТ.VRF.ВНУТ.080</t>
  </si>
  <si>
    <t>MDVI3-45C4CVR12D</t>
  </si>
  <si>
    <t>МАТ.VRF.ВНУТ.080 — MDVI3-45C4CVR12D</t>
  </si>
  <si>
    <t>МАТ.VRF.ВНУТ.081</t>
  </si>
  <si>
    <t>MDVI3-45C4VR12D</t>
  </si>
  <si>
    <t>МАТ.VRF.ВНУТ.081 — MDVI3-45C4VR12D</t>
  </si>
  <si>
    <t>МАТ.VRF.ВНУТ.082</t>
  </si>
  <si>
    <t>MDVI3-45CFVR12D</t>
  </si>
  <si>
    <t>МАТ.VRF.ВНУТ.082 — MDVI3-45CFVR12D</t>
  </si>
  <si>
    <t>МАТ.VRF.ВНУТ.083</t>
  </si>
  <si>
    <t>MDVI3-45D1VR12D</t>
  </si>
  <si>
    <t>МАТ.VRF.ВНУТ.083 — MDVI3-45D1VR12D</t>
  </si>
  <si>
    <t>МАТ.VRF.ВНУТ.084</t>
  </si>
  <si>
    <t>MDVI3-45D2VR12D</t>
  </si>
  <si>
    <t>МАТ.VRF.ВНУТ.084 — MDVI3-45D2VR12D</t>
  </si>
  <si>
    <t>МАТ.VRF.ВНУТ.085</t>
  </si>
  <si>
    <t>MDVI3-45FS3VR12D</t>
  </si>
  <si>
    <t>МАТ.VRF.ВНУТ.085 — MDVI3-45FS3VR12D</t>
  </si>
  <si>
    <t>МАТ.VRF.ВНУТ.086</t>
  </si>
  <si>
    <t>MDVI3-45FS4VR12D</t>
  </si>
  <si>
    <t>МАТ.VRF.ВНУТ.086 — MDVI3-45FS4VR12D</t>
  </si>
  <si>
    <t>МАТ.VRF.ВНУТ.087</t>
  </si>
  <si>
    <t>MDVI3-45FS5VR12D</t>
  </si>
  <si>
    <t>МАТ.VRF.ВНУТ.087 — MDVI3-45FS5VR12D</t>
  </si>
  <si>
    <t>МАТ.VRF.ВНУТ.088</t>
  </si>
  <si>
    <t>MDVI3-45WMVR12D</t>
  </si>
  <si>
    <t>МАТ.VRF.ВНУТ.088 — MDVI3-45WMVR12D</t>
  </si>
  <si>
    <t>МАТ.VRF.ВНУТ.089</t>
  </si>
  <si>
    <t>MDVI3-45WMVR12D-B</t>
  </si>
  <si>
    <t>МАТ.VRF.ВНУТ.089 — MDVI3-45WMVR12D-B</t>
  </si>
  <si>
    <t>МАТ.VRF.ВНУТ.090</t>
  </si>
  <si>
    <t>MDVI3-560D3VR12D</t>
  </si>
  <si>
    <t>56.0 кВт охл.</t>
  </si>
  <si>
    <t>МАТ.VRF.ВНУТ.090 — MDVI3-560D3VR12D</t>
  </si>
  <si>
    <t>МАТ.VRF.ВНУТ.091</t>
  </si>
  <si>
    <t>MDVI3-560OAVR12D</t>
  </si>
  <si>
    <t>МАТ.VRF.ВНУТ.091 — MDVI3-560OAVR12D</t>
  </si>
  <si>
    <t>МАТ.VRF.ВНУТ.092</t>
  </si>
  <si>
    <t>MDVI3-56C1VR12D</t>
  </si>
  <si>
    <t>5.6 кВт охл.</t>
  </si>
  <si>
    <t>МАТ.VRF.ВНУТ.092 — MDVI3-56C1VR12D</t>
  </si>
  <si>
    <t>МАТ.VRF.ВНУТ.093</t>
  </si>
  <si>
    <t>MDVI3-56C2VR12D</t>
  </si>
  <si>
    <t>МАТ.VRF.ВНУТ.093 — MDVI3-56C2VR12D</t>
  </si>
  <si>
    <t>МАТ.VRF.ВНУТ.094</t>
  </si>
  <si>
    <t>MDVI3-56C4CVR12D</t>
  </si>
  <si>
    <t>МАТ.VRF.ВНУТ.094 — MDVI3-56C4CVR12D</t>
  </si>
  <si>
    <t>МАТ.VRF.ВНУТ.095</t>
  </si>
  <si>
    <t>MDVI3-56C4VR12D</t>
  </si>
  <si>
    <t>МАТ.VRF.ВНУТ.095 — MDVI3-56C4VR12D</t>
  </si>
  <si>
    <t>МАТ.VRF.ВНУТ.096</t>
  </si>
  <si>
    <t>MDVI3-56CFVR12D</t>
  </si>
  <si>
    <t>МАТ.VRF.ВНУТ.096 — MDVI3-56CFVR12D</t>
  </si>
  <si>
    <t>МАТ.VRF.ВНУТ.097</t>
  </si>
  <si>
    <t>MDVI3-56D1VR12D</t>
  </si>
  <si>
    <t>МАТ.VRF.ВНУТ.097 — MDVI3-56D1VR12D</t>
  </si>
  <si>
    <t>МАТ.VRF.ВНУТ.098</t>
  </si>
  <si>
    <t>MDVI3-56D2VR12D</t>
  </si>
  <si>
    <t>МАТ.VRF.ВНУТ.098 — MDVI3-56D2VR12D</t>
  </si>
  <si>
    <t>МАТ.VRF.ВНУТ.099</t>
  </si>
  <si>
    <t>MDVI3-56D3VR12D</t>
  </si>
  <si>
    <t>МАТ.VRF.ВНУТ.099 — MDVI3-56D3VR12D</t>
  </si>
  <si>
    <t>МАТ.VRF.ВНУТ.100</t>
  </si>
  <si>
    <t>MDVI3-56FS3VR12D</t>
  </si>
  <si>
    <t>МАТ.VRF.ВНУТ.100 — MDVI3-56FS3VR12D</t>
  </si>
  <si>
    <t>МАТ.VRF.ВНУТ.101</t>
  </si>
  <si>
    <t>MDVI3-56FS4VR12D</t>
  </si>
  <si>
    <t>МАТ.VRF.ВНУТ.101 — MDVI3-56FS4VR12D</t>
  </si>
  <si>
    <t>МАТ.VRF.ВНУТ.102</t>
  </si>
  <si>
    <t>MDVI3-56FS5VR12D</t>
  </si>
  <si>
    <t>МАТ.VRF.ВНУТ.102 — MDVI3-56FS5VR12D</t>
  </si>
  <si>
    <t>МАТ.VRF.ВНУТ.103</t>
  </si>
  <si>
    <t>MDVI3-56WMVR12D</t>
  </si>
  <si>
    <t>МАТ.VRF.ВНУТ.103 — MDVI3-56WMVR12D</t>
  </si>
  <si>
    <t>МАТ.VRF.ВНУТ.104</t>
  </si>
  <si>
    <t>MDVI3-56WMVR12D-B</t>
  </si>
  <si>
    <t>МАТ.VRF.ВНУТ.104 — MDVI3-56WMVR12D-B</t>
  </si>
  <si>
    <t>МАТ.VRF.ВНУТ.105</t>
  </si>
  <si>
    <t>MDVI3-63C4CVR12D</t>
  </si>
  <si>
    <t>6.3 кВт охл.</t>
  </si>
  <si>
    <t>МАТ.VRF.ВНУТ.105 — MDVI3-63C4CVR12D</t>
  </si>
  <si>
    <t>МАТ.VRF.ВНУТ.106</t>
  </si>
  <si>
    <t>MDVI3-71C1VR12D</t>
  </si>
  <si>
    <t>7.1 кВт охл.</t>
  </si>
  <si>
    <t>МАТ.VRF.ВНУТ.106 — MDVI3-71C1VR12D</t>
  </si>
  <si>
    <t>МАТ.VRF.ВНУТ.107</t>
  </si>
  <si>
    <t>MDVI3-71C2VR12D</t>
  </si>
  <si>
    <t>МАТ.VRF.ВНУТ.107 — MDVI3-71C2VR12D</t>
  </si>
  <si>
    <t>МАТ.VRF.ВНУТ.108</t>
  </si>
  <si>
    <t>MDVI3-71C4VR12D</t>
  </si>
  <si>
    <t>МАТ.VRF.ВНУТ.108 — MDVI3-71C4VR12D</t>
  </si>
  <si>
    <t>МАТ.VRF.ВНУТ.109</t>
  </si>
  <si>
    <t>MDVI3-71CFVR12D</t>
  </si>
  <si>
    <t>МАТ.VRF.ВНУТ.109 — MDVI3-71CFVR12D</t>
  </si>
  <si>
    <t>МАТ.VRF.ВНУТ.110</t>
  </si>
  <si>
    <t>MDVI3-71D1VR12D</t>
  </si>
  <si>
    <t>МАТ.VRF.ВНУТ.110 — MDVI3-71D1VR12D</t>
  </si>
  <si>
    <t>МАТ.VRF.ВНУТ.111</t>
  </si>
  <si>
    <t>MDVI3-71D2VR12D</t>
  </si>
  <si>
    <t>МАТ.VRF.ВНУТ.111 — MDVI3-71D2VR12D</t>
  </si>
  <si>
    <t>МАТ.VRF.ВНУТ.112</t>
  </si>
  <si>
    <t>MDVI3-71D3VR12D</t>
  </si>
  <si>
    <t>МАТ.VRF.ВНУТ.112 — MDVI3-71D3VR12D</t>
  </si>
  <si>
    <t>МАТ.VRF.ВНУТ.113</t>
  </si>
  <si>
    <t>MDVI3-71FS3VR12D</t>
  </si>
  <si>
    <t>МАТ.VRF.ВНУТ.113 — MDVI3-71FS3VR12D</t>
  </si>
  <si>
    <t>МАТ.VRF.ВНУТ.114</t>
  </si>
  <si>
    <t>MDVI3-71FS4VR12D</t>
  </si>
  <si>
    <t>МАТ.VRF.ВНУТ.114 — MDVI3-71FS4VR12D</t>
  </si>
  <si>
    <t>МАТ.VRF.ВНУТ.115</t>
  </si>
  <si>
    <t>MDVI3-71FS5VR12D</t>
  </si>
  <si>
    <t>МАТ.VRF.ВНУТ.115 — MDVI3-71FS5VR12D</t>
  </si>
  <si>
    <t>МАТ.VRF.ВНУТ.116</t>
  </si>
  <si>
    <t>MDVI3-71WMVR12D</t>
  </si>
  <si>
    <t>МАТ.VRF.ВНУТ.116 — MDVI3-71WMVR12D</t>
  </si>
  <si>
    <t>МАТ.VRF.ВНУТ.117</t>
  </si>
  <si>
    <t>MDVI3-71WMVR12D-B</t>
  </si>
  <si>
    <t>МАТ.VRF.ВНУТ.117 — MDVI3-71WMVR12D-B</t>
  </si>
  <si>
    <t>МАТ.VRF.ВНУТ.118</t>
  </si>
  <si>
    <t>MDVI3-80C4VR12D</t>
  </si>
  <si>
    <t>8.0 кВт охл.</t>
  </si>
  <si>
    <t>МАТ.VRF.ВНУТ.118 — MDVI3-80C4VR12D</t>
  </si>
  <si>
    <t>МАТ.VRF.ВНУТ.119</t>
  </si>
  <si>
    <t>MDVI3-80CFVR12D</t>
  </si>
  <si>
    <t>МАТ.VRF.ВНУТ.119 — MDVI3-80CFVR12D</t>
  </si>
  <si>
    <t>МАТ.VRF.ВНУТ.120</t>
  </si>
  <si>
    <t>MDVI3-80D1VR12D</t>
  </si>
  <si>
    <t>МАТ.VRF.ВНУТ.120 — MDVI3-80D1VR12D</t>
  </si>
  <si>
    <t>МАТ.VRF.ВНУТ.121</t>
  </si>
  <si>
    <t>MDVI3-80D2VR12D</t>
  </si>
  <si>
    <t>МАТ.VRF.ВНУТ.121 — MDVI3-80D2VR12D</t>
  </si>
  <si>
    <t>МАТ.VRF.ВНУТ.122</t>
  </si>
  <si>
    <t>MDVI3-80D3VR12D</t>
  </si>
  <si>
    <t>МАТ.VRF.ВНУТ.122 — MDVI3-80D3VR12D</t>
  </si>
  <si>
    <t>МАТ.VRF.ВНУТ.123</t>
  </si>
  <si>
    <t>MDVI3-80FS3VR12D</t>
  </si>
  <si>
    <t>МАТ.VRF.ВНУТ.123 — MDVI3-80FS3VR12D</t>
  </si>
  <si>
    <t>МАТ.VRF.ВНУТ.124</t>
  </si>
  <si>
    <t>MDVI3-80FS4VR12D</t>
  </si>
  <si>
    <t>МАТ.VRF.ВНУТ.124 — MDVI3-80FS4VR12D</t>
  </si>
  <si>
    <t>МАТ.VRF.ВНУТ.125</t>
  </si>
  <si>
    <t>MDVI3-80FS5VR12D</t>
  </si>
  <si>
    <t>МАТ.VRF.ВНУТ.125 — MDVI3-80FS5VR12D</t>
  </si>
  <si>
    <t>МАТ.VRF.ВНУТ.126</t>
  </si>
  <si>
    <t>MDVI3-80WMVR12D</t>
  </si>
  <si>
    <t>МАТ.VRF.ВНУТ.126 — MDVI3-80WMVR12D</t>
  </si>
  <si>
    <t>МАТ.VRF.ВНУТ.127</t>
  </si>
  <si>
    <t>MDVI3-80WMVR12D-B</t>
  </si>
  <si>
    <t>МАТ.VRF.ВНУТ.127 — MDVI3-80WMVR12D-B</t>
  </si>
  <si>
    <t>МАТ.VRF.ВНУТ.128</t>
  </si>
  <si>
    <t>MDVI3-90C4VR12D</t>
  </si>
  <si>
    <t>9.0 кВт охл.</t>
  </si>
  <si>
    <t>МАТ.VRF.ВНУТ.128 — MDVI3-90C4VR12D</t>
  </si>
  <si>
    <t>МАТ.VRF.ВНУТ.129</t>
  </si>
  <si>
    <t>MDVI3-90CFVR12D</t>
  </si>
  <si>
    <t>МАТ.VRF.ВНУТ.129 — MDVI3-90CFVR12D</t>
  </si>
  <si>
    <t>МАТ.VRF.ВНУТ.130</t>
  </si>
  <si>
    <t>MDVI3-90D1VR12D</t>
  </si>
  <si>
    <t>МАТ.VRF.ВНУТ.130 — MDVI3-90D1VR12D</t>
  </si>
  <si>
    <t>МАТ.VRF.ВНУТ.131</t>
  </si>
  <si>
    <t>MDVI3-90D2VR12D</t>
  </si>
  <si>
    <t>МАТ.VRF.ВНУТ.131 — MDVI3-90D2VR12D</t>
  </si>
  <si>
    <t>МАТ.VRF.ВНУТ.132</t>
  </si>
  <si>
    <t>MDVI3-90D3VR12D</t>
  </si>
  <si>
    <t>МАТ.VRF.ВНУТ.132 — MDVI3-90D3VR12D</t>
  </si>
  <si>
    <t>МАТ.VRF.ВНУТ.133</t>
  </si>
  <si>
    <t>MDVI3-90OAVR12D(A)</t>
  </si>
  <si>
    <t>МАТ.VRF.ВНУТ.133 — MDVI3-90OAVR12D(A)</t>
  </si>
  <si>
    <t>МАТ.VRF.ВНУТ.134</t>
  </si>
  <si>
    <t>WI-FI модуль для управления центральным пультом HC-SA164DBT HI-WA164DBI</t>
  </si>
  <si>
    <t>HI-WA164DBI</t>
  </si>
  <si>
    <t>МАТ.VRF.ВНУТ.134 — WI-FI модуль для управления центральным пультом HC-SA164DBT HI-WA164DBI</t>
  </si>
  <si>
    <t>МАТ.VRF.ВНУТ.135</t>
  </si>
  <si>
    <t>Жалюзи к канальным блокам серии AD…MSERA P1B-1210IA</t>
  </si>
  <si>
    <t>P1B-1210IA</t>
  </si>
  <si>
    <t>МАТ.VRF.ВНУТ.135 — Жалюзи к канальным блокам серии AD…MSERA P1B-1210IA</t>
  </si>
  <si>
    <t>МАТ.VRF.ВНУТ.136</t>
  </si>
  <si>
    <t>Жалюзи к канальным блокам серии AD…MSERA P1B-1210IA(D) с дисплеем</t>
  </si>
  <si>
    <t>P1B-1210IA(D)                 с дисплеем</t>
  </si>
  <si>
    <t>МАТ.VRF.ВНУТ.136 — Жалюзи к канальным блокам серии AD…MSERA P1B-1210IA(D) с дисплеем</t>
  </si>
  <si>
    <t>МАТ.VRF.ВНУТ.137</t>
  </si>
  <si>
    <t>Жалюзи к канальным блокам серии AD…MSERA P1B-890IA</t>
  </si>
  <si>
    <t>P1B-890IA</t>
  </si>
  <si>
    <t>МАТ.VRF.ВНУТ.137 — Жалюзи к канальным блокам серии AD…MSERA P1B-890IA</t>
  </si>
  <si>
    <t>МАТ.VRF.ВНУТ.138</t>
  </si>
  <si>
    <t>Жалюзи к канальным блокам серии AD…MSERA P1B-890IA(D) с дисплеем</t>
  </si>
  <si>
    <t>P1B-890IA(D)           с дисплеем</t>
  </si>
  <si>
    <t>МАТ.VRF.ВНУТ.138 — Жалюзи к канальным блокам серии AD…MSERA P1B-890IA(D) с дисплеем</t>
  </si>
  <si>
    <t>МАТ.VRF.ВНУТ.139</t>
  </si>
  <si>
    <t>ИК-пульт YR-HQS01</t>
  </si>
  <si>
    <t>YR-HQS01</t>
  </si>
  <si>
    <t>МАТ.VRF.ВНУТ.139 — ИК-пульт YR-HQS01</t>
  </si>
  <si>
    <t>МАТ.VRF.ВНУТ.140</t>
  </si>
  <si>
    <t>ИК-пульт YR-HRS01</t>
  </si>
  <si>
    <t>YR-HRS01</t>
  </si>
  <si>
    <t>МАТ.VRF.ВНУТ.140 — ИК-пульт YR-HRS01</t>
  </si>
  <si>
    <t>МАТ.VRF.ВНУТ.141</t>
  </si>
  <si>
    <t>Канальный 12K AD122MJERA</t>
  </si>
  <si>
    <t>AD122MJERA</t>
  </si>
  <si>
    <t>МАТ.VRF.ВНУТ.141 — Канальный 12K AD122MJERA</t>
  </si>
  <si>
    <t>МАТ.VRF.ВНУТ.142</t>
  </si>
  <si>
    <t>Канальный 12K AD122MJERAD</t>
  </si>
  <si>
    <t>AD122MJERAD</t>
  </si>
  <si>
    <t>МАТ.VRF.ВНУТ.142 — Канальный 12K AD122MJERAD</t>
  </si>
  <si>
    <t>МАТ.VRF.ВНУТ.143</t>
  </si>
  <si>
    <t>Канальный 12K AD122MSERA</t>
  </si>
  <si>
    <t>AD122MSERA</t>
  </si>
  <si>
    <t>МАТ.VRF.ВНУТ.143 — Канальный 12K AD122MSERA</t>
  </si>
  <si>
    <t>МАТ.VRF.ВНУТ.144</t>
  </si>
  <si>
    <t>Канальный 12K AD122MSERA (D)</t>
  </si>
  <si>
    <t>AD122MSERA (D)</t>
  </si>
  <si>
    <t>МАТ.VRF.ВНУТ.144 — Канальный 12K AD122MSERA (D)</t>
  </si>
  <si>
    <t>МАТ.VRF.ВНУТ.145</t>
  </si>
  <si>
    <t>Канальный 16K AD162MJERA</t>
  </si>
  <si>
    <t>AD162MJERA</t>
  </si>
  <si>
    <t>МАТ.VRF.ВНУТ.145 — Канальный 16K AD162MJERA</t>
  </si>
  <si>
    <t>МАТ.VRF.ВНУТ.146</t>
  </si>
  <si>
    <t>Канальный 16K AD162MJERAD</t>
  </si>
  <si>
    <t>AD162MJERAD</t>
  </si>
  <si>
    <t>МАТ.VRF.ВНУТ.146 — Канальный 16K AD162MJERAD</t>
  </si>
  <si>
    <t>МАТ.VRF.ВНУТ.147</t>
  </si>
  <si>
    <t>Канальный 16K AD162MSERA</t>
  </si>
  <si>
    <t>AD162MSERA</t>
  </si>
  <si>
    <t>МАТ.VRF.ВНУТ.147 — Канальный 16K AD162MSERA</t>
  </si>
  <si>
    <t>МАТ.VRF.ВНУТ.148</t>
  </si>
  <si>
    <t>Канальный 16K AD162MSERA (D)</t>
  </si>
  <si>
    <t>AD162MSERA (D)</t>
  </si>
  <si>
    <t>МАТ.VRF.ВНУТ.148 — Канальный 16K AD162MSERA (D)</t>
  </si>
  <si>
    <t>МАТ.VRF.ВНУТ.149</t>
  </si>
  <si>
    <t>Канальный 18K AD182MJERA</t>
  </si>
  <si>
    <t>AD182MJERA</t>
  </si>
  <si>
    <t>МАТ.VRF.ВНУТ.149 — Канальный 18K AD182MJERA</t>
  </si>
  <si>
    <t>МАТ.VRF.ВНУТ.150</t>
  </si>
  <si>
    <t>Канальный 18K AD182MJERAD</t>
  </si>
  <si>
    <t>AD182MJERAD</t>
  </si>
  <si>
    <t>МАТ.VRF.ВНУТ.150 — Канальный 18K AD182MJERAD</t>
  </si>
  <si>
    <t>МАТ.VRF.ВНУТ.151</t>
  </si>
  <si>
    <t>Канальный 18K AD182MSERA</t>
  </si>
  <si>
    <t>AD182MSERA</t>
  </si>
  <si>
    <t>МАТ.VRF.ВНУТ.151 — Канальный 18K AD182MSERA</t>
  </si>
  <si>
    <t>МАТ.VRF.ВНУТ.152</t>
  </si>
  <si>
    <t>Канальный 18K AD182MSERA (D)</t>
  </si>
  <si>
    <t>AD182MSERA (D)</t>
  </si>
  <si>
    <t>МАТ.VRF.ВНУТ.152 — Канальный 18K AD182MSERA (D)</t>
  </si>
  <si>
    <t>МАТ.VRF.ВНУТ.153</t>
  </si>
  <si>
    <t>Канальный 24K AD242MJERA</t>
  </si>
  <si>
    <t>AD242MJERA</t>
  </si>
  <si>
    <t>МАТ.VRF.ВНУТ.153 — Канальный 24K AD242MJERA</t>
  </si>
  <si>
    <t>МАТ.VRF.ВНУТ.154</t>
  </si>
  <si>
    <t>Канальный 24K AD242MJERAD</t>
  </si>
  <si>
    <t>AD242MJERAD</t>
  </si>
  <si>
    <t>МАТ.VRF.ВНУТ.154 — Канальный 24K AD242MJERAD</t>
  </si>
  <si>
    <t>МАТ.VRF.ВНУТ.155</t>
  </si>
  <si>
    <t>Канальный 24K AD242MSERA</t>
  </si>
  <si>
    <t>AD242MSERA</t>
  </si>
  <si>
    <t>МАТ.VRF.ВНУТ.155 — Канальный 24K AD242MSERA</t>
  </si>
  <si>
    <t>МАТ.VRF.ВНУТ.156</t>
  </si>
  <si>
    <t>Канальный 24K AD242MSERA (D)</t>
  </si>
  <si>
    <t>AD242MSERA (D)</t>
  </si>
  <si>
    <t>МАТ.VRF.ВНУТ.156 — Канальный 24K AD242MSERA (D)</t>
  </si>
  <si>
    <t>МАТ.VRF.ВНУТ.157</t>
  </si>
  <si>
    <t>Канальный 28K AD282MJERA</t>
  </si>
  <si>
    <t>AD282MJERA</t>
  </si>
  <si>
    <t>МАТ.VRF.ВНУТ.157 — Канальный 28K AD282MJERA</t>
  </si>
  <si>
    <t>МАТ.VRF.ВНУТ.158</t>
  </si>
  <si>
    <t>Канальный 30K AD282MJERAD</t>
  </si>
  <si>
    <t>AD282MJERAD</t>
  </si>
  <si>
    <t>МАТ.VRF.ВНУТ.158 — Канальный 30K AD282MJERAD</t>
  </si>
  <si>
    <t>МАТ.VRF.ВНУТ.159</t>
  </si>
  <si>
    <t>Канальный 30K AD302MJERA</t>
  </si>
  <si>
    <t>AD302MJERA</t>
  </si>
  <si>
    <t>МАТ.VRF.ВНУТ.159 — Канальный 30K AD302MJERA</t>
  </si>
  <si>
    <t>МАТ.VRF.ВНУТ.160</t>
  </si>
  <si>
    <t>Канальный 36K AD302MJERAD</t>
  </si>
  <si>
    <t>AD302MJERAD</t>
  </si>
  <si>
    <t>МАТ.VRF.ВНУТ.160 — Канальный 36K AD302MJERAD</t>
  </si>
  <si>
    <t>МАТ.VRF.ВНУТ.161</t>
  </si>
  <si>
    <t>Канальный 38K AD382MJERA</t>
  </si>
  <si>
    <t>AD382MJERA</t>
  </si>
  <si>
    <t>МАТ.VRF.ВНУТ.161 — Канальный 38K AD382MJERA</t>
  </si>
  <si>
    <t>МАТ.VRF.ВНУТ.162</t>
  </si>
  <si>
    <t>Канальный 42K AD382MJERAD</t>
  </si>
  <si>
    <t>AD382MJERAD</t>
  </si>
  <si>
    <t>МАТ.VRF.ВНУТ.162 — Канальный 42K AD382MJERAD</t>
  </si>
  <si>
    <t>МАТ.VRF.ВНУТ.163</t>
  </si>
  <si>
    <t>Канальный 48K AD482MJERA</t>
  </si>
  <si>
    <t>AD482MJERA</t>
  </si>
  <si>
    <t>МАТ.VRF.ВНУТ.163 — Канальный 48K AD482MJERA</t>
  </si>
  <si>
    <t>МАТ.VRF.ВНУТ.164</t>
  </si>
  <si>
    <t>Канальный 48K AD482MJERAD</t>
  </si>
  <si>
    <t>AD482MJERAD</t>
  </si>
  <si>
    <t>МАТ.VRF.ВНУТ.164 — Канальный 48K AD482MJERAD</t>
  </si>
  <si>
    <t>МАТ.VRF.ВНУТ.165</t>
  </si>
  <si>
    <t>Канальный 48K AD482MJERAF</t>
  </si>
  <si>
    <t>AD482MJERAF</t>
  </si>
  <si>
    <t>МАТ.VRF.ВНУТ.165 — Канальный 48K AD482MJERAF</t>
  </si>
  <si>
    <t>МАТ.VRF.ВНУТ.166</t>
  </si>
  <si>
    <t>Канальный 54K AD542MJERA</t>
  </si>
  <si>
    <t>AD542MJERA</t>
  </si>
  <si>
    <t>МАТ.VRF.ВНУТ.166 — Канальный 54K AD542MJERA</t>
  </si>
  <si>
    <t>МАТ.VRF.ВНУТ.167</t>
  </si>
  <si>
    <t>Канальный 54K AD542MJERAD</t>
  </si>
  <si>
    <t>AD542MJERAD</t>
  </si>
  <si>
    <t>МАТ.VRF.ВНУТ.167 — Канальный 54K AD542MJERAD</t>
  </si>
  <si>
    <t>МАТ.VRF.ВНУТ.168</t>
  </si>
  <si>
    <t>Канальный 5K AD052MJERA</t>
  </si>
  <si>
    <t>AD052MJERA</t>
  </si>
  <si>
    <t>МАТ.VRF.ВНУТ.168 — Канальный 5K AD052MJERA</t>
  </si>
  <si>
    <t>МАТ.VRF.ВНУТ.169</t>
  </si>
  <si>
    <t>Канальный 5K AD052MJERAD</t>
  </si>
  <si>
    <t>AD052MJERAD</t>
  </si>
  <si>
    <t>МАТ.VRF.ВНУТ.169 — Канальный 5K AD052MJERAD</t>
  </si>
  <si>
    <t>МАТ.VRF.ВНУТ.170</t>
  </si>
  <si>
    <t>Канальный 5K AD052MSERA</t>
  </si>
  <si>
    <t>AD052MSERA</t>
  </si>
  <si>
    <t>МАТ.VRF.ВНУТ.170 — Канальный 5K AD052MSERA</t>
  </si>
  <si>
    <t>МАТ.VRF.ВНУТ.171</t>
  </si>
  <si>
    <t>Канальный 5K AD052MSERA (D)</t>
  </si>
  <si>
    <t>AD052MSERA (D)</t>
  </si>
  <si>
    <t>МАТ.VRF.ВНУТ.171 — Канальный 5K AD052MSERA (D)</t>
  </si>
  <si>
    <t>МАТ.VRF.ВНУТ.172</t>
  </si>
  <si>
    <t>Канальный 72K AD722MHERA</t>
  </si>
  <si>
    <t>AD722MHERA</t>
  </si>
  <si>
    <t>МАТ.VRF.ВНУТ.172 — Канальный 72K AD722MHERA</t>
  </si>
  <si>
    <t>МАТ.VRF.ВНУТ.173</t>
  </si>
  <si>
    <t>Канальный 72K AD722MTERAF</t>
  </si>
  <si>
    <t>AD722MTERAF</t>
  </si>
  <si>
    <t>МАТ.VRF.ВНУТ.173 — Канальный 72K AD722MTERAF</t>
  </si>
  <si>
    <t>МАТ.VRF.ВНУТ.174</t>
  </si>
  <si>
    <t>Канальный 7K AD072MJERA</t>
  </si>
  <si>
    <t>AD072MJERA</t>
  </si>
  <si>
    <t>МАТ.VRF.ВНУТ.174 — Канальный 7K AD072MJERA</t>
  </si>
  <si>
    <t>МАТ.VRF.ВНУТ.175</t>
  </si>
  <si>
    <t>Канальный 7K AD072MJERAD</t>
  </si>
  <si>
    <t>AD072MJERAD</t>
  </si>
  <si>
    <t>МАТ.VRF.ВНУТ.175 — Канальный 7K AD072MJERAD</t>
  </si>
  <si>
    <t>МАТ.VRF.ВНУТ.176</t>
  </si>
  <si>
    <t>Канальный 7K AD072MSERA</t>
  </si>
  <si>
    <t>AD072MSERA</t>
  </si>
  <si>
    <t>МАТ.VRF.ВНУТ.176 — Канальный 7K AD072MSERA</t>
  </si>
  <si>
    <t>МАТ.VRF.ВНУТ.177</t>
  </si>
  <si>
    <t>Канальный 7K AD072MSERA (D)</t>
  </si>
  <si>
    <t>AD072MSERA (D)</t>
  </si>
  <si>
    <t>МАТ.VRF.ВНУТ.177 — Канальный 7K AD072MSERA (D)</t>
  </si>
  <si>
    <t>МАТ.VRF.ВНУТ.178</t>
  </si>
  <si>
    <t>Канальный 96K AD962MHERA</t>
  </si>
  <si>
    <t>AD962MHERA</t>
  </si>
  <si>
    <t>МАТ.VRF.ВНУТ.178 — Канальный 96K AD962MHERA</t>
  </si>
  <si>
    <t>МАТ.VRF.ВНУТ.179</t>
  </si>
  <si>
    <t>Канальный 96K AD962MTERAF</t>
  </si>
  <si>
    <t>AD962MTERAF</t>
  </si>
  <si>
    <t>МАТ.VRF.ВНУТ.179 — Канальный 96K AD962MTERAF</t>
  </si>
  <si>
    <t>МАТ.VRF.ВНУТ.180</t>
  </si>
  <si>
    <t>Канальный 9K AD092MJERA</t>
  </si>
  <si>
    <t>AD092MJERA</t>
  </si>
  <si>
    <t>МАТ.VRF.ВНУТ.180 — Канальный 9K AD092MJERA</t>
  </si>
  <si>
    <t>МАТ.VRF.ВНУТ.181</t>
  </si>
  <si>
    <t>Канальный 9K AD092MJERAD</t>
  </si>
  <si>
    <t>AD092MJERAD</t>
  </si>
  <si>
    <t>МАТ.VRF.ВНУТ.181 — Канальный 9K AD092MJERAD</t>
  </si>
  <si>
    <t>МАТ.VRF.ВНУТ.182</t>
  </si>
  <si>
    <t>Канальный 9K AD092MSERA</t>
  </si>
  <si>
    <t>AD092MSERA</t>
  </si>
  <si>
    <t>МАТ.VRF.ВНУТ.182 — Канальный 9K AD092MSERA</t>
  </si>
  <si>
    <t>МАТ.VRF.ВНУТ.183</t>
  </si>
  <si>
    <t>Канальный 9K AD092MSERA (D)</t>
  </si>
  <si>
    <t>AD092MSERA (D)</t>
  </si>
  <si>
    <t>МАТ.VRF.ВНУТ.183 — Канальный 9K AD092MSERA (D)</t>
  </si>
  <si>
    <t>МАТ.VRF.ВНУТ.184</t>
  </si>
  <si>
    <t>Кассетный 12K AB122MCERA(M)</t>
  </si>
  <si>
    <t>AB122MCERA(M)</t>
  </si>
  <si>
    <t>МАТ.VRF.ВНУТ.184 — Кассетный 12K AB122MCERA(M)</t>
  </si>
  <si>
    <t>МАТ.VRF.ВНУТ.185</t>
  </si>
  <si>
    <t>Кассетный 16K AB162MCERA(M)</t>
  </si>
  <si>
    <t>AB162MCERA(M)</t>
  </si>
  <si>
    <t>МАТ.VRF.ВНУТ.185 — Кассетный 16K AB162MCERA(M)</t>
  </si>
  <si>
    <t>МАТ.VRF.ВНУТ.186</t>
  </si>
  <si>
    <t>Кассетный 18K AB182MCERA(M)</t>
  </si>
  <si>
    <t>AB182MCERA(M)</t>
  </si>
  <si>
    <t>МАТ.VRF.ВНУТ.186 — Кассетный 18K AB182MCERA(M)</t>
  </si>
  <si>
    <t>МАТ.VRF.ВНУТ.187</t>
  </si>
  <si>
    <t>Кассетный 18K AB182MNERA</t>
  </si>
  <si>
    <t>AB182MNERA</t>
  </si>
  <si>
    <t>МАТ.VRF.ВНУТ.187 — Кассетный 18K AB182MNERA</t>
  </si>
  <si>
    <t>МАТ.VRF.ВНУТ.188</t>
  </si>
  <si>
    <t>Кассетный 24K AB242MNERA</t>
  </si>
  <si>
    <t>AB242MNERA</t>
  </si>
  <si>
    <t>МАТ.VRF.ВНУТ.188 — Кассетный 24K AB242MNERA</t>
  </si>
  <si>
    <t>МАТ.VRF.ВНУТ.189</t>
  </si>
  <si>
    <t>Кассетный 28K AB282MNERA</t>
  </si>
  <si>
    <t>AB282MNERA</t>
  </si>
  <si>
    <t>МАТ.VRF.ВНУТ.189 — Кассетный 28K AB282MNERA</t>
  </si>
  <si>
    <t>МАТ.VRF.ВНУТ.190</t>
  </si>
  <si>
    <t>Кассетный 30K AB302MNERA</t>
  </si>
  <si>
    <t>AB302MNERA</t>
  </si>
  <si>
    <t>МАТ.VRF.ВНУТ.190 — Кассетный 30K AB302MNERA</t>
  </si>
  <si>
    <t>МАТ.VRF.ВНУТ.191</t>
  </si>
  <si>
    <t>Кассетный 38K AB382MNERA</t>
  </si>
  <si>
    <t>AB382MNERA</t>
  </si>
  <si>
    <t>МАТ.VRF.ВНУТ.191 — Кассетный 38K AB382MNERA</t>
  </si>
  <si>
    <t>МАТ.VRF.ВНУТ.192</t>
  </si>
  <si>
    <t>Кассетный 48K AB482MNERA</t>
  </si>
  <si>
    <t>AB482MNERA</t>
  </si>
  <si>
    <t>МАТ.VRF.ВНУТ.192 — Кассетный 48K AB482MNERA</t>
  </si>
  <si>
    <t>МАТ.VRF.ВНУТ.193</t>
  </si>
  <si>
    <t>Кассетный 5K AB052MCERA(M)</t>
  </si>
  <si>
    <t>AB052MCERA(M)</t>
  </si>
  <si>
    <t>МАТ.VRF.ВНУТ.193 — Кассетный 5K AB052MCERA(M)</t>
  </si>
  <si>
    <t>МАТ.VRF.ВНУТ.194</t>
  </si>
  <si>
    <t>Кассетный 7K AB072MCERA(M)</t>
  </si>
  <si>
    <t>AB072MCERA(M)</t>
  </si>
  <si>
    <t>МАТ.VRF.ВНУТ.194 — Кассетный 7K AB072MCERA(M)</t>
  </si>
  <si>
    <t>МАТ.VRF.ВНУТ.195</t>
  </si>
  <si>
    <t>Кассетный 9K AB092MCERA(M)</t>
  </si>
  <si>
    <t>AB092MCERA(M)</t>
  </si>
  <si>
    <t>МАТ.VRF.ВНУТ.195 — Кассетный 9K AB092MCERA(M)</t>
  </si>
  <si>
    <t>МАТ.VRF.ВНУТ.196</t>
  </si>
  <si>
    <t>Кассетный AB602MNERA</t>
  </si>
  <si>
    <t>AB602MNERA</t>
  </si>
  <si>
    <t>МАТ.VRF.ВНУТ.196 — Кассетный AB602MNERA</t>
  </si>
  <si>
    <t>МАТ.VRF.ВНУТ.197</t>
  </si>
  <si>
    <t>Конвектор сетевого протокола Lonworks IGU07</t>
  </si>
  <si>
    <t>IGU07</t>
  </si>
  <si>
    <t>МАТ.VRF.ВНУТ.197 — Конвектор сетевого протокола Lonworks IGU07</t>
  </si>
  <si>
    <t>МАТ.VRF.ВНУТ.198</t>
  </si>
  <si>
    <t>Настенный Family 12K AS122MNERA</t>
  </si>
  <si>
    <t>AS122MNERA</t>
  </si>
  <si>
    <t>МАТ.VRF.ВНУТ.198 — Настенный Family 12K AS122MNERA</t>
  </si>
  <si>
    <t>МАТ.VRF.ВНУТ.199</t>
  </si>
  <si>
    <t>Настенный Family 16K AS162MNERA</t>
  </si>
  <si>
    <t>AS162MNERA</t>
  </si>
  <si>
    <t>МАТ.VRF.ВНУТ.199 — Настенный Family 16K AS162MNERA</t>
  </si>
  <si>
    <t>МАТ.VRF.ВНУТ.200</t>
  </si>
  <si>
    <t>Настенный Family 18K AS182MNERA</t>
  </si>
  <si>
    <t>AS182MNERA</t>
  </si>
  <si>
    <t>МАТ.VRF.ВНУТ.200 — Настенный Family 18K AS182MNERA</t>
  </si>
  <si>
    <t>МАТ.VRF.ВНУТ.201</t>
  </si>
  <si>
    <t>Настенный Family 24K AS242MNERA</t>
  </si>
  <si>
    <t>AS242MNERA</t>
  </si>
  <si>
    <t>МАТ.VRF.ВНУТ.201 — Настенный Family 24K AS242MNERA</t>
  </si>
  <si>
    <t>МАТ.VRF.ВНУТ.202</t>
  </si>
  <si>
    <t>Настенный Family 28K AS282MNERA</t>
  </si>
  <si>
    <t>AS282MNERA</t>
  </si>
  <si>
    <t>МАТ.VRF.ВНУТ.202 — Настенный Family 28K AS282MNERA</t>
  </si>
  <si>
    <t>МАТ.VRF.ВНУТ.203</t>
  </si>
  <si>
    <t>Настенный Family 30K AS302MNERA</t>
  </si>
  <si>
    <t>AS302MNERA</t>
  </si>
  <si>
    <t>МАТ.VRF.ВНУТ.203 — Настенный Family 30K AS302MNERA</t>
  </si>
  <si>
    <t>МАТ.VRF.ВНУТ.204</t>
  </si>
  <si>
    <t>Настенный Family 5K AS052MNERA</t>
  </si>
  <si>
    <t>AS052MNERA</t>
  </si>
  <si>
    <t>МАТ.VRF.ВНУТ.204 — Настенный Family 5K AS052MNERA</t>
  </si>
  <si>
    <t>МАТ.VRF.ВНУТ.205</t>
  </si>
  <si>
    <t>Настенный Family 7K AS072MNERA</t>
  </si>
  <si>
    <t>AS072MNERA</t>
  </si>
  <si>
    <t>МАТ.VRF.ВНУТ.205 — Настенный Family 7K AS072MNERA</t>
  </si>
  <si>
    <t>МАТ.VRF.ВНУТ.206</t>
  </si>
  <si>
    <t>Настенный Family 9K AS092MNERA</t>
  </si>
  <si>
    <t>AS092MNERA</t>
  </si>
  <si>
    <t>МАТ.VRF.ВНУТ.206 — Настенный Family 9K AS092MNERA</t>
  </si>
  <si>
    <t>МАТ.VRF.ВНУТ.207</t>
  </si>
  <si>
    <t>Настенный Lightera 12K AS122MFERA</t>
  </si>
  <si>
    <t>AS122MFERA</t>
  </si>
  <si>
    <t>МАТ.VRF.ВНУТ.207 — Настенный Lightera 12K AS122MFERA</t>
  </si>
  <si>
    <t>МАТ.VRF.ВНУТ.208</t>
  </si>
  <si>
    <t>Настенный Lightera 16K AS162MFERA</t>
  </si>
  <si>
    <t>AS162MFERA</t>
  </si>
  <si>
    <t>МАТ.VRF.ВНУТ.208 — Настенный Lightera 16K AS162MFERA</t>
  </si>
  <si>
    <t>МАТ.VRF.ВНУТ.209</t>
  </si>
  <si>
    <t>Настенный Lightera 18K AS182MFERA</t>
  </si>
  <si>
    <t>AS182MFERA</t>
  </si>
  <si>
    <t>МАТ.VRF.ВНУТ.209 — Настенный Lightera 18K AS182MFERA</t>
  </si>
  <si>
    <t>МАТ.VRF.ВНУТ.210</t>
  </si>
  <si>
    <t>Настенный Lightera 24K AS242MFERA</t>
  </si>
  <si>
    <t>AS242MFERA</t>
  </si>
  <si>
    <t>МАТ.VRF.ВНУТ.210 — Настенный Lightera 24K AS242MFERA</t>
  </si>
  <si>
    <t>МАТ.VRF.ВНУТ.211</t>
  </si>
  <si>
    <t>Настенный Lightera 5K AS052MFERA</t>
  </si>
  <si>
    <t>AS052MFERA</t>
  </si>
  <si>
    <t>МАТ.VRF.ВНУТ.211 — Настенный Lightera 5K AS052MFERA</t>
  </si>
  <si>
    <t>МАТ.VRF.ВНУТ.212</t>
  </si>
  <si>
    <t>Настенный Lightera 7K AS072MFERA</t>
  </si>
  <si>
    <t>AS072MFERA</t>
  </si>
  <si>
    <t>МАТ.VRF.ВНУТ.212 — Настенный Lightera 7K AS072MFERA</t>
  </si>
  <si>
    <t>МАТ.VRF.ВНУТ.213</t>
  </si>
  <si>
    <t>Настенный Lightera 9K AS092MFERA</t>
  </si>
  <si>
    <t>AS092MFERA</t>
  </si>
  <si>
    <t>МАТ.VRF.ВНУТ.213 — Настенный Lightera 9K AS092MFERA</t>
  </si>
  <si>
    <t>МАТ.VRF.ВНУТ.214</t>
  </si>
  <si>
    <t>Панели к кассетным блокам P1B-1050IB</t>
  </si>
  <si>
    <t>P1B-1050IB</t>
  </si>
  <si>
    <t>МАТ.VRF.ВНУТ.214 — Панели к кассетным блокам P1B-1050IB</t>
  </si>
  <si>
    <t>МАТ.VRF.ВНУТ.215</t>
  </si>
  <si>
    <t>Панели к кассетным блокам P2B-1055IB</t>
  </si>
  <si>
    <t>P2B-1055IB</t>
  </si>
  <si>
    <t>МАТ.VRF.ВНУТ.215 — Панели к кассетным блокам P2B-1055IB</t>
  </si>
  <si>
    <t>МАТ.VRF.ВНУТ.216</t>
  </si>
  <si>
    <t>Панели к кассетным блокам PB-620KB</t>
  </si>
  <si>
    <t>PB-620KB</t>
  </si>
  <si>
    <t>МАТ.VRF.ВНУТ.216 — Панели к кассетным блокам PB-620KB</t>
  </si>
  <si>
    <t>МАТ.VRF.ВНУТ.217</t>
  </si>
  <si>
    <t>Панели к кассетным блокам PB-700IB</t>
  </si>
  <si>
    <t>PB-700IB</t>
  </si>
  <si>
    <t>МАТ.VRF.ВНУТ.217 — Панели к кассетным блокам PB-700IB</t>
  </si>
  <si>
    <t>МАТ.VRF.ВНУТ.218</t>
  </si>
  <si>
    <t>Панели к кассетным блокам PB-950JB</t>
  </si>
  <si>
    <t>PB-950JB</t>
  </si>
  <si>
    <t>МАТ.VRF.ВНУТ.218 — Панели к кассетным блокам PB-950JB</t>
  </si>
  <si>
    <t>МАТ.VRF.ВНУТ.219</t>
  </si>
  <si>
    <t>Панели к кассетным блокам PB-950KB</t>
  </si>
  <si>
    <t>PB-950KB</t>
  </si>
  <si>
    <t>МАТ.VRF.ВНУТ.219 — Панели к кассетным блокам PB-950KB</t>
  </si>
  <si>
    <t>МАТ.VRF.ВНУТ.220</t>
  </si>
  <si>
    <t>Пульт управления (проводной) YR-E17A</t>
  </si>
  <si>
    <t>YR-E17A</t>
  </si>
  <si>
    <t>МАТ.VRF.ВНУТ.220 — Пульт управления (проводной) YR-E17A</t>
  </si>
  <si>
    <t>МАТ.VRF.ВНУТ.221</t>
  </si>
  <si>
    <t>Пульт управления (проводной) YR-E20</t>
  </si>
  <si>
    <t>YR-E20</t>
  </si>
  <si>
    <t>МАТ.VRF.ВНУТ.221 — Пульт управления (проводной) YR-E20</t>
  </si>
  <si>
    <t>МАТ.VRF.ВНУТ.222</t>
  </si>
  <si>
    <t>Пульт управления (проводной) black new HW-BA101ABT</t>
  </si>
  <si>
    <t>HW-BA101ABT</t>
  </si>
  <si>
    <t>МАТ.VRF.ВНУТ.222 — Пульт управления (проводной) black new HW-BA101ABT</t>
  </si>
  <si>
    <t>МАТ.VRF.ВНУТ.223</t>
  </si>
  <si>
    <t>Пульт управления (проводной) new HW-BA116ABK</t>
  </si>
  <si>
    <t>HW-BA116ABK</t>
  </si>
  <si>
    <t>МАТ.VRF.ВНУТ.223 — Пульт управления (проводной) new HW-BA116ABK</t>
  </si>
  <si>
    <t>МАТ.VRF.ВНУТ.224</t>
  </si>
  <si>
    <t>Пульт управления (проводной) цветной дисплей YR-E16B</t>
  </si>
  <si>
    <t>YR-E16B</t>
  </si>
  <si>
    <t>МАТ.VRF.ВНУТ.224 — Пульт управления (проводной) цветной дисплей YR-E16B</t>
  </si>
  <si>
    <t>МАТ.VRF.ВНУТ.225</t>
  </si>
  <si>
    <t>Рефнет для внутренних блоков FQG-B1350A</t>
  </si>
  <si>
    <t>FQG-B1350A</t>
  </si>
  <si>
    <t>МАТ.VRF.ВНУТ.225 — Рефнет для внутренних блоков FQG-B1350A</t>
  </si>
  <si>
    <t>МАТ.VRF.ВНУТ.226</t>
  </si>
  <si>
    <t>Рефнет для внутренних блоков FQG-B2040A</t>
  </si>
  <si>
    <t>FQG-B2040A</t>
  </si>
  <si>
    <t>МАТ.VRF.ВНУТ.226 — Рефнет для внутренних блоков FQG-B2040A</t>
  </si>
  <si>
    <t>МАТ.VRF.ВНУТ.227</t>
  </si>
  <si>
    <t>Рефнет для внутренних блоков FQG-B335A</t>
  </si>
  <si>
    <t>FQG-B335A</t>
  </si>
  <si>
    <t>МАТ.VRF.ВНУТ.227 — Рефнет для внутренних блоков FQG-B335A</t>
  </si>
  <si>
    <t>МАТ.VRF.ВНУТ.228</t>
  </si>
  <si>
    <t>Рефнет для внутренних блоков FQG-B506A</t>
  </si>
  <si>
    <t>FQG-B506A</t>
  </si>
  <si>
    <t>МАТ.VRF.ВНУТ.228 — Рефнет для внутренних блоков FQG-B506A</t>
  </si>
  <si>
    <t>МАТ.VRF.ВНУТ.229</t>
  </si>
  <si>
    <t>Рефнет для внутренних блоков FQG-B730A</t>
  </si>
  <si>
    <t>FQG-B730A</t>
  </si>
  <si>
    <t>МАТ.VRF.ВНУТ.229 — Рефнет для внутренних блоков FQG-B730A</t>
  </si>
  <si>
    <t>МАТ.VRF.ВНУТ.230</t>
  </si>
  <si>
    <t>Скрытый напольный 12K AE122MLERA</t>
  </si>
  <si>
    <t>AE122MLERA</t>
  </si>
  <si>
    <t>МАТ.VRF.ВНУТ.230 — Скрытый напольный 12K AE122MLERA</t>
  </si>
  <si>
    <t>МАТ.VRF.ВНУТ.231</t>
  </si>
  <si>
    <t>Скрытый напольный 16K AE162MLERA</t>
  </si>
  <si>
    <t>AE162MLERA</t>
  </si>
  <si>
    <t>МАТ.VRF.ВНУТ.231 — Скрытый напольный 16K AE162MLERA</t>
  </si>
  <si>
    <t>МАТ.VRF.ВНУТ.232</t>
  </si>
  <si>
    <t>Скрытый напольный 18K AE182MLERA</t>
  </si>
  <si>
    <t>AE182MLERA</t>
  </si>
  <si>
    <t>МАТ.VRF.ВНУТ.232 — Скрытый напольный 18K AE182MLERA</t>
  </si>
  <si>
    <t>МАТ.VRF.ВНУТ.233</t>
  </si>
  <si>
    <t>Скрытый напольный 24K AE242MLERA</t>
  </si>
  <si>
    <t>AE242MLERA</t>
  </si>
  <si>
    <t>МАТ.VRF.ВНУТ.233 — Скрытый напольный 24K AE242MLERA</t>
  </si>
  <si>
    <t>МАТ.VRF.ВНУТ.234</t>
  </si>
  <si>
    <t>Скрытый напольный 7K AE072MLERA</t>
  </si>
  <si>
    <t>AE072MLERA</t>
  </si>
  <si>
    <t>МАТ.VRF.ВНУТ.234 — Скрытый напольный 7K AE072MLERA</t>
  </si>
  <si>
    <t>МАТ.VRF.ВНУТ.235</t>
  </si>
  <si>
    <t>Скрытый напольный 9K AE092MLERA</t>
  </si>
  <si>
    <t>AE092MLERA</t>
  </si>
  <si>
    <t>МАТ.VRF.ВНУТ.235 — Скрытый напольный 9K AE092MLERA</t>
  </si>
  <si>
    <t>МАТ.VRF.ВНУТ.236</t>
  </si>
  <si>
    <t>Соединительный комплект с AHU (14-28 кВт) AH1-280B</t>
  </si>
  <si>
    <t>AH1-280B</t>
  </si>
  <si>
    <t>МАТ.VRF.ВНУТ.236 — Соединительный комплект с AHU (14-28 кВт) AH1-280B</t>
  </si>
  <si>
    <t>МАТ.VRF.ВНУТ.237</t>
  </si>
  <si>
    <t>Соединительный комплект с AHU (28-56 кВт) AH1-560B</t>
  </si>
  <si>
    <t>AH1-560B</t>
  </si>
  <si>
    <t>МАТ.VRF.ВНУТ.237 — Соединительный комплект с AHU (28-56 кВт) AH1-560B</t>
  </si>
  <si>
    <t>МАТ.VRF.ВНУТ.238</t>
  </si>
  <si>
    <t>Соединительный комплект с AHU (56-78 кВт) AH1-730B</t>
  </si>
  <si>
    <t>AH1-730B</t>
  </si>
  <si>
    <t>МАТ.VRF.ВНУТ.238 — Соединительный комплект с AHU (56-78 кВт) AH1-730B</t>
  </si>
  <si>
    <t>МАТ.VRF.ВНУТ.239</t>
  </si>
  <si>
    <t>Соединительный комплект с AHU (8-14 кВт) AH1-140B</t>
  </si>
  <si>
    <t>AH1-140B</t>
  </si>
  <si>
    <t>МАТ.VRF.ВНУТ.239 — Соединительный комплект с AHU (8-14 кВт) AH1-140B</t>
  </si>
  <si>
    <t>МАТ.VRF.ВНУТ.240</t>
  </si>
  <si>
    <t>Соединительный комплект с AHU (до 7 кВт) AH1-070B</t>
  </si>
  <si>
    <t>AH1-070B</t>
  </si>
  <si>
    <t>МАТ.VRF.ВНУТ.240 — Соединительный комплект с AHU (до 7 кВт) AH1-070B</t>
  </si>
  <si>
    <t>МАТ.VRF.ВНУТ.241</t>
  </si>
  <si>
    <t>Универсальный 12K AC122MDERA</t>
  </si>
  <si>
    <t>AC122MDERA</t>
  </si>
  <si>
    <t>МАТ.VRF.ВНУТ.241 — Универсальный 12K AC122MDERA</t>
  </si>
  <si>
    <t>МАТ.VRF.ВНУТ.242</t>
  </si>
  <si>
    <t>Универсальный 16K AC162MDERA</t>
  </si>
  <si>
    <t>AC162MDERA</t>
  </si>
  <si>
    <t>МАТ.VRF.ВНУТ.242 — Универсальный 16K AC162MDERA</t>
  </si>
  <si>
    <t>МАТ.VRF.ВНУТ.243</t>
  </si>
  <si>
    <t>Универсальный 18K AC182MDERA</t>
  </si>
  <si>
    <t>AC182MDERA</t>
  </si>
  <si>
    <t>МАТ.VRF.ВНУТ.243 — Универсальный 18K AC182MDERA</t>
  </si>
  <si>
    <t>МАТ.VRF.ВНУТ.244</t>
  </si>
  <si>
    <t>Универсальный 24K AC242MDERA</t>
  </si>
  <si>
    <t>AC242MDERA</t>
  </si>
  <si>
    <t>МАТ.VRF.ВНУТ.244 — Универсальный 24K AC242MDERA</t>
  </si>
  <si>
    <t>МАТ.VRF.ВНУТ.245</t>
  </si>
  <si>
    <t>Универсальный 28K AC282MDERA</t>
  </si>
  <si>
    <t>AC282MDERA</t>
  </si>
  <si>
    <t>МАТ.VRF.ВНУТ.245 — Универсальный 28K AC282MDERA</t>
  </si>
  <si>
    <t>МАТ.VRF.ВНУТ.246</t>
  </si>
  <si>
    <t>Универсальный 30K AC302MDERA</t>
  </si>
  <si>
    <t>AC302MDERA</t>
  </si>
  <si>
    <t>МАТ.VRF.ВНУТ.246 — Универсальный 30K AC302MDERA</t>
  </si>
  <si>
    <t>МАТ.VRF.ВНУТ.247</t>
  </si>
  <si>
    <t>Универсальный 38K AC382MDERA</t>
  </si>
  <si>
    <t>AC382MDERA</t>
  </si>
  <si>
    <t>МАТ.VRF.ВНУТ.247 — Универсальный 38K AC382MDERA</t>
  </si>
  <si>
    <t>МАТ.VRF.ВНУТ.248</t>
  </si>
  <si>
    <t>Универсальный 48K AC482MDERA</t>
  </si>
  <si>
    <t>AC482MDERA</t>
  </si>
  <si>
    <t>МАТ.VRF.ВНУТ.248 — Универсальный 48K AC482MDERA</t>
  </si>
  <si>
    <t>МАТ.VRF.ВНУТ.249</t>
  </si>
  <si>
    <t>Универсальный 9K AC092MDERA</t>
  </si>
  <si>
    <t>AC092MDERA</t>
  </si>
  <si>
    <t>МАТ.VRF.ВНУТ.249 — Универсальный 9K AC092MDERA</t>
  </si>
  <si>
    <t>МАТ.VRF.ВНУТ.250</t>
  </si>
  <si>
    <t>Центральный пульт (до 256 внутр. блоков) YCZ-A004</t>
  </si>
  <si>
    <t>YCZ-A004</t>
  </si>
  <si>
    <t>МАТ.VRF.ВНУТ.250 — Центральный пульт (до 256 внутр. блоков) YCZ-A004</t>
  </si>
  <si>
    <t>МАТ.VRF.ВНУТ.251</t>
  </si>
  <si>
    <t>Центральный пульт (до 64 внутр. блоков) HC-SA164DBT</t>
  </si>
  <si>
    <t>HC-SA164DBT</t>
  </si>
  <si>
    <t>МАТ.VRF.ВНУТ.251 — Центральный пульт (до 64 внутр. блоков) HC-SA164DBT</t>
  </si>
  <si>
    <t>МАТ.VRF.ВНУТ.252</t>
  </si>
  <si>
    <t>Шлюз BACnet/IP,Modbas(BMS 3 поколения) HCM-03A</t>
  </si>
  <si>
    <t>HCM-03A</t>
  </si>
  <si>
    <t>МАТ.VRF.ВНУТ.252 — Шлюз BACnet/IP,Modbas(BMS 3 поколения) HCM-03A</t>
  </si>
  <si>
    <t>МАТ.VRF.ВНУТ.253</t>
  </si>
  <si>
    <t>Шлюз BACnet/IP,Modbas(BMS 5 поколения) HCM-05</t>
  </si>
  <si>
    <t>HCM-05</t>
  </si>
  <si>
    <t>МАТ.VRF.ВНУТ.253 — Шлюз BACnet/IP,Modbas(BMS 5 поколения) HCM-05</t>
  </si>
  <si>
    <t>МАТ.VRF.ВНУТ.254</t>
  </si>
  <si>
    <t>Шлюз BACnet/IP,Modbas(BMS 5 поколения) HCM-05A</t>
  </si>
  <si>
    <t>HCM-05A</t>
  </si>
  <si>
    <t>МАТ.VRF.ВНУТ.254 — Шлюз BACnet/IP,Modbas(BMS 5 поколения) HCM-05A</t>
  </si>
  <si>
    <t>МАТ.VRF.ВНУТ.255</t>
  </si>
  <si>
    <t>Шлюз RS485&amp;232 Converter + Software HCM-01A</t>
  </si>
  <si>
    <t>HCM-01A</t>
  </si>
  <si>
    <t>МАТ.VRF.ВНУТ.255 — Шлюз RS485&amp;232 Converter + Software HCM-01A</t>
  </si>
  <si>
    <t>МАТ.VRF.ВНУТ.256</t>
  </si>
  <si>
    <t>Шлюз для интеграции с Modbus HA-MA164AD</t>
  </si>
  <si>
    <t>HA-MA164AD</t>
  </si>
  <si>
    <t>МАТ.VRF.ВНУТ.256 — Шлюз для интеграции с Modbus HA-MA164AD</t>
  </si>
  <si>
    <t>МАТ.VRF.ВНУТ.257</t>
  </si>
  <si>
    <t>Шлюз для интеграции с Modbus IGU06</t>
  </si>
  <si>
    <t>IGU06</t>
  </si>
  <si>
    <t>МАТ.VRF.ВНУТ.257 — Шлюз для интеграции с Modbus IGU06</t>
  </si>
  <si>
    <t>МАТ.VRF.ВНУТ.258</t>
  </si>
  <si>
    <t>Шлюз для интеграции с Modbus new HA-MA164ADB</t>
  </si>
  <si>
    <t>HA-MA164ADB</t>
  </si>
  <si>
    <t>МАТ.VRF.ВНУТ.258 — Шлюз для интеграции с Modbus new HA-MA164ADB</t>
  </si>
  <si>
    <t>МАТ.VRF.НАР.001</t>
  </si>
  <si>
    <t>MDV-V81010V2R1A(MA)</t>
  </si>
  <si>
    <t>101.0 кВт охл.</t>
  </si>
  <si>
    <t>МАТ.VRF.НАР.001 — MDV-V81010V2R1A(MA)</t>
  </si>
  <si>
    <t>МАТ.VRF.НАР.002</t>
  </si>
  <si>
    <t>MDV-V81060V2R1A(MA)</t>
  </si>
  <si>
    <t>106.0 кВт охл.</t>
  </si>
  <si>
    <t>МАТ.VRF.НАР.002 — MDV-V81060V2R1A(MA)</t>
  </si>
  <si>
    <t>МАТ.VRF.НАР.003</t>
  </si>
  <si>
    <t>MDV-V81120V2R1A(MA)</t>
  </si>
  <si>
    <t>112.0 кВт охл.</t>
  </si>
  <si>
    <t>МАТ.VRF.НАР.003 — MDV-V81120V2R1A(MA)</t>
  </si>
  <si>
    <t>МАТ.VRF.НАР.004</t>
  </si>
  <si>
    <t>MDV-V8252V2R1A(MA)</t>
  </si>
  <si>
    <t>МАТ.VRF.НАР.004 — MDV-V8252V2R1A(MA)</t>
  </si>
  <si>
    <t>МАТ.VRF.НАР.005</t>
  </si>
  <si>
    <t>MDV-V8280V2R1A(MA)</t>
  </si>
  <si>
    <t>МАТ.VRF.НАР.005 — MDV-V8280V2R1A(MA)</t>
  </si>
  <si>
    <t>МАТ.VRF.НАР.006</t>
  </si>
  <si>
    <t>MDV-V8335V2R1A(MA)</t>
  </si>
  <si>
    <t>МАТ.VRF.НАР.006 — MDV-V8335V2R1A(MA)</t>
  </si>
  <si>
    <t>МАТ.VRF.НАР.007</t>
  </si>
  <si>
    <t>MDV-V8400V2R1A(MA)</t>
  </si>
  <si>
    <t>МАТ.VRF.НАР.007 — MDV-V8400V2R1A(MA)</t>
  </si>
  <si>
    <t>МАТ.VRF.НАР.008</t>
  </si>
  <si>
    <t>MDV-V8450V2R1A(MA)</t>
  </si>
  <si>
    <t>МАТ.VRF.НАР.008 — MDV-V8450V2R1A(MA)</t>
  </si>
  <si>
    <t>МАТ.VRF.НАР.009</t>
  </si>
  <si>
    <t>MDV-V8500V2R1A(MA)</t>
  </si>
  <si>
    <t>50.0 кВт охл.</t>
  </si>
  <si>
    <t>МАТ.VRF.НАР.009 — MDV-V8500V2R1A(MA)</t>
  </si>
  <si>
    <t>МАТ.VRF.НАР.010</t>
  </si>
  <si>
    <t>MDV-V8560V2R1A(MA)</t>
  </si>
  <si>
    <t>МАТ.VRF.НАР.010 — MDV-V8560V2R1A(MA)</t>
  </si>
  <si>
    <t>МАТ.VRF.НАР.011</t>
  </si>
  <si>
    <t>MDV-V8615V2R1A(MA)</t>
  </si>
  <si>
    <t>61.5 кВт охл.</t>
  </si>
  <si>
    <t>МАТ.VRF.НАР.011 — MDV-V8615V2R1A(MA)</t>
  </si>
  <si>
    <t>МАТ.VRF.НАР.012</t>
  </si>
  <si>
    <t>MDV-V8670V2R1A(MA)</t>
  </si>
  <si>
    <t>67.0 кВт охл.</t>
  </si>
  <si>
    <t>МАТ.VRF.НАР.012 — MDV-V8670V2R1A(MA)</t>
  </si>
  <si>
    <t>МАТ.VRF.НАР.013</t>
  </si>
  <si>
    <t>MDV-V8730V2R1A(MA)</t>
  </si>
  <si>
    <t>73.0 кВт охл.</t>
  </si>
  <si>
    <t>МАТ.VRF.НАР.013 — MDV-V8730V2R1A(MA)</t>
  </si>
  <si>
    <t>МАТ.VRF.НАР.014</t>
  </si>
  <si>
    <t>MDV-V8785V2R1A(MA)</t>
  </si>
  <si>
    <t>78.5 кВт охл.</t>
  </si>
  <si>
    <t>МАТ.VRF.НАР.014 — MDV-V8785V2R1A(MA)</t>
  </si>
  <si>
    <t>МАТ.VRF.НАР.015</t>
  </si>
  <si>
    <t>MDV-V8850V2R1A(MA)</t>
  </si>
  <si>
    <t>85.0 кВт охл.</t>
  </si>
  <si>
    <t>МАТ.VRF.НАР.015 — MDV-V8850V2R1A(MA)</t>
  </si>
  <si>
    <t>МАТ.VRF.НАР.016</t>
  </si>
  <si>
    <t>MDV-V8900V2R1A(MA)</t>
  </si>
  <si>
    <t>90.0 кВт охл.</t>
  </si>
  <si>
    <t>МАТ.VRF.НАР.016 — MDV-V8900V2R1A(MA)</t>
  </si>
  <si>
    <t>МАТ.VRF.НАР.017</t>
  </si>
  <si>
    <t>MDV-V8950V2R1A(MA)</t>
  </si>
  <si>
    <t>95.0 кВт охл.</t>
  </si>
  <si>
    <t>МАТ.VRF.НАР.017 — MDV-V8950V2R1A(MA)</t>
  </si>
  <si>
    <t>МАТ.VRF.НАР.018</t>
  </si>
  <si>
    <t>MDV-V8M100V2R1E</t>
  </si>
  <si>
    <t>МАТ.VRF.НАР.018 — MDV-V8M100V2R1E</t>
  </si>
  <si>
    <t>МАТ.VRF.НАР.019</t>
  </si>
  <si>
    <t>MDV-V8M120V2R1B</t>
  </si>
  <si>
    <t>12.0 кВт охл.</t>
  </si>
  <si>
    <t>МАТ.VRF.НАР.019 — MDV-V8M120V2R1B</t>
  </si>
  <si>
    <t>МАТ.VRF.НАР.020</t>
  </si>
  <si>
    <t>MDV-V8M120V2R1E</t>
  </si>
  <si>
    <t>МАТ.VRF.НАР.020 — MDV-V8M120V2R1E</t>
  </si>
  <si>
    <t>МАТ.VRF.НАР.021</t>
  </si>
  <si>
    <t>MDV-V8M140V2R1B</t>
  </si>
  <si>
    <t>МАТ.VRF.НАР.021 — MDV-V8M140V2R1B</t>
  </si>
  <si>
    <t>МАТ.VRF.НАР.022</t>
  </si>
  <si>
    <t>MDV-V8M140V2R1E</t>
  </si>
  <si>
    <t>МАТ.VRF.НАР.022 — MDV-V8M140V2R1E</t>
  </si>
  <si>
    <t>МАТ.VRF.НАР.023</t>
  </si>
  <si>
    <t>MDV-V8M160V2R1B</t>
  </si>
  <si>
    <t>МАТ.VRF.НАР.023 — MDV-V8M160V2R1B</t>
  </si>
  <si>
    <t>МАТ.VRF.НАР.024</t>
  </si>
  <si>
    <t>MDV-V8M160V2R1E</t>
  </si>
  <si>
    <t>МАТ.VRF.НАР.024 — MDV-V8M160V2R1E</t>
  </si>
  <si>
    <t>МАТ.VRF.НАР.025</t>
  </si>
  <si>
    <t>MDV-V8M80V2R1E</t>
  </si>
  <si>
    <t>МАТ.VRF.НАР.025 — MDV-V8M80V2R1E</t>
  </si>
  <si>
    <t>МАТ.VRF.НАР.026</t>
  </si>
  <si>
    <t>MDV-V8S252V2R1A</t>
  </si>
  <si>
    <t>25.0 кВт охл.</t>
  </si>
  <si>
    <t>МАТ.VRF.НАР.026 — MDV-V8S252V2R1A</t>
  </si>
  <si>
    <t>МАТ.VRF.НАР.027</t>
  </si>
  <si>
    <t>MDV-V8S280V2R1A</t>
  </si>
  <si>
    <t>МАТ.VRF.НАР.027 — MDV-V8S280V2R1A</t>
  </si>
  <si>
    <t>МАТ.VRF.НАР.028</t>
  </si>
  <si>
    <t>MDV-V8S335V2R1A</t>
  </si>
  <si>
    <t>МАТ.VRF.НАР.028 — MDV-V8S335V2R1A</t>
  </si>
  <si>
    <t>МАТ.VRF.НАР.029</t>
  </si>
  <si>
    <t>MDV-V8S400V2R1A</t>
  </si>
  <si>
    <t>МАТ.VRF.НАР.029 — MDV-V8S400V2R1A</t>
  </si>
  <si>
    <t>МАТ.VRF.НАР.030</t>
  </si>
  <si>
    <t>MDV-V8S450V2R1A</t>
  </si>
  <si>
    <t>МАТ.VRF.НАР.030 — MDV-V8S450V2R1A</t>
  </si>
  <si>
    <t>МАТ.VRF.НАР.031</t>
  </si>
  <si>
    <t>MDV-V8S500V2R1A</t>
  </si>
  <si>
    <t>МАТ.VRF.НАР.031 — MDV-V8S500V2R1A</t>
  </si>
  <si>
    <t>МАТ.VRF.НАР.032</t>
  </si>
  <si>
    <t>MDV-V8S560V2R1A</t>
  </si>
  <si>
    <t>МАТ.VRF.НАР.032 — MDV-V8S560V2R1A</t>
  </si>
  <si>
    <t>МАТ.VRF.НАР.033</t>
  </si>
  <si>
    <t>MDV-V8S615V2R1A</t>
  </si>
  <si>
    <t>МАТ.VRF.НАР.033 — MDV-V8S615V2R1A</t>
  </si>
  <si>
    <t>МАТ.VRF.НАР.034</t>
  </si>
  <si>
    <t>MDV-V8S670V2R1A</t>
  </si>
  <si>
    <t>МАТ.VRF.НАР.034 — MDV-V8S670V2R1A</t>
  </si>
  <si>
    <t>МАТ.VRF.НАР.035</t>
  </si>
  <si>
    <t>MDV-V8i1010V2R1A(MA)</t>
  </si>
  <si>
    <t>МАТ.VRF.НАР.035 — MDV-V8i1010V2R1A(MA)</t>
  </si>
  <si>
    <t>МАТ.VRF.НАР.036</t>
  </si>
  <si>
    <t>MDV-V8i1060V2R1A(MA)</t>
  </si>
  <si>
    <t>МАТ.VRF.НАР.036 — MDV-V8i1060V2R1A(MA)</t>
  </si>
  <si>
    <t>МАТ.VRF.НАР.037</t>
  </si>
  <si>
    <t>MDV-V8i1120V2R1A(MA)</t>
  </si>
  <si>
    <t>МАТ.VRF.НАР.037 — MDV-V8i1120V2R1A(MA)</t>
  </si>
  <si>
    <t>МАТ.VRF.НАР.038</t>
  </si>
  <si>
    <t>MDV-V8i1170V2R1A(MA)</t>
  </si>
  <si>
    <t>117.0 кВт охл.</t>
  </si>
  <si>
    <t>МАТ.VRF.НАР.038 — MDV-V8i1170V2R1A(MA)</t>
  </si>
  <si>
    <t>МАТ.VRF.НАР.039</t>
  </si>
  <si>
    <t>MDV-V8i252V2R1A(MA)</t>
  </si>
  <si>
    <t>МАТ.VRF.НАР.039 — MDV-V8i252V2R1A(MA)</t>
  </si>
  <si>
    <t>МАТ.VRF.НАР.040</t>
  </si>
  <si>
    <t>MDV-V8i280V2R1A(MA)</t>
  </si>
  <si>
    <t>МАТ.VRF.НАР.040 — MDV-V8i280V2R1A(MA)</t>
  </si>
  <si>
    <t>МАТ.VRF.НАР.041</t>
  </si>
  <si>
    <t>MDV-V8i335V2R1A(MA)</t>
  </si>
  <si>
    <t>МАТ.VRF.НАР.041 — MDV-V8i335V2R1A(MA)</t>
  </si>
  <si>
    <t>МАТ.VRF.НАР.042</t>
  </si>
  <si>
    <t>MDV-V8i400V2R1A(MA)</t>
  </si>
  <si>
    <t>МАТ.VRF.НАР.042 — MDV-V8i400V2R1A(MA)</t>
  </si>
  <si>
    <t>МАТ.VRF.НАР.043</t>
  </si>
  <si>
    <t>MDV-V8i450V2R1A(MA)</t>
  </si>
  <si>
    <t>МАТ.VRF.НАР.043 — MDV-V8i450V2R1A(MA)</t>
  </si>
  <si>
    <t>МАТ.VRF.НАР.044</t>
  </si>
  <si>
    <t>MDV-V8i500V2R1A(MA)</t>
  </si>
  <si>
    <t>МАТ.VRF.НАР.044 — MDV-V8i500V2R1A(MA)</t>
  </si>
  <si>
    <t>МАТ.VRF.НАР.045</t>
  </si>
  <si>
    <t>MDV-V8i560V2R1A(MA)</t>
  </si>
  <si>
    <t>МАТ.VRF.НАР.045 — MDV-V8i560V2R1A(MA)</t>
  </si>
  <si>
    <t>МАТ.VRF.НАР.046</t>
  </si>
  <si>
    <t>MDV-V8i615V2R1A(MA)</t>
  </si>
  <si>
    <t>МАТ.VRF.НАР.046 — MDV-V8i615V2R1A(MA)</t>
  </si>
  <si>
    <t>МАТ.VRF.НАР.047</t>
  </si>
  <si>
    <t>MDV-V8i670V2R1A(MA)</t>
  </si>
  <si>
    <t>МАТ.VRF.НАР.047 — MDV-V8i670V2R1A(MA)</t>
  </si>
  <si>
    <t>МАТ.VRF.НАР.048</t>
  </si>
  <si>
    <t>MDV-V8i730V2R1A(MA)</t>
  </si>
  <si>
    <t>МАТ.VRF.НАР.048 — MDV-V8i730V2R1A(MA)</t>
  </si>
  <si>
    <t>МАТ.VRF.НАР.049</t>
  </si>
  <si>
    <t>MDV-V8i785V2R1A(MA)</t>
  </si>
  <si>
    <t>МАТ.VRF.НАР.049 — MDV-V8i785V2R1A(MA)</t>
  </si>
  <si>
    <t>МАТ.VRF.НАР.050</t>
  </si>
  <si>
    <t>MDV-V8i850V2R1A(MA)</t>
  </si>
  <si>
    <t>МАТ.VRF.НАР.050 — MDV-V8i850V2R1A(MA)</t>
  </si>
  <si>
    <t>МАТ.VRF.НАР.051</t>
  </si>
  <si>
    <t>MDV-V8i900V2R1A(MA)</t>
  </si>
  <si>
    <t>МАТ.VRF.НАР.051 — MDV-V8i900V2R1A(MA)</t>
  </si>
  <si>
    <t>МАТ.VRF.НАР.052</t>
  </si>
  <si>
    <t>MDV-V8i950V2R1A(MA)</t>
  </si>
  <si>
    <t>МАТ.VRF.НАР.052 — MDV-V8i950V2R1A(MA)</t>
  </si>
  <si>
    <t>МАТ.VRF.НАР.053</t>
  </si>
  <si>
    <t>MDV-Vi252V2R1A</t>
  </si>
  <si>
    <t>МАТ.VRF.НАР.053 — MDV-Vi252V2R1A</t>
  </si>
  <si>
    <t>МАТ.VRF.НАР.054</t>
  </si>
  <si>
    <t>MDV-Vi280V2R1A</t>
  </si>
  <si>
    <t>МАТ.VRF.НАР.054 — MDV-Vi280V2R1A</t>
  </si>
  <si>
    <t>МАТ.VRF.НАР.055</t>
  </si>
  <si>
    <t>MDV-Vi335V2R1A</t>
  </si>
  <si>
    <t>МАТ.VRF.НАР.055 — MDV-Vi335V2R1A</t>
  </si>
  <si>
    <t>МАТ.VRF.НАР.056</t>
  </si>
  <si>
    <t>MDV-Vi400V2R1A</t>
  </si>
  <si>
    <t>МАТ.VRF.НАР.056 — MDV-Vi400V2R1A</t>
  </si>
  <si>
    <t>МАТ.VRF.НАР.057</t>
  </si>
  <si>
    <t>MDV-Vi450V2R1A</t>
  </si>
  <si>
    <t>МАТ.VRF.НАР.057 — MDV-Vi450V2R1A</t>
  </si>
  <si>
    <t>МАТ.VRF.НАР.058</t>
  </si>
  <si>
    <t>MDV-Vi500V2R1A</t>
  </si>
  <si>
    <t>МАТ.VRF.НАР.058 — MDV-Vi500V2R1A</t>
  </si>
  <si>
    <t>МАТ.VRF.НАР.059</t>
  </si>
  <si>
    <t>MDV-Vi560V2R1A</t>
  </si>
  <si>
    <t>МАТ.VRF.НАР.059 — MDV-Vi560V2R1A</t>
  </si>
  <si>
    <t>МАТ.VRF.НАР.060</t>
  </si>
  <si>
    <t>MDV-Vi615V2R1A</t>
  </si>
  <si>
    <t>МАТ.VRF.НАР.060 — MDV-Vi615V2R1A</t>
  </si>
  <si>
    <t>МАТ.VRF.НАР.061</t>
  </si>
  <si>
    <t>MDV-Vi670V2R1A</t>
  </si>
  <si>
    <t>МАТ.VRF.НАР.061 — MDV-Vi670V2R1A</t>
  </si>
  <si>
    <t>МАТ.VRF.НАР.062</t>
  </si>
  <si>
    <t>MDVO-VCM224V2R1A</t>
  </si>
  <si>
    <t>МАТ.VRF.НАР.062 — MDVO-VCM224V2R1A</t>
  </si>
  <si>
    <t>МАТ.VRF.НАР.063</t>
  </si>
  <si>
    <t>MDVO-VCM280V2R1A</t>
  </si>
  <si>
    <t>МАТ.VRF.НАР.063 — MDVO-VCM280V2R1A</t>
  </si>
  <si>
    <t>МАТ.VRF.НАР.064</t>
  </si>
  <si>
    <t>MDVO-VCM335V2R1A</t>
  </si>
  <si>
    <t>МАТ.VRF.НАР.064 — MDVO-VCM335V2R1A</t>
  </si>
  <si>
    <t>МАТ.VRF.НАР.065</t>
  </si>
  <si>
    <t>MDVO-VCM400V2R1A</t>
  </si>
  <si>
    <t>МАТ.VRF.НАР.065 — MDVO-VCM400V2R1A</t>
  </si>
  <si>
    <t>МАТ.VRF.НАР.066</t>
  </si>
  <si>
    <t>MDVO-VCM450V2R1A</t>
  </si>
  <si>
    <t>МАТ.VRF.НАР.066 — MDVO-VCM450V2R1A</t>
  </si>
  <si>
    <t>МАТ.VRF.НАР.067</t>
  </si>
  <si>
    <t>MDVO-VCM500V2R1A</t>
  </si>
  <si>
    <t>МАТ.VRF.НАР.067 — MDVO-VCM500V2R1A</t>
  </si>
  <si>
    <t>МАТ.VRF.НАР.068</t>
  </si>
  <si>
    <t>MDVO-VCM560V2R1A</t>
  </si>
  <si>
    <t>МАТ.VRF.НАР.068 — MDVO-VCM560V2R1A</t>
  </si>
  <si>
    <t>МАТ.VRF.НАР.069</t>
  </si>
  <si>
    <t>MDVO-VCM615V2R1A</t>
  </si>
  <si>
    <t>МАТ.VRF.НАР.069 — MDVO-VCM615V2R1A</t>
  </si>
  <si>
    <t>МАТ.VRF.НАР.070</t>
  </si>
  <si>
    <t>MDVO-VCM670V2R1A</t>
  </si>
  <si>
    <t>МАТ.VRF.НАР.070 — MDVO-VCM670V2R1A</t>
  </si>
  <si>
    <t>МАТ.VRF.НАР.071</t>
  </si>
  <si>
    <t>MDVO-VCM730V2R1A</t>
  </si>
  <si>
    <t>МАТ.VRF.НАР.071 — MDVO-VCM730V2R1A</t>
  </si>
  <si>
    <t>МАТ.VRF.НАР.072</t>
  </si>
  <si>
    <t>MDVO-VCM785V2R1A</t>
  </si>
  <si>
    <t>МАТ.VRF.НАР.072 — MDVO-VCM785V2R1A</t>
  </si>
  <si>
    <t>МАТ.VRF.НАР.073</t>
  </si>
  <si>
    <t>MDVO-VCM850V2R1A</t>
  </si>
  <si>
    <t>МАТ.VRF.НАР.073 — MDVO-VCM850V2R1A</t>
  </si>
  <si>
    <t>МАТ.VRF.НАР.074</t>
  </si>
  <si>
    <t>MRV III - S Внешний блок 10HP AU10NFKERA</t>
  </si>
  <si>
    <t>AU10NFKERA</t>
  </si>
  <si>
    <t>МАТ.VRF.НАР.074 — MRV III - S Внешний блок 10HP AU10NFKERA</t>
  </si>
  <si>
    <t>МАТ.VRF.НАР.075</t>
  </si>
  <si>
    <t>MRV III - S Внешний блок 12HP AU12NFKERA</t>
  </si>
  <si>
    <t>AU12NFKERA</t>
  </si>
  <si>
    <t>МАТ.VRF.НАР.075 — MRV III - S Внешний блок 12HP AU12NFKERA</t>
  </si>
  <si>
    <t>МАТ.VRF.НАР.076</t>
  </si>
  <si>
    <t>MRV III - S Внешний блок 3HP AU032FSEUA</t>
  </si>
  <si>
    <t>AU032FSEUA</t>
  </si>
  <si>
    <t>МАТ.VRF.НАР.076 — MRV III - S Внешний блок 3HP AU032FSEUA</t>
  </si>
  <si>
    <t>МАТ.VRF.НАР.077</t>
  </si>
  <si>
    <t>MRV III - S Внешний блок 4HP AU042FNERA</t>
  </si>
  <si>
    <t>AU042FNERA</t>
  </si>
  <si>
    <t>МАТ.VRF.НАР.077 — MRV III - S Внешний блок 4HP AU042FNERA</t>
  </si>
  <si>
    <t>МАТ.VRF.НАР.078</t>
  </si>
  <si>
    <t>MRV III - S Внешний блок 4HP AU042FPERA</t>
  </si>
  <si>
    <t>AU042FPERA</t>
  </si>
  <si>
    <t>МАТ.VRF.НАР.078 — MRV III - S Внешний блок 4HP AU042FPERA</t>
  </si>
  <si>
    <t>МАТ.VRF.НАР.079</t>
  </si>
  <si>
    <t>MRV III - S Внешний блок 4HP AU04IFPERA</t>
  </si>
  <si>
    <t>AU04IFPERA</t>
  </si>
  <si>
    <t>МАТ.VRF.НАР.079 — MRV III - S Внешний блок 4HP AU04IFPERA</t>
  </si>
  <si>
    <t>МАТ.VRF.НАР.080</t>
  </si>
  <si>
    <t>MRV III - S Внешний блок 5HP AU052FNERA</t>
  </si>
  <si>
    <t>AU052FNERA</t>
  </si>
  <si>
    <t>МАТ.VRF.НАР.080 — MRV III - S Внешний блок 5HP AU052FNERA</t>
  </si>
  <si>
    <t>МАТ.VRF.НАР.081</t>
  </si>
  <si>
    <t>MRV III - S Внешний блок 5HP AU052FPERA</t>
  </si>
  <si>
    <t>AU052FPERA</t>
  </si>
  <si>
    <t>МАТ.VRF.НАР.081 — MRV III - S Внешний блок 5HP AU052FPERA</t>
  </si>
  <si>
    <t>МАТ.VRF.НАР.082</t>
  </si>
  <si>
    <t>MRV III - S Внешний блок 5HP AU052FPEUA</t>
  </si>
  <si>
    <t>AU052FPEUA</t>
  </si>
  <si>
    <t>МАТ.VRF.НАР.082 — MRV III - S Внешний блок 5HP AU052FPEUA</t>
  </si>
  <si>
    <t>МАТ.VRF.НАР.083</t>
  </si>
  <si>
    <t>MRV III - S Внешний блок 5HP AU05IFPERA</t>
  </si>
  <si>
    <t>AU05IFPERA</t>
  </si>
  <si>
    <t>МАТ.VRF.НАР.083 — MRV III - S Внешний блок 5HP AU05IFPERA</t>
  </si>
  <si>
    <t>МАТ.VRF.НАР.084</t>
  </si>
  <si>
    <t>MRV III - S Внешний блок 6HP AU062FPERA</t>
  </si>
  <si>
    <t>AU062FPERA</t>
  </si>
  <si>
    <t>МАТ.VRF.НАР.084 — MRV III - S Внешний блок 6HP AU062FPERA</t>
  </si>
  <si>
    <t>МАТ.VRF.НАР.085</t>
  </si>
  <si>
    <t>MRV III - S Внешний блок 6HP AU06IFPERA</t>
  </si>
  <si>
    <t>AU06IFPERA</t>
  </si>
  <si>
    <t>МАТ.VRF.НАР.085 — MRV III - S Внешний блок 6HP AU06IFPERA</t>
  </si>
  <si>
    <t>МАТ.VRF.НАР.086</t>
  </si>
  <si>
    <t>MRV III - S Внешний блок 6HP AU07NFPEUA</t>
  </si>
  <si>
    <t>AU07NFPEUA</t>
  </si>
  <si>
    <t>МАТ.VRF.НАР.086 — MRV III - S Внешний блок 6HP AU07NFPEUA</t>
  </si>
  <si>
    <t>МАТ.VRF.НАР.087</t>
  </si>
  <si>
    <t>MRV III - S Внешний блок 8HP AU08NFKERA</t>
  </si>
  <si>
    <t>AU08NFKERA</t>
  </si>
  <si>
    <t>МАТ.VRF.НАР.087 — MRV III - S Внешний блок 8HP AU08NFKERA</t>
  </si>
  <si>
    <t>МАТ.VRF.НАР.088</t>
  </si>
  <si>
    <t>MRV- V Внешний блок 10HP AV10IMVEVA</t>
  </si>
  <si>
    <t>AV10IMVEVA</t>
  </si>
  <si>
    <t>МАТ.VRF.НАР.088 — MRV- V Внешний блок 10HP AV10IMVEVA</t>
  </si>
  <si>
    <t>МАТ.VRF.НАР.089</t>
  </si>
  <si>
    <t>MRV- V Внешний блок 12HP AV12IMVEVA</t>
  </si>
  <si>
    <t>AV12IMVEVA</t>
  </si>
  <si>
    <t>МАТ.VRF.НАР.089 — MRV- V Внешний блок 12HP AV12IMVEVA</t>
  </si>
  <si>
    <t>МАТ.VRF.НАР.090</t>
  </si>
  <si>
    <t>MRV- V Внешний блок 14HP AV14IMVEVA</t>
  </si>
  <si>
    <t>AV14IMVEVA</t>
  </si>
  <si>
    <t>МАТ.VRF.НАР.090 — MRV- V Внешний блок 14HP AV14IMVEVA</t>
  </si>
  <si>
    <t>МАТ.VRF.НАР.091</t>
  </si>
  <si>
    <t>MRV- V Внешний блок 16HP AV16IMVEVA</t>
  </si>
  <si>
    <t>AV16IMVEVA</t>
  </si>
  <si>
    <t>МАТ.VRF.НАР.091 — MRV- V Внешний блок 16HP AV16IMVEVA</t>
  </si>
  <si>
    <t>МАТ.VRF.НАР.092</t>
  </si>
  <si>
    <t>MRV- V Внешний блок 18HP AV18IMVEVA</t>
  </si>
  <si>
    <t>AV18IMVEVA</t>
  </si>
  <si>
    <t>МАТ.VRF.НАР.092 — MRV- V Внешний блок 18HP AV18IMVEVA</t>
  </si>
  <si>
    <t>МАТ.VRF.НАР.093</t>
  </si>
  <si>
    <t>MRV- V Внешний блок 20HP AV20IMVEVA</t>
  </si>
  <si>
    <t>AV20IMVEVA</t>
  </si>
  <si>
    <t>МАТ.VRF.НАР.093 — MRV- V Внешний блок 20HP AV20IMVEVA</t>
  </si>
  <si>
    <t>МАТ.VRF.НАР.094</t>
  </si>
  <si>
    <t>MRV- V Внешний блок 22HP AV22IMVEVA</t>
  </si>
  <si>
    <t>AV22IMVEVA</t>
  </si>
  <si>
    <t>МАТ.VRF.НАР.094 — MRV- V Внешний блок 22HP AV22IMVEVA</t>
  </si>
  <si>
    <t>МАТ.VRF.НАР.095</t>
  </si>
  <si>
    <t>MRV- V Внешний блок 24HP AV24IMVEVA</t>
  </si>
  <si>
    <t>AV24IMVEVA</t>
  </si>
  <si>
    <t>МАТ.VRF.НАР.095 — MRV- V Внешний блок 24HP AV24IMVEVA</t>
  </si>
  <si>
    <t>МАТ.VRF.НАР.096</t>
  </si>
  <si>
    <t>MRV- V Внешний блок 26HP AV26IMVEVA</t>
  </si>
  <si>
    <t>AV26IMVEVA</t>
  </si>
  <si>
    <t>МАТ.VRF.НАР.096 — MRV- V Внешний блок 26HP AV26IMVEVA</t>
  </si>
  <si>
    <t>МАТ.VRF.НАР.097</t>
  </si>
  <si>
    <t>MRV- V Внешний блок 8HP AV08IMVEVA</t>
  </si>
  <si>
    <t>AV08IMVEVA</t>
  </si>
  <si>
    <t>МАТ.VRF.НАР.097 — MRV- V Внешний блок 8HP AV08IMVEVA</t>
  </si>
  <si>
    <t>МАТ.VRF.НАР.098</t>
  </si>
  <si>
    <t>Рефнет для наружных блоков HZG-20A</t>
  </si>
  <si>
    <t>HZG-20A</t>
  </si>
  <si>
    <t>МАТ.VRF.НАР.098 — Рефнет для наружных блоков HZG-20A</t>
  </si>
  <si>
    <t>МАТ.VRF.НАР.099</t>
  </si>
  <si>
    <t>Рефнет для наружных блоков HZG-30A</t>
  </si>
  <si>
    <t>HZG-30A</t>
  </si>
  <si>
    <t>МАТ.VRF.НАР.099 — Рефнет для наружных блоков HZG-30A</t>
  </si>
  <si>
    <t>МАТ.VRF.НАР.100</t>
  </si>
  <si>
    <t>Рефнет для наружных блоков MRV V HZG-20B</t>
  </si>
  <si>
    <t>HZG-20B</t>
  </si>
  <si>
    <t>МАТ.VRF.НАР.100 — Рефнет для наружных блоков MRV V HZG-20B</t>
  </si>
  <si>
    <t>МАТ.VRF.НАР.101</t>
  </si>
  <si>
    <t>Рефнет для наружных блоков MRV V HZG-30B</t>
  </si>
  <si>
    <t>HZG-30B</t>
  </si>
  <si>
    <t>МАТ.VRF.НАР.101 — Рефнет для наружных блоков MRV V HZG-30B</t>
  </si>
  <si>
    <t>МАТ.БРОНЯ.001</t>
  </si>
  <si>
    <t>Бронестекло ПУз-Бр3 (1000*1000 мм. Видимая часть). По раме 1090х1090 мм без учета лотка. ЛИСТ 2.</t>
  </si>
  <si>
    <t>СПЕЦ Прожект групп</t>
  </si>
  <si>
    <t>RUB</t>
  </si>
  <si>
    <t>МАТ.БРОНЯ.001 — Бронестекло ПУз-Бр3 (1000*1000 мм. Видимая часть). По раме 1090х1090 мм без учета лотка. ЛИСТ 2.</t>
  </si>
  <si>
    <t>МАТ.БРОНЯ.002</t>
  </si>
  <si>
    <t>Бронестекло ПУз-Бр3 (1090*1335 мм. ). С учетом лотка. ЛИСТ 1.</t>
  </si>
  <si>
    <t>МАТ.БРОНЯ.002 — Бронестекло ПУз-Бр3 (1090*1335 мм. ). С учетом лотка. ЛИСТ 1.</t>
  </si>
  <si>
    <t>МАТ.БРОНЯ.003</t>
  </si>
  <si>
    <t>Дверной блок 2-го класса устойчивости к взлому (дверное полотно 758*2010). Размер по раме 850х2100 мм. Цилиндровый механизм с перекодировкой со штоком Securemme K2. Гардиан сувальдный ЗВ 71.14 Т (К-К). Без наличников. ЛИСТ 11. RAL7047. Упаковка изоло</t>
  </si>
  <si>
    <t>См. ТЗ "Двери 2 кл"</t>
  </si>
  <si>
    <t>МАТ.БРОНЯ.003 — Дверной блок 2-го класса устойчивости к взлому (дверное полотно 758*2010). Размер по раме 850х2100 мм. Цилиндровый механизм с перекодировкой со штоком Securemme K2. Гардиан сувальдный ЗВ 71.14 Т (К-К). Без наличников. ЛИСТ 11. RAL7047. Упаковка изоло</t>
  </si>
  <si>
    <t>МАТ.БРОНЯ.004</t>
  </si>
  <si>
    <t>Дверной блок 2-го класса устойчивости к взлому (дверное полотно 858*2110). Размер по раме 950х2200 мм. Цилиндровый механизм с перекодировкой со штоком Securemme K2. Гардиан сувальдный ЗВ 71.14 Т (К-К). Без наличников. ЛИСТ 10. RAL7047. Упаковка изоло</t>
  </si>
  <si>
    <t>МАТ.БРОНЯ.004 — Дверной блок 2-го класса устойчивости к взлому (дверное полотно 858*2110). Размер по раме 950х2200 мм. Цилиндровый механизм с перекодировкой со штоком Securemme K2. Гардиан сувальдный ЗВ 71.14 Т (К-К). Без наличников. ЛИСТ 10. RAL7047. Упаковка изоло</t>
  </si>
  <si>
    <t>МАТ.БРОНЯ.005</t>
  </si>
  <si>
    <t>Дверной блок 3-го класса устойчивости к взлому с решетчатой дверью (дверное полотно 908*2110). Размер по раме 1000х2200 мм. Размер по раме 1000х2200 мм. Два замка Гардиан 71.14Т сувальдного типа на расстоянии не менее 350 мм друг от друга по замочным</t>
  </si>
  <si>
    <t>См. ТЗ "Двери 3 кл"</t>
  </si>
  <si>
    <t>МАТ.БРОНЯ.005 — Дверной блок 3-го класса устойчивости к взлому с решетчатой дверью (дверное полотно 908*2110). Размер по раме 1000х2200 мм. Размер по раме 1000х2200 мм. Два замка Гардиан 71.14Т сувальдного типа на расстоянии не менее 350 мм друг от друга по замочным</t>
  </si>
  <si>
    <t>МАТ.БРОНЯ.006</t>
  </si>
  <si>
    <t>Дверной блок 5-го класса устойчивости к взлому с решетчатой дверью . 2 замка СИ600 (дверное полотно 898*1970), 1030х2100 мм по раме. ЛИСТ 13.</t>
  </si>
  <si>
    <t>См. ТЗ "Двери 5 кл."</t>
  </si>
  <si>
    <t>МАТ.БРОНЯ.006 — Дверной блок 5-го класса устойчивости к взлому с решетчатой дверью . 2 замка СИ600 (дверное полотно 898*1970), 1030х2100 мм по раме. ЛИСТ 13.</t>
  </si>
  <si>
    <t>МАТ.БРОНЯ.007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</si>
  <si>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</t>
  </si>
  <si>
    <t>См. ТЗ "Двери запасного выхода"</t>
  </si>
  <si>
    <t>МАТ.БРОНЯ.007 — 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</t>
  </si>
  <si>
    <t>МАТ.БРОНЯ.008</t>
  </si>
  <si>
    <t>МАТ.БРОНЯ.008 — Доводчик на рабочую створку NOTEDO DC-025-095 (со скользящим каналом). Доводчик на паразитную створку NOTEDO DC-070 (паук)</t>
  </si>
  <si>
    <t>МАТ.БРОНЯ.009</t>
  </si>
  <si>
    <t>МАТ.БРОНЯ.009 — Панели защитные, стеновые V класс взломостойкости, сварное соединение, бетонно-заливная. Покраска грунт</t>
  </si>
  <si>
    <t>МАТ.БРОНЯ.010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</si>
  <si>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</si>
  <si>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МАТ.БРОНЯ.010 — Панели защитные, стеновые кл. Бр-2 по пулестойкости и II класс взломостойкости, болтовое соединение, облегченные, Покраска грунт</t>
  </si>
  <si>
    <t>МАТ.БРОНЯ.011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</si>
  <si>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</si>
  <si>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МАТ.БРОНЯ.011 — Панели защитные, стеновые кл. Бр-2 по пулестойкости и II класс взломостойкости, сварное соединение, облегченные, Покраска грунт</t>
  </si>
  <si>
    <t>МАТ.БРОНЯ.012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</si>
  <si>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</si>
  <si>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МАТ.БРОНЯ.012 — Панели защитные, стеновые кл. Бр-3 по пулестойкости и III класс взломостойкости, болтовое соединение, облегченные, Покраска грунт</t>
  </si>
  <si>
    <t>МАТ.БРОНЯ.013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</si>
  <si>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</si>
  <si>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МАТ.БРОНЯ.013 — Панели защитные, стеновые кл. Бр-3 по пулестойкости и III класс взломостойкости, сварное соединение, облегченные, Покраска грунт</t>
  </si>
  <si>
    <t>МАТ.БРОНЯ.014</t>
  </si>
  <si>
    <t>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Ш*В*Д, внутри верхнего лотка 300х20-185 мм Ш*В*Д . Отделка лотка : лотковы</t>
  </si>
  <si>
    <t>МАТ.БРОНЯ.014 — Передаточный (подвижный, двухуровневый) лоток для передачи 5-ти банковских упаковок по 1000 листов Габаритные размеры 415х610х232 мм Ш*В*Д, внутри нижнего лотка 300х160х260 мм Ш*В*Д, внутри верхнего лотка 300х20-185 мм Ш*В*Д . Отделка лотка : лотковы</t>
  </si>
  <si>
    <t>МАТ.БРОНЯ.015</t>
  </si>
  <si>
    <t>Противопожарный однопольный дверной блок , min EI60 с фурнитурой 1000х2100мм по раме</t>
  </si>
  <si>
    <t>МАТ.БРОНЯ.015 — Противопожарный однопольный дверной блок , min EI60 с фурнитурой 1000х2100мм по раме</t>
  </si>
  <si>
    <t>МАТ.БРОНЯ.016</t>
  </si>
  <si>
    <t>Установка противопожарного однопольного дверного блока, min EI60 с фурнитурой 1200х2100мм</t>
  </si>
  <si>
    <t>МАТ.БРОНЯ.016 — Установка противопожарного однопольного дверного блока, min EI60 с фурнитурой 1200х2100мм</t>
  </si>
  <si>
    <t>МАТ.БРОНЯ.017</t>
  </si>
  <si>
    <t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</si>
  <si>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МАТ.БРОНЯ.017 — 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</si>
  <si>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МАТ.БРОНЯ.018</t>
  </si>
  <si>
    <t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6.</t>
  </si>
  <si>
    <t>МАТ.БРОНЯ.018 — 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6.</t>
  </si>
  <si>
    <t>МАТ.БРОНЯ.019</t>
  </si>
  <si>
    <t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</si>
  <si>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МАТ.БРОНЯ.019 — 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</t>
  </si>
  <si>
    <t>МАТ.БРОНЯ.020</t>
  </si>
  <si>
    <t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4.</t>
  </si>
  <si>
    <t>МАТ.БРОНЯ.020 — 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4.</t>
  </si>
  <si>
    <t>МАТ.БРОНЯ.021</t>
  </si>
  <si>
    <t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5.</t>
  </si>
  <si>
    <t>МАТ.БРОНЯ.021 — 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ЛИСТ 5.</t>
  </si>
  <si>
    <t>МАТ.БРОНЯ.022</t>
  </si>
  <si>
    <t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</t>
  </si>
  <si>
    <t>МАТ.БРОНЯ.022 — 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</t>
  </si>
  <si>
    <t>МАТ.ДВ.001</t>
  </si>
  <si>
    <t>Добор для F-наличника серый 7035 (5х100х2070мм)</t>
  </si>
  <si>
    <t>Kapelli</t>
  </si>
  <si>
    <t>Фабрика дверей KAPELLI</t>
  </si>
  <si>
    <t>МАТ.ДВ.001 — Добор для F-наличника серый 7035 (5х100х2070мм)</t>
  </si>
  <si>
    <t>МАТ.ДВ.002</t>
  </si>
  <si>
    <t>Добор для F-наличника серый 7035 (5х150х2070мм)</t>
  </si>
  <si>
    <t>МАТ.ДВ.002 — Добор для F-наличника серый 7035 (5х150х2070мм)</t>
  </si>
  <si>
    <t>МАТ.ДВ.003</t>
  </si>
  <si>
    <t>Завертка WC</t>
  </si>
  <si>
    <t>МАТ.ДВ.003 — Завертка WC</t>
  </si>
  <si>
    <t>МАТ.ДВ.004</t>
  </si>
  <si>
    <t>Замок магнитный (под цилиндр / под фиксатор)</t>
  </si>
  <si>
    <t>МАТ.ДВ.004 — Замок магнитный (под цилиндр / под фиксатор)</t>
  </si>
  <si>
    <t>МАТ.ДВ.005</t>
  </si>
  <si>
    <t>Замок механический (под цилиндр / под фиксатор)</t>
  </si>
  <si>
    <t>МАТ.ДВ.005 — Замок механический (под цилиндр / под фиксатор)</t>
  </si>
  <si>
    <t>МАТ.ДВ.006</t>
  </si>
  <si>
    <t>Накладка под цилиндр</t>
  </si>
  <si>
    <t>МАТ.ДВ.006 — Накладка под цилиндр</t>
  </si>
  <si>
    <t>МАТ.ДВ.007</t>
  </si>
  <si>
    <t>Наличник F ПВХ 2,17м серый 7035 телескопический</t>
  </si>
  <si>
    <t>МАТ.ДВ.007 — Наличник F ПВХ 2,17м серый 7035 телескопический</t>
  </si>
  <si>
    <t>МАТ.ДВ.008</t>
  </si>
  <si>
    <t>Петля накладная</t>
  </si>
  <si>
    <t>МАТ.ДВ.008 — Петля накладная</t>
  </si>
  <si>
    <t>МАТ.ДВ.009</t>
  </si>
  <si>
    <t>Установка дверного доводчика штанга рычажная на входные двери (210 кг)</t>
  </si>
  <si>
    <t>ФАСАДСТРОЙ</t>
  </si>
  <si>
    <t>МАТ.ДВ.009 — Установка дверного доводчика штанга рычажная на входные двери (210 кг)</t>
  </si>
  <si>
    <t>МАТ.ДВ.010</t>
  </si>
  <si>
    <t>Цилиндр (клю-ключ)</t>
  </si>
  <si>
    <t>МАТ.ДВ.010 — Цилиндр (клю-ключ)</t>
  </si>
  <si>
    <t>МАТ.ДВ.011</t>
  </si>
  <si>
    <t>Цилиндр (ключ-фиксатор)</t>
  </si>
  <si>
    <t>МАТ.ДВ.011 — Цилиндр (ключ-фиксатор)</t>
  </si>
  <si>
    <t>МАТ.ДВ.АЛ.001</t>
  </si>
  <si>
    <t>двупольноый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без защелки , ручка из нержавеющей стали типа «труба» со смещением креплений диамет</t>
  </si>
  <si>
    <t>МАТ.ДВ.АЛ.001 — двупольноый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без защелки , ручка из нержавеющей стали типа «труба» со смещением креплений диамет</t>
  </si>
  <si>
    <t>МАТ.ДВ.АЛ.002</t>
  </si>
  <si>
    <t xml:space="preserve">двупольный дверной блок в алюминиевом корпусе.Размер в "свету" 1800х2100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типа </t>
  </si>
  <si>
    <t xml:space="preserve">МАТ.ДВ.АЛ.002 — двупольный дверной блок в алюминиевом корпусе.Размер в "свету" 1800х2100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типа </t>
  </si>
  <si>
    <t>МАТ.ДВ.АЛ.003</t>
  </si>
  <si>
    <t>однопольный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типа «т</t>
  </si>
  <si>
    <t>МАТ.ДВ.АЛ.003 — однопольный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типа «т</t>
  </si>
  <si>
    <t>МАТ.ДВ.АЛ.004</t>
  </si>
  <si>
    <t>однопольный дверной блок в алюминиевом корпусе. Размер в "свету" 900х2100 мм. Два врезных замка цилиндрического типа, имеющих с внутренней стороны запорные устройства типа «вертушок» (количество ключей не менее 4 шт.). Ручка из нержавеющей стали типа</t>
  </si>
  <si>
    <t>МАТ.ДВ.АЛ.004 — однопольный дверной блок в алюминиевом корпусе. Размер в "свету" 900х2100 мм. Два врезных замка цилиндрического типа, имеющих с внутренней стороны запорные устройства типа «вертушок» (количество ключей не менее 4 шт.). Ручка из нержавеющей стали типа</t>
  </si>
  <si>
    <t>МАТ.ДВ.АЛ.005</t>
  </si>
  <si>
    <t>полуторапольный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</t>
  </si>
  <si>
    <t>МАТ.ДВ.АЛ.005 — полуторапольный дверной блок (алюминиевый теплый профиль 3 петли, два врезных замка цилиндрического типа, имеющих с внутренней стороны запорные устройства типа «вертушок» (количество ключей не менее 4 шт.) без защелки , ручка из нержавеющей стали тип</t>
  </si>
  <si>
    <t>МАТ.ДВ.АЛ.006</t>
  </si>
  <si>
    <t xml:space="preserve">полуторапольный дверной блок в алюминиевом корпусе.Размер в "свету" 1200х2100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</t>
  </si>
  <si>
    <t xml:space="preserve">МАТ.ДВ.АЛ.006 — полуторапольный дверной блок в алюминиевом корпусе.Размер в "свету" 1200х2100 мм . Два врезных замка цилиндрического типа, имеющих с внутренней стороны запорные устройства типа «вертушок» (количество ключей не менее 4 шт.) Ручка из нержавеющей стали </t>
  </si>
  <si>
    <t>МАТ.ДВ.ДЕР.001</t>
  </si>
  <si>
    <t>ДГ 21-10 КАПЕЛЬ Гладкая МС7035 (полотно 2000*900, ДКТ80) УД</t>
  </si>
  <si>
    <t>МАТ.ДВ.ДЕР.001 — ДГ 21-10 КАПЕЛЬ Гладкая МС7035 (полотно 2000*900, ДКТ80) УД</t>
  </si>
  <si>
    <t>МАТ.ДВ.ДЕР.002</t>
  </si>
  <si>
    <t>ДГ 21-7 КАПЕЛЬ Гладкая МС7035 (полотно 2000*600, ДКТ80) УД</t>
  </si>
  <si>
    <t>МАТ.ДВ.ДЕР.002 — ДГ 21-7 КАПЕЛЬ Гладкая МС7035 (полотно 2000*600, ДКТ80) УД</t>
  </si>
  <si>
    <t>МАТ.ДВ.ДЕР.003</t>
  </si>
  <si>
    <t>ДГ 21-8 КАПЕЛЬ Гладкая МС7035 (полотно 2000*700, ДКТ80) УД</t>
  </si>
  <si>
    <t>МАТ.ДВ.ДЕР.003 — ДГ 21-8 КАПЕЛЬ Гладкая МС7035 (полотно 2000*700, ДКТ80) УД</t>
  </si>
  <si>
    <t>МАТ.ДВ.ДЕР.004</t>
  </si>
  <si>
    <t>ДГ 21-9 КАПЕЛЬ Гладкая МС7035 (полотно 2000*800, ДКТ80) УД</t>
  </si>
  <si>
    <t>МАТ.ДВ.ДЕР.004 — ДГ 21-9 КАПЕЛЬ Гладкая МС7035 (полотно 2000*800, ДКТ80) УД</t>
  </si>
  <si>
    <t>МАТ.ДВ.ДЕР.005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</si>
  <si>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</t>
  </si>
  <si>
    <t>Вертикальный транспорт</t>
  </si>
  <si>
    <t>МАТ.ДВ.ДЕР.005 — 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</t>
  </si>
  <si>
    <t>МАТ.ДВ.ДЕР.006</t>
  </si>
  <si>
    <t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</t>
  </si>
  <si>
    <t>МАТ.ДВ.ДЕР.006 — 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</t>
  </si>
  <si>
    <t>МАТ.ДВ.СТ.001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</si>
  <si>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</t>
  </si>
  <si>
    <t>МАТ.ДВ.СТ.001 — 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</t>
  </si>
  <si>
    <t>МАТ.ДВ.СТ.002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</si>
  <si>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</t>
  </si>
  <si>
    <t>МАТ.ДВ.СТ.002 — 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</t>
  </si>
  <si>
    <t>МАТ.ДВ.СТ.003</t>
  </si>
  <si>
    <t>Стеклянный двупольный дверной блок 1800х2400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двусторонн</t>
  </si>
  <si>
    <t>МАТ.ДВ.СТ.003 — Стеклянный двупольный дверной блок 1800х2400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двусторонн</t>
  </si>
  <si>
    <t>МАТ.ДВ.СТ.004</t>
  </si>
  <si>
    <t>Стеклянный однопольный дверной блок 900х2100 мм Стекло 10мм закалённое. Фурнитура цвета матовая нержавеющая сталь Dorma в Universal Light. Кромка стекла полированная. Доводчик Titan N87D SSS с фиксацией 90* вар.№ 1 Запирающаяся ручка-скоба двусторонн</t>
  </si>
  <si>
    <t>МАТ.ДВ.СТ.004 — Стеклянный однопольный дверной блок 900х2100 мм Стекло 10мм закалённое. Фурнитура цвета матовая нержавеющая сталь Dorma в Universal Light. Кромка стекла полированная. Доводчик Titan N87D SSS с фиксацией 90* вар.№ 1 Запирающаяся ручка-скоба двусторонн</t>
  </si>
  <si>
    <t>МАТ.ДВ.СТ.005</t>
  </si>
  <si>
    <t>Стеклянный полуторапольный дверной блок 1400х2100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</t>
  </si>
  <si>
    <t>МАТ.ДВ.СТ.005 — Стеклянный полуторапольный дверной блок 1400х2100 мм Стекло 10мм закалённое. Фурнитура цвета матовая нержавеющая сталь Dorma в Universal Light. Кромка стекла полированная. Доводчик Tinan N87D SSS с фиксацией 90* вар.№ 1 Запирающаяся ручка-скоба двуст</t>
  </si>
  <si>
    <t>МАТ.ЗАВЕСА.001</t>
  </si>
  <si>
    <t>Компактная воздушно-тепловая завеса КЭВ-12П3042E</t>
  </si>
  <si>
    <t>123040</t>
  </si>
  <si>
    <t>Тепломаш</t>
  </si>
  <si>
    <t>МАТ.ЗАВЕСА.001 — Компактная воздушно-тепловая завеса КЭВ-12П3042E</t>
  </si>
  <si>
    <t>МАТ.ЗАВЕСА.002</t>
  </si>
  <si>
    <t>Компактная воздушно-тепловая завеса КЭВ-3П1154Е</t>
  </si>
  <si>
    <t>121021</t>
  </si>
  <si>
    <t>МАТ.ЗАВЕСА.002 — Компактная воздушно-тепловая завеса КЭВ-3П1154Е</t>
  </si>
  <si>
    <t>МАТ.ЗАВЕСА.003</t>
  </si>
  <si>
    <t>Компактная воздушно-тепловая завеса КЭВ-6П2212E</t>
  </si>
  <si>
    <t>122002</t>
  </si>
  <si>
    <t>МАТ.ЗАВЕСА.003 — Компактная воздушно-тепловая завеса КЭВ-6П2212E</t>
  </si>
  <si>
    <t>МАТ.ЗАВЕСА.004</t>
  </si>
  <si>
    <t>Компактная воздушно-тепловая завеса КЭВ-9П3012E</t>
  </si>
  <si>
    <t>123037</t>
  </si>
  <si>
    <t>МАТ.ЗАВЕСА.004 — Компактная воздушно-тепловая завеса КЭВ-9П3012E</t>
  </si>
  <si>
    <t>МАТ.ЛЮЧОК.001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</si>
  <si>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</si>
  <si>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</si>
  <si>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</si>
  <si>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РусТрэйд</t>
  </si>
  <si>
    <t>МАТ.ЛЮЧОК.001 — Лючок напольный SEG-Lux 250x250x100мм на 16 модуля арт. ALFB16M с розетками 2К+3 красного(Legrand Mozaic 077218) 4 шт. и белого(Legrand Mozaic 077211) 2 шт. цвета</t>
  </si>
  <si>
    <t>МАТ.ПВУ.001</t>
  </si>
  <si>
    <t>Вентилятор LITENED 70-40 G1.31-1,1х30</t>
  </si>
  <si>
    <t>NED</t>
  </si>
  <si>
    <t>МАТ.ПВУ.001 — Вентилятор LITENED 70-40 G1.31-1,1х30</t>
  </si>
  <si>
    <t>МАТ.ПВУ.002</t>
  </si>
  <si>
    <t>ПВВУ iClimate 025</t>
  </si>
  <si>
    <t>Globalvent</t>
  </si>
  <si>
    <t>МАТ.ПВУ.002 — ПВВУ iClimate 025</t>
  </si>
  <si>
    <t>МАТ.ПВУ.003</t>
  </si>
  <si>
    <t>ПВВУ iClimate 031</t>
  </si>
  <si>
    <t>МАТ.ПВУ.003 — ПВВУ iClimate 031</t>
  </si>
  <si>
    <t>МАТ.ПВУ.004</t>
  </si>
  <si>
    <t>ПВВУ iClimate 038</t>
  </si>
  <si>
    <t>МАТ.ПВУ.004 — ПВВУ iClimate 038</t>
  </si>
  <si>
    <t>МАТ.ПВУ.005</t>
  </si>
  <si>
    <t>ПВВУ iClimate 038+</t>
  </si>
  <si>
    <t>МАТ.ПВУ.005 — ПВВУ iClimate 038+</t>
  </si>
  <si>
    <t>МАТ.ПВУ.006</t>
  </si>
  <si>
    <t>ПВВУ iClimate 042</t>
  </si>
  <si>
    <t>МАТ.ПВУ.006 — ПВВУ iClimate 042</t>
  </si>
  <si>
    <t>МАТ.ПВУ.007</t>
  </si>
  <si>
    <t>ПВВУ iClimate 042+</t>
  </si>
  <si>
    <t>МАТ.ПВУ.007 — ПВВУ iClimate 042+</t>
  </si>
  <si>
    <t>МАТ.ПВУ.008</t>
  </si>
  <si>
    <t>ПВВУ iClimate 050</t>
  </si>
  <si>
    <t>МАТ.ПВУ.008 — ПВВУ iClimate 050</t>
  </si>
  <si>
    <t>МАТ.ПВУ.009</t>
  </si>
  <si>
    <t>ПВВУ iClimate 050+</t>
  </si>
  <si>
    <t>МАТ.ПВУ.009 — ПВВУ iClimate 050+</t>
  </si>
  <si>
    <t>МАТ.ПВУ.010</t>
  </si>
  <si>
    <t>ПВВУ iClimate 067</t>
  </si>
  <si>
    <t>МАТ.ПВУ.010 — ПВВУ iClimate 067</t>
  </si>
  <si>
    <t>МАТ.ПВУ.011</t>
  </si>
  <si>
    <t>Установка компактная напольная MININED 1600-V-RC-E7,5</t>
  </si>
  <si>
    <t>МАТ.ПВУ.011 — Установка компактная напольная MININED 1600-V-RC-E7,5</t>
  </si>
  <si>
    <t>МАТ.ПВУ.012</t>
  </si>
  <si>
    <t>Установка компактная напольная MININED 2900-V-RC-E18</t>
  </si>
  <si>
    <t>МАТ.ПВУ.012 — Установка компактная напольная MININED 2900-V-RC-E18</t>
  </si>
  <si>
    <t>МАТ.ПВУ.013</t>
  </si>
  <si>
    <t>Установка компактная напольная MININED 3800-V-RC-E25,5</t>
  </si>
  <si>
    <t>МАТ.ПВУ.013 — Установка компактная напольная MININED 3800-V-RC-E25,5</t>
  </si>
  <si>
    <t>МАТ.ПВУ.014</t>
  </si>
  <si>
    <t>МАТ.ПВУ.014 — Установка компактная напольная MININED 3800-V-RC-E25,5</t>
  </si>
  <si>
    <t>МАТ.ПВУ.015</t>
  </si>
  <si>
    <t>Установка компактная подвесная ND-RV-X30DS</t>
  </si>
  <si>
    <t>МАТ.ПВУ.015 — Установка компактная подвесная ND-RV-X30DS</t>
  </si>
  <si>
    <t>МАТ.ПВУ.016</t>
  </si>
  <si>
    <t>МАТ.ПВУ.016 — Установка компактная подвесная ND-RV-X30DS</t>
  </si>
  <si>
    <t>МАТ.ПЕРЕГ.СТ.001</t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</si>
  <si>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</si>
  <si>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МАТ.ПЕРЕГ.СТ.001 — 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</si>
  <si>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МАТ.ПЕРЕГ.ТР.001</t>
  </si>
  <si>
    <t>Cтекло закаленное М1, прозрачное, 10 мм, кромка полированная, для перегородок высотой до 3000мм</t>
  </si>
  <si>
    <t>7.59</t>
  </si>
  <si>
    <t>Р-Перегородки</t>
  </si>
  <si>
    <t>МАТ.ПЕРЕГ.ТР.001 — Cтекло закаленное М1, прозрачное, 10 мм, кромка полированная, для перегородок высотой до 3000мм</t>
  </si>
  <si>
    <t>МАТ.ПЕРЕГ.ТР.002</t>
  </si>
  <si>
    <t>Cтекло закаленное М1, прозрачное, 12 мм, кромка полированная, для перегородок высотой 3000-3300мм</t>
  </si>
  <si>
    <t>МАТ.ПЕРЕГ.ТР.002 — Cтекло закаленное М1, прозрачное, 12 мм, кромка полированная, для перегородок высотой 3000-3300мм</t>
  </si>
  <si>
    <t>МАТ.ПЕРЕГ.ТР.003</t>
  </si>
  <si>
    <t>Доводчик напольный 840-20-90 (SSS)</t>
  </si>
  <si>
    <t>МАТ.ПЕРЕГ.ТР.003 — Доводчик напольный 840-20-90 (SSS)</t>
  </si>
  <si>
    <t>МАТ.ПЕРЕГ.ТР.004</t>
  </si>
  <si>
    <t>Доводчик скрытый 850-25 (SSS)</t>
  </si>
  <si>
    <t>МАТ.ПЕРЕГ.ТР.004 — Доводчик скрытый 850-25 (SSS)</t>
  </si>
  <si>
    <t>МАТ.ПЕРЕГ.ТР.005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</si>
  <si>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</si>
  <si>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МАТ.ПЕРЕГ.ТР.005 — Система перегородок СТ1 (под заполнение закаленным стеклом М1, прозрачное, 10мм для перегородок высотой до 3000мм) в проем до 5 м²</t>
  </si>
  <si>
    <t>МАТ.ПЕРЕГ.ТР.006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</si>
  <si>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</si>
  <si>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МАТ.ПЕРЕГ.ТР.006 — Система перегородок СТ1 (под заполнение закаленным стеклом М1, прозрачное, 10мм для перегородок высотой до 3000мм) в проем от 10 до 15 м²</t>
  </si>
  <si>
    <t>МАТ.ПЕРЕГ.ТР.007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</si>
  <si>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</si>
  <si>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МАТ.ПЕРЕГ.ТР.007 — Система перегородок СТ1 (под заполнение закаленным стеклом М1, прозрачное, 10мм для перегородок высотой до 3000мм) в проем от 15 м² до 20м2</t>
  </si>
  <si>
    <t>МАТ.ПЕРЕГ.ТР.008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</si>
  <si>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</si>
  <si>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МАТ.ПЕРЕГ.ТР.008 — Система перегородок СТ1 (под заполнение закаленным стеклом М1, прозрачное, 10мм для перегородок высотой до 3000мм) в проем от 5 до 10 м²</t>
  </si>
  <si>
    <t>МАТ.ПЕРЕГ.ТР.009</t>
  </si>
  <si>
    <t>МАТ.ПЕРЕГ.ТР.009 — Цилиндр с заверткой для нижнего замка</t>
  </si>
  <si>
    <t>МАТ.ПЕРЕГ.ТР.010</t>
  </si>
  <si>
    <t>Цилиндр с заверткой для среднего замка</t>
  </si>
  <si>
    <t>МАТ.ПЕРЕГ.ТР.010 — Цилиндр с заверткой для среднего замка</t>
  </si>
  <si>
    <t>МАТ.ПОЛ.КГ.001</t>
  </si>
  <si>
    <t>Atlas Concorde Forte dei Marmi Rock Tiffany White 60x120 Mat</t>
  </si>
  <si>
    <t>Отделкино</t>
  </si>
  <si>
    <t>цена за плитку без монтажных материалов</t>
  </si>
  <si>
    <t>МАТ.ПОЛ.КГ.001 — Atlas Concorde Forte dei Marmi Rock Tiffany White 60x120 Mat</t>
  </si>
  <si>
    <t>МАТ.ПОЛ.КГ.002</t>
  </si>
  <si>
    <t>Atlas Concorde Forte dei Marmi Rock Tiffany White 80x160 Mat</t>
  </si>
  <si>
    <t>МАТ.ПОЛ.КГ.002 — Atlas Concorde Forte dei Marmi Rock Tiffany White 80x160 Mat</t>
  </si>
  <si>
    <t>МАТ.ПОЛ.КГ.003</t>
  </si>
  <si>
    <t>Atlas Concorde Rin. Grey 60x120/Ринашенте Грей 60X120</t>
  </si>
  <si>
    <t>МАТ.ПОЛ.КГ.003 — Atlas Concorde Rin. Grey 60x120/Ринашенте Грей 60X120</t>
  </si>
  <si>
    <t>МАТ.ПОЛ.КГ.004</t>
  </si>
  <si>
    <t>Atlas Concorde Rin. Grey 80x80/Ринашенте Грей 80X80</t>
  </si>
  <si>
    <t>МАТ.ПОЛ.КГ.004 — Atlas Concorde Rin. Grey 80x80/Ринашенте Грей 80X80</t>
  </si>
  <si>
    <t>МАТ.ПОЛ.КГ.005</t>
  </si>
  <si>
    <t>Atlas Concorde Rinascente IVORY 600х1200х9 с затиркой швов.</t>
  </si>
  <si>
    <t>МАТ.ПОЛ.КГ.005 — Atlas Concorde Rinascente IVORY 600х1200х9 с затиркой швов.</t>
  </si>
  <si>
    <t>МАТ.ПОЛ.КГ.006</t>
  </si>
  <si>
    <t>Atlas Concorde Rinascente PEARL 600х1200х9 с затиркой швов.</t>
  </si>
  <si>
    <t>МАТ.ПОЛ.КГ.006 — Atlas Concorde Rinascente PEARL 600х1200х9 с затиркой швов.</t>
  </si>
  <si>
    <t>МАТ.ПОЛ.КГ.007</t>
  </si>
  <si>
    <t>Atlas Concorde Rinascente SMOKE 600х1200х9 с затиркой швов.</t>
  </si>
  <si>
    <t>МАТ.ПОЛ.КГ.007 — Atlas Concorde Rinascente SMOKE 600х1200х9 с затиркой швов.</t>
  </si>
  <si>
    <t>МАТ.ПОЛ.КГ.008</t>
  </si>
  <si>
    <t>Терраццо серый светлый обрезной арт. SG632400R</t>
  </si>
  <si>
    <t>Керамогрес</t>
  </si>
  <si>
    <t>МАТ.ПОЛ.КГ.008 — Терраццо серый светлый обрезной арт. SG632400R</t>
  </si>
  <si>
    <t>МАТ.ПОЛ.МОД.001</t>
  </si>
  <si>
    <t>Ковровая плитка Desso Grezzo AB64 7923 (зеленый) КМ3</t>
  </si>
  <si>
    <t>Desso</t>
  </si>
  <si>
    <t>Интерьерные решения</t>
  </si>
  <si>
    <t>EUR</t>
  </si>
  <si>
    <t>МАТ.ПОЛ.МОД.001 — Ковровая плитка Desso Grezzo AB64 7923 (зеленый) КМ3</t>
  </si>
  <si>
    <t>МАТ.ПОЛ.МОД.002</t>
  </si>
  <si>
    <t>Ковровая плитка Desso Grezzo AB64 8904 (cиний) КМ3</t>
  </si>
  <si>
    <t>МАТ.ПОЛ.МОД.002 — Ковровая плитка Desso Grezzo AB64 8904 (cиний) КМ3</t>
  </si>
  <si>
    <t>МАТ.ПОЛ.МОД.003</t>
  </si>
  <si>
    <t>Ковровая плитка Desso Grezzo AB64 9027 (серый светлый) КМ3</t>
  </si>
  <si>
    <t>МАТ.ПОЛ.МОД.003 — Ковровая плитка Desso Grezzo AB64 9027 (серый светлый) КМ3</t>
  </si>
  <si>
    <t>МАТ.ПОЛ.МОД.004</t>
  </si>
  <si>
    <t>Ковровая плитка Desso Grezzo AB64 9033 (серый темный) КМ3</t>
  </si>
  <si>
    <t>МАТ.ПОЛ.МОД.004 — Ковровая плитка Desso Grezzo AB64 9033 (серый темный) КМ3</t>
  </si>
  <si>
    <t>МАТ.ПОЛ.МОД.005</t>
  </si>
  <si>
    <t>Коммерческая ПВХ плитка ADO Floor 4020 мм, толщина 5мм, размер 305Х610мм, КМ2 с учетом клея фиксатора и подрезки 10%</t>
  </si>
  <si>
    <t>Опус-Контракт</t>
  </si>
  <si>
    <t>МАТ.ПОЛ.МОД.005 — Коммерческая ПВХ плитка ADO Floor 4020 мм, толщина 5мм, размер 305Х610мм, КМ2 с учетом клея фиксатора и подрезки 10%</t>
  </si>
  <si>
    <t>МАТ.ПОТОЛОК.001</t>
  </si>
  <si>
    <t>УПТК (акуст. потолки)</t>
  </si>
  <si>
    <t>МАТ.ПОТОЛОК.001 — Потолочный акустический остров 1195*1530*40мм цвет: белый, форма под заказ (форма яйцо)в комплекте с подвесами</t>
  </si>
  <si>
    <t>МАТ.ПОТОЛОК.002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</si>
  <si>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</si>
  <si>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МАТ.ПОТОЛОК.002 — Потолочный акустический остров 1365*840*40мм цвет: белый, форма под заказ (форма троугольник с закругленими углами) в комплекте с подвесами</t>
  </si>
  <si>
    <t>МАТ.ПОТОЛОК.003</t>
  </si>
  <si>
    <t>Потолочный акустический остров цвет: белый, форма круг D=1200мм, толщ. 40мм, в комплекте с подвесами</t>
  </si>
  <si>
    <t>МАТ.ПОТОЛОК.003 — Потолочный акустический остров цвет: белый, форма круг D=1200мм, толщ. 40мм, в комплекте с подвесами</t>
  </si>
  <si>
    <t>МАТ.ПОТОЛОК.004</t>
  </si>
  <si>
    <t>МАТ.ПОТОЛОК.004 — Потолочный акустический остров цвет: белый, форма круг D=750мм, толщ. 40мм, в комплекте с подвесами</t>
  </si>
  <si>
    <t>МАТ.ПОТОЛОК.005</t>
  </si>
  <si>
    <t>Потолочный акустический остров цвет: белый, форма прямоугольник, размеры 1190 х 293 мм., толщ. 40мм, в комплекте с подвесами</t>
  </si>
  <si>
    <t>МАТ.ПОТОЛОК.005 — Потолочный акустический остров цвет: белый, форма прямоугольник, размеры 1190 х 293 мм., толщ. 40мм, в комплекте с подвесами</t>
  </si>
  <si>
    <t>МАТ.РАД.001</t>
  </si>
  <si>
    <t>Монтажный комплект RIFAR 3/4 для радиаторов MONOLIT/SUPReMO</t>
  </si>
  <si>
    <t>R.Ad.G34MS</t>
  </si>
  <si>
    <t>RIFAR</t>
  </si>
  <si>
    <t>ТМ Инвест</t>
  </si>
  <si>
    <t>радиатор в сборе</t>
  </si>
  <si>
    <t>МАТ.РАД.001 — Монтажный комплект RIFAR 3/4 для радиаторов MONOLIT/SUPReMO</t>
  </si>
  <si>
    <t>МАТ.РАД.002</t>
  </si>
  <si>
    <t>Монтажный комплект RIFAR 3/4 для радиаторов MONOLIT/SUPReMO Хром</t>
  </si>
  <si>
    <t>R.Ad.G34MSХ</t>
  </si>
  <si>
    <t>МАТ.РАД.002 — Монтажный комплект RIFAR 3/4 для радиаторов MONOLIT/SUPReMO Хром</t>
  </si>
  <si>
    <t>МАТ.РАД.003</t>
  </si>
  <si>
    <t>Радиатор биметаллический RIFAR BASE 200 10 секц. бок.</t>
  </si>
  <si>
    <t>R-BA-200-10</t>
  </si>
  <si>
    <t>МАТ.РАД.003 — Радиатор биметаллический RIFAR BASE 200 10 секц. бок.</t>
  </si>
  <si>
    <t>МАТ.РАД.004</t>
  </si>
  <si>
    <t>Радиатор биметаллический RIFAR BASE 350 10 секц. бок.</t>
  </si>
  <si>
    <t>R-BA-350-10</t>
  </si>
  <si>
    <t>МАТ.РАД.004 — Радиатор биметаллический RIFAR BASE 350 10 секц. бок.</t>
  </si>
  <si>
    <t>МАТ.РАД.005</t>
  </si>
  <si>
    <t>Радиатор биметаллический RIFAR BASE 500 10 секц. бок.</t>
  </si>
  <si>
    <t>R-BA-500-10</t>
  </si>
  <si>
    <t>МАТ.РАД.005 — Радиатор биметаллический RIFAR BASE 500 10 секц. бок.</t>
  </si>
  <si>
    <t>МАТ.РАД.006</t>
  </si>
  <si>
    <t>Радиатор биметаллический RIFAR BASE Ventil 200 04 секц. нижн. прав.</t>
  </si>
  <si>
    <t>R-BA-200-04-VR</t>
  </si>
  <si>
    <t>МАТ.РАД.006 — Радиатор биметаллический RIFAR BASE Ventil 200 04 секц. нижн. прав.</t>
  </si>
  <si>
    <t>МАТ.РАД.007</t>
  </si>
  <si>
    <t>Радиатор биметаллический RIFAR BASE Ventil 200 05 секц. нижн. прав.</t>
  </si>
  <si>
    <t>R-BA-200-05-VR</t>
  </si>
  <si>
    <t>МАТ.РАД.007 — Радиатор биметаллический RIFAR BASE Ventil 200 05 секц. нижн. прав.</t>
  </si>
  <si>
    <t>МАТ.РАД.008</t>
  </si>
  <si>
    <t>Радиатор биметаллический RIFAR BASE Ventil 200 07 секц. нижн. прав.</t>
  </si>
  <si>
    <t>R-BA-200-07-VR</t>
  </si>
  <si>
    <t>МАТ.РАД.008 — Радиатор биметаллический RIFAR BASE Ventil 200 07 секц. нижн. прав.</t>
  </si>
  <si>
    <t>МАТ.РАД.009</t>
  </si>
  <si>
    <t>Радиатор биметаллический RIFAR BASE Ventil 200 08 секц. нижн. прав.</t>
  </si>
  <si>
    <t>R-BA-200-08-VR</t>
  </si>
  <si>
    <t>МАТ.РАД.009 — Радиатор биметаллический RIFAR BASE Ventil 200 08 секц. нижн. прав.</t>
  </si>
  <si>
    <t>МАТ.РАД.010</t>
  </si>
  <si>
    <t>Радиатор биметаллический RIFAR BASE Ventil 200 10 секц. нижн. прав.</t>
  </si>
  <si>
    <t>R-BA-200-10-VR</t>
  </si>
  <si>
    <t>МАТ.РАД.010 — Радиатор биметаллический RIFAR BASE Ventil 200 10 секц. нижн. прав.</t>
  </si>
  <si>
    <t>МАТ.РАД.011</t>
  </si>
  <si>
    <t>Радиатор биметаллический RIFAR BASE Ventil 200 11 секц. нижн. прав.</t>
  </si>
  <si>
    <t>R-BA-200-11-VR</t>
  </si>
  <si>
    <t>МАТ.РАД.011 — Радиатор биметаллический RIFAR BASE Ventil 200 11 секц. нижн. прав.</t>
  </si>
  <si>
    <t>МАТ.РАД.012</t>
  </si>
  <si>
    <t>Радиатор биметаллический RIFAR BASE Ventil 200 12 секц. нижн. прав.</t>
  </si>
  <si>
    <t>R-BA-200-12-VR</t>
  </si>
  <si>
    <t>МАТ.РАД.012 — Радиатор биметаллический RIFAR BASE Ventil 200 12 секц. нижн. прав.</t>
  </si>
  <si>
    <t>МАТ.РАД.013</t>
  </si>
  <si>
    <t>Радиатор биметаллический RIFAR BASE Ventil 200 13 секц. нижн. прав.</t>
  </si>
  <si>
    <t>R-BA-200-13-VR</t>
  </si>
  <si>
    <t>МАТ.РАД.013 — Радиатор биметаллический RIFAR BASE Ventil 200 13 секц. нижн. прав.</t>
  </si>
  <si>
    <t>МАТ.РАД.014</t>
  </si>
  <si>
    <t>Радиатор биметаллический RIFAR BASE Ventil 200 14 секц. нижн. прав.</t>
  </si>
  <si>
    <t>R-BA-200-14-VR</t>
  </si>
  <si>
    <t>МАТ.РАД.014 — Радиатор биметаллический RIFAR BASE Ventil 200 14 секц. нижн. прав.</t>
  </si>
  <si>
    <t>МАТ.РАД.015</t>
  </si>
  <si>
    <t>Радиатор биметаллический RIFAR BASE Ventil 350 04 секц. нижн. прав.</t>
  </si>
  <si>
    <t>R-BA-350-04-VR</t>
  </si>
  <si>
    <t>МАТ.РАД.015 — Радиатор биметаллический RIFAR BASE Ventil 350 04 секц. нижн. прав.</t>
  </si>
  <si>
    <t>МАТ.РАД.016</t>
  </si>
  <si>
    <t>Радиатор биметаллический RIFAR BASE Ventil 350 05 секц. нижн. прав.</t>
  </si>
  <si>
    <t>R-BA-350-05-VR</t>
  </si>
  <si>
    <t>МАТ.РАД.016 — Радиатор биметаллический RIFAR BASE Ventil 350 05 секц. нижн. прав.</t>
  </si>
  <si>
    <t>МАТ.РАД.017</t>
  </si>
  <si>
    <t>Радиатор биметаллический RIFAR BASE Ventil 350 06 секц. нижн. прав.</t>
  </si>
  <si>
    <t>R-BA-350-06-VR</t>
  </si>
  <si>
    <t>МАТ.РАД.017 — Радиатор биметаллический RIFAR BASE Ventil 350 06 секц. нижн. прав.</t>
  </si>
  <si>
    <t>МАТ.РАД.018</t>
  </si>
  <si>
    <t>Радиатор биметаллический RIFAR BASE Ventil 350 07 секц. нижн. прав.</t>
  </si>
  <si>
    <t>R-BA-350-07-VR</t>
  </si>
  <si>
    <t>МАТ.РАД.018 — Радиатор биметаллический RIFAR BASE Ventil 350 07 секц. нижн. прав.</t>
  </si>
  <si>
    <t>МАТ.РАД.019</t>
  </si>
  <si>
    <t>Радиатор биметаллический RIFAR BASE Ventil 350 08 секц. нижн. прав.</t>
  </si>
  <si>
    <t>R-BA-350-08-VR</t>
  </si>
  <si>
    <t>МАТ.РАД.019 — Радиатор биметаллический RIFAR BASE Ventil 350 08 секц. нижн. прав.</t>
  </si>
  <si>
    <t>МАТ.РАД.020</t>
  </si>
  <si>
    <t>Радиатор биметаллический RIFAR BASE Ventil 350 09 секц. нижн. прав.</t>
  </si>
  <si>
    <t>R-BA-350-09-VR</t>
  </si>
  <si>
    <t>МАТ.РАД.020 — Радиатор биметаллический RIFAR BASE Ventil 350 09 секц. нижн. прав.</t>
  </si>
  <si>
    <t>МАТ.РАД.021</t>
  </si>
  <si>
    <t>Радиатор биметаллический RIFAR BASE Ventil 350 10 секц. нижн. прав.</t>
  </si>
  <si>
    <t>R-BA-350-10-VR</t>
  </si>
  <si>
    <t>МАТ.РАД.021 — Радиатор биметаллический RIFAR BASE Ventil 350 10 секц. нижн. прав.</t>
  </si>
  <si>
    <t>МАТ.РАД.022</t>
  </si>
  <si>
    <t>Радиатор биметаллический RIFAR BASE Ventil 350 11 секц. нижн. прав.</t>
  </si>
  <si>
    <t>R-BA-350-11-VR</t>
  </si>
  <si>
    <t>МАТ.РАД.022 — Радиатор биметаллический RIFAR BASE Ventil 350 11 секц. нижн. прав.</t>
  </si>
  <si>
    <t>МАТ.РАД.023</t>
  </si>
  <si>
    <t>Радиатор биметаллический RIFAR BASE Ventil 350 12 секц. нижн. прав.</t>
  </si>
  <si>
    <t>R-BA-350-12-VR</t>
  </si>
  <si>
    <t>МАТ.РАД.023 — Радиатор биметаллический RIFAR BASE Ventil 350 12 секц. нижн. прав.</t>
  </si>
  <si>
    <t>МАТ.РАД.024</t>
  </si>
  <si>
    <t>Радиатор биметаллический RIFAR BASE Ventil 350 13 секц. нижн. прав.</t>
  </si>
  <si>
    <t>R-BA-350-13-VR</t>
  </si>
  <si>
    <t>МАТ.РАД.024 — Радиатор биметаллический RIFAR BASE Ventil 350 13 секц. нижн. прав.</t>
  </si>
  <si>
    <t>МАТ.РАД.025</t>
  </si>
  <si>
    <t>Радиатор биметаллический RIFAR BASE Ventil 350 14 секц. нижн. прав.</t>
  </si>
  <si>
    <t>R-BA-350-14-VR</t>
  </si>
  <si>
    <t>МАТ.РАД.025 — Радиатор биметаллический RIFAR BASE Ventil 350 14 секц. нижн. прав.</t>
  </si>
  <si>
    <t>МАТ.РАД.026</t>
  </si>
  <si>
    <t>Радиатор биметаллический RIFAR BASE Ventil 500 04 секц. нижн. прав.</t>
  </si>
  <si>
    <t>R-BA-500-04-VR</t>
  </si>
  <si>
    <t>МАТ.РАД.026 — Радиатор биметаллический RIFAR BASE Ventil 500 04 секц. нижн. прав.</t>
  </si>
  <si>
    <t>МАТ.РАД.027</t>
  </si>
  <si>
    <t>Радиатор биметаллический RIFAR BASE Ventil 500 05 секц. нижн. прав.</t>
  </si>
  <si>
    <t>R-BA-500-05-VR</t>
  </si>
  <si>
    <t>МАТ.РАД.027 — Радиатор биметаллический RIFAR BASE Ventil 500 05 секц. нижн. прав.</t>
  </si>
  <si>
    <t>МАТ.РАД.028</t>
  </si>
  <si>
    <t>Радиатор биметаллический RIFAR BASE Ventil 500 06 секц. нижн. прав.</t>
  </si>
  <si>
    <t>R-BA-500-06-VR</t>
  </si>
  <si>
    <t>МАТ.РАД.028 — Радиатор биметаллический RIFAR BASE Ventil 500 06 секц. нижн. прав.</t>
  </si>
  <si>
    <t>МАТ.РАД.029</t>
  </si>
  <si>
    <t>Радиатор биметаллический RIFAR BASE Ventil 500 07 секц. нижн. прав.</t>
  </si>
  <si>
    <t>R-BA-500-07-VR</t>
  </si>
  <si>
    <t>МАТ.РАД.029 — Радиатор биметаллический RIFAR BASE Ventil 500 07 секц. нижн. прав.</t>
  </si>
  <si>
    <t>МАТ.РАД.030</t>
  </si>
  <si>
    <t>Радиатор биметаллический RIFAR BASE Ventil 500 08 секц. нижн. прав.</t>
  </si>
  <si>
    <t>R-BA-500-08-VR</t>
  </si>
  <si>
    <t>МАТ.РАД.030 — Радиатор биметаллический RIFAR BASE Ventil 500 08 секц. нижн. прав.</t>
  </si>
  <si>
    <t>МАТ.РАД.031</t>
  </si>
  <si>
    <t>Радиатор биметаллический RIFAR BASE Ventil 500 09 секц. нижн. прав.</t>
  </si>
  <si>
    <t>R-BA-500-09-VR</t>
  </si>
  <si>
    <t>МАТ.РАД.031 — Радиатор биметаллический RIFAR BASE Ventil 500 09 секц. нижн. прав.</t>
  </si>
  <si>
    <t>МАТ.РАД.032</t>
  </si>
  <si>
    <t>Радиатор биметаллический RIFAR BASE Ventil 500 10 секц. нижн. прав.</t>
  </si>
  <si>
    <t>R-BA-500-10-VR</t>
  </si>
  <si>
    <t>МАТ.РАД.032 — Радиатор биметаллический RIFAR BASE Ventil 500 10 секц. нижн. прав.</t>
  </si>
  <si>
    <t>МАТ.РАД.033</t>
  </si>
  <si>
    <t>Радиатор биметаллический RIFAR BASE Ventil 500 11 секц. нижн. прав.</t>
  </si>
  <si>
    <t>R-BA-500-11-VR</t>
  </si>
  <si>
    <t>МАТ.РАД.033 — Радиатор биметаллический RIFAR BASE Ventil 500 11 секц. нижн. прав.</t>
  </si>
  <si>
    <t>МАТ.РАД.034</t>
  </si>
  <si>
    <t>Радиатор биметаллический RIFAR BASE Ventil 500 12 секц. нижн. прав.</t>
  </si>
  <si>
    <t>R-BA-500-12-VR</t>
  </si>
  <si>
    <t>МАТ.РАД.034 — Радиатор биметаллический RIFAR BASE Ventil 500 12 секц. нижн. прав.</t>
  </si>
  <si>
    <t>МАТ.РАД.035</t>
  </si>
  <si>
    <t>Радиатор биметаллический RIFAR BASE Ventil 500 13 секц. нижн. прав.</t>
  </si>
  <si>
    <t>R-BA-500-13-VR</t>
  </si>
  <si>
    <t>МАТ.РАД.035 — Радиатор биметаллический RIFAR BASE Ventil 500 13 секц. нижн. прав.</t>
  </si>
  <si>
    <t>МАТ.РАД.036</t>
  </si>
  <si>
    <t>Радиатор биметаллический RIFAR BASE Ventil 500 14 секц. нижн. прав.</t>
  </si>
  <si>
    <t>R-BA-500-14-VR</t>
  </si>
  <si>
    <t>МАТ.РАД.036 — Радиатор биметаллический RIFAR BASE Ventil 500 14 секц. нижн. прав.</t>
  </si>
  <si>
    <t>МАТ.РАД.037</t>
  </si>
  <si>
    <t>Радиатор биметаллический RIFAR ECOBUILD 300 10 секц. бок.</t>
  </si>
  <si>
    <t>R-EB-300-10</t>
  </si>
  <si>
    <t>МАТ.РАД.037 — Радиатор биметаллический RIFAR ECOBUILD 300 10 секц. бок.</t>
  </si>
  <si>
    <t>МАТ.РАД.038</t>
  </si>
  <si>
    <t>Радиатор биметаллический RIFAR ECOBUILD 500 10 секц. бок.</t>
  </si>
  <si>
    <t>R-EB-500-10</t>
  </si>
  <si>
    <t>МАТ.РАД.038 — Радиатор биметаллический RIFAR ECOBUILD 500 10 секц. бок.</t>
  </si>
  <si>
    <t>МАТ.РАД.039</t>
  </si>
  <si>
    <t>Радиатор биметаллический RIFAR ECOBUILD Ventil 300 04 секц. нижн. прав.</t>
  </si>
  <si>
    <t>R-EB-300-04-VR</t>
  </si>
  <si>
    <t>МАТ.РАД.039 — Радиатор биметаллический RIFAR ECOBUILD Ventil 300 04 секц. нижн. прав.</t>
  </si>
  <si>
    <t>МАТ.РАД.040</t>
  </si>
  <si>
    <t>Радиатор биметаллический RIFAR ECOBUILD Ventil 300 05 секц. нижн. прав.</t>
  </si>
  <si>
    <t>R-EB-300-05-VR</t>
  </si>
  <si>
    <t>МАТ.РАД.040 — Радиатор биметаллический RIFAR ECOBUILD Ventil 300 05 секц. нижн. прав.</t>
  </si>
  <si>
    <t>МАТ.РАД.041</t>
  </si>
  <si>
    <t>Радиатор биметаллический RIFAR ECOBUILD Ventil 300 06 секц. нижн. прав.</t>
  </si>
  <si>
    <t>R-EB-300-06-VR</t>
  </si>
  <si>
    <t>МАТ.РАД.041 — Радиатор биметаллический RIFAR ECOBUILD Ventil 300 06 секц. нижн. прав.</t>
  </si>
  <si>
    <t>МАТ.РАД.042</t>
  </si>
  <si>
    <t>Радиатор биметаллический RIFAR ECOBUILD Ventil 300 07 секц. нижн. прав.</t>
  </si>
  <si>
    <t>R-EB-300-07-VR</t>
  </si>
  <si>
    <t>МАТ.РАД.042 — Радиатор биметаллический RIFAR ECOBUILD Ventil 300 07 секц. нижн. прав.</t>
  </si>
  <si>
    <t>МАТ.РАД.043</t>
  </si>
  <si>
    <t>Радиатор биметаллический RIFAR ECOBUILD Ventil 300 08 секц. нижн. прав.</t>
  </si>
  <si>
    <t>R-EB-300-08-VR</t>
  </si>
  <si>
    <t>МАТ.РАД.043 — Радиатор биметаллический RIFAR ECOBUILD Ventil 300 08 секц. нижн. прав.</t>
  </si>
  <si>
    <t>МАТ.РАД.044</t>
  </si>
  <si>
    <t>Радиатор биметаллический RIFAR ECOBUILD Ventil 300 09 секц. нижн. прав.</t>
  </si>
  <si>
    <t>R-EB-300-09-VR</t>
  </si>
  <si>
    <t>МАТ.РАД.044 — Радиатор биметаллический RIFAR ECOBUILD Ventil 300 09 секц. нижн. прав.</t>
  </si>
  <si>
    <t>МАТ.РАД.045</t>
  </si>
  <si>
    <t>Радиатор биметаллический RIFAR ECOBUILD Ventil 300 10 секц. нижн. прав.</t>
  </si>
  <si>
    <t>R-EB-300-10-VR</t>
  </si>
  <si>
    <t>МАТ.РАД.045 — Радиатор биметаллический RIFAR ECOBUILD Ventil 300 10 секц. нижн. прав.</t>
  </si>
  <si>
    <t>МАТ.РАД.046</t>
  </si>
  <si>
    <t>Радиатор биметаллический RIFAR ECOBUILD Ventil 300 11 секц. нижн. прав.</t>
  </si>
  <si>
    <t>R-EB-300-11-VR</t>
  </si>
  <si>
    <t>МАТ.РАД.046 — Радиатор биметаллический RIFAR ECOBUILD Ventil 300 11 секц. нижн. прав.</t>
  </si>
  <si>
    <t>МАТ.РАД.047</t>
  </si>
  <si>
    <t>Радиатор биметаллический RIFAR ECOBUILD Ventil 300 12 секц. нижн. прав.</t>
  </si>
  <si>
    <t>R-EB-300-12-VR</t>
  </si>
  <si>
    <t>МАТ.РАД.047 — Радиатор биметаллический RIFAR ECOBUILD Ventil 300 12 секц. нижн. прав.</t>
  </si>
  <si>
    <t>МАТ.РАД.048</t>
  </si>
  <si>
    <t>Радиатор биметаллический RIFAR ECOBUILD Ventil 300 13 секц. нижн. прав.</t>
  </si>
  <si>
    <t>R-EB-300-13-VR</t>
  </si>
  <si>
    <t>МАТ.РАД.048 — Радиатор биметаллический RIFAR ECOBUILD Ventil 300 13 секц. нижн. прав.</t>
  </si>
  <si>
    <t>МАТ.РАД.049</t>
  </si>
  <si>
    <t>Радиатор биметаллический RIFAR ECOBUILD Ventil 300 14 секц. нижн. прав.</t>
  </si>
  <si>
    <t>R-EB-300-14-VR</t>
  </si>
  <si>
    <t>МАТ.РАД.049 — Радиатор биметаллический RIFAR ECOBUILD Ventil 300 14 секц. нижн. прав.</t>
  </si>
  <si>
    <t>МАТ.РАД.050</t>
  </si>
  <si>
    <t>Радиатор биметаллический RIFAR ECOBUILD Ventil 500 04 секц. нижн. прав.</t>
  </si>
  <si>
    <t>R-EB-500-04-VR</t>
  </si>
  <si>
    <t>МАТ.РАД.050 — Радиатор биметаллический RIFAR ECOBUILD Ventil 500 04 секц. нижн. прав.</t>
  </si>
  <si>
    <t>МАТ.РАД.051</t>
  </si>
  <si>
    <t>Радиатор биметаллический RIFAR ECOBUILD Ventil 500 05 секц. нижн. прав.</t>
  </si>
  <si>
    <t>R-EB-500-05-VR</t>
  </si>
  <si>
    <t>МАТ.РАД.051 — Радиатор биметаллический RIFAR ECOBUILD Ventil 500 05 секц. нижн. прав.</t>
  </si>
  <si>
    <t>МАТ.РАД.052</t>
  </si>
  <si>
    <t>Радиатор биметаллический RIFAR ECOBUILD Ventil 500 06 секц. нижн. прав.</t>
  </si>
  <si>
    <t>R-EB-500-06-VR</t>
  </si>
  <si>
    <t>МАТ.РАД.052 — Радиатор биметаллический RIFAR ECOBUILD Ventil 500 06 секц. нижн. прав.</t>
  </si>
  <si>
    <t>МАТ.РАД.053</t>
  </si>
  <si>
    <t>Радиатор биметаллический RIFAR ECOBUILD Ventil 500 07 секц. нижн. прав.</t>
  </si>
  <si>
    <t>R-EB-500-07-VR</t>
  </si>
  <si>
    <t>МАТ.РАД.053 — Радиатор биметаллический RIFAR ECOBUILD Ventil 500 07 секц. нижн. прав.</t>
  </si>
  <si>
    <t>МАТ.РАД.054</t>
  </si>
  <si>
    <t>Радиатор биметаллический RIFAR ECOBUILD Ventil 500 08 секц. нижн. прав.</t>
  </si>
  <si>
    <t>R-EB-500-08-VR</t>
  </si>
  <si>
    <t>МАТ.РАД.054 — Радиатор биметаллический RIFAR ECOBUILD Ventil 500 08 секц. нижн. прав.</t>
  </si>
  <si>
    <t>МАТ.РАД.055</t>
  </si>
  <si>
    <t>Радиатор биметаллический RIFAR ECOBUILD Ventil 500 09 секц. нижн. прав.</t>
  </si>
  <si>
    <t>R-EB-500-09-VR</t>
  </si>
  <si>
    <t>МАТ.РАД.055 — Радиатор биметаллический RIFAR ECOBUILD Ventil 500 09 секц. нижн. прав.</t>
  </si>
  <si>
    <t>МАТ.РАД.056</t>
  </si>
  <si>
    <t>Радиатор биметаллический RIFAR ECOBUILD Ventil 500 10 секц. нижн. прав.</t>
  </si>
  <si>
    <t>R-EB-500-10-VR</t>
  </si>
  <si>
    <t>МАТ.РАД.056 — Радиатор биметаллический RIFAR ECOBUILD Ventil 500 10 секц. нижн. прав.</t>
  </si>
  <si>
    <t>МАТ.РАД.057</t>
  </si>
  <si>
    <t>Радиатор биметаллический RIFAR ECOBUILD Ventil 500 11 секц. нижн. прав.</t>
  </si>
  <si>
    <t>R-EB-500-11-VR</t>
  </si>
  <si>
    <t>МАТ.РАД.057 — Радиатор биметаллический RIFAR ECOBUILD Ventil 500 11 секц. нижн. прав.</t>
  </si>
  <si>
    <t>МАТ.РАД.058</t>
  </si>
  <si>
    <t>Радиатор биметаллический RIFAR ECOBUILD Ventil 500 12 секц. нижн. прав.</t>
  </si>
  <si>
    <t>R-EB-500-12-VR</t>
  </si>
  <si>
    <t>МАТ.РАД.058 — Радиатор биметаллический RIFAR ECOBUILD Ventil 500 12 секц. нижн. прав.</t>
  </si>
  <si>
    <t>МАТ.РАД.059</t>
  </si>
  <si>
    <t>Радиатор биметаллический RIFAR ECOBUILD Ventil 500 13 секц. нижн. прав.</t>
  </si>
  <si>
    <t>R-EB-500-13-VR</t>
  </si>
  <si>
    <t>МАТ.РАД.059 — Радиатор биметаллический RIFAR ECOBUILD Ventil 500 13 секц. нижн. прав.</t>
  </si>
  <si>
    <t>МАТ.РАД.060</t>
  </si>
  <si>
    <t>Радиатор биметаллический RIFAR ECOBUILD Ventil 500 14 секц. нижн. прав.</t>
  </si>
  <si>
    <t>R-EB-500-14-VR</t>
  </si>
  <si>
    <t>МАТ.РАД.060 — Радиатор биметаллический RIFAR ECOBUILD Ventil 500 14 секц. нижн. прав.</t>
  </si>
  <si>
    <t>МАТ.РАД.061</t>
  </si>
  <si>
    <t>Радиатор биметаллический RIFAR MONOLIT 300 10 секц. бок.</t>
  </si>
  <si>
    <t>R-MN-300-10</t>
  </si>
  <si>
    <t>МАТ.РАД.061 — Радиатор биметаллический RIFAR MONOLIT 300 10 секц. бок.</t>
  </si>
  <si>
    <t>МАТ.РАД.062</t>
  </si>
  <si>
    <t>Радиатор биметаллический RIFAR MONOLIT 350 10 секц. бок.</t>
  </si>
  <si>
    <t>R-MN-350-10</t>
  </si>
  <si>
    <t>МАТ.РАД.062 — Радиатор биметаллический RIFAR MONOLIT 350 10 секц. бок.</t>
  </si>
  <si>
    <t>МАТ.РАД.063</t>
  </si>
  <si>
    <t>Радиатор биметаллический RIFAR MONOLIT 500 10 секц. бок.</t>
  </si>
  <si>
    <t>R-MN-500-10</t>
  </si>
  <si>
    <t>МАТ.РАД.063 — Радиатор биметаллический RIFAR MONOLIT 500 10 секц. бок.</t>
  </si>
  <si>
    <t>МАТ.РАД.064</t>
  </si>
  <si>
    <t>Радиатор биметаллический RIFAR MONOLIT Ventil 300 04 секц. нижн. прав.</t>
  </si>
  <si>
    <t>R-MN-300-04-VR</t>
  </si>
  <si>
    <t>МАТ.РАД.064 — Радиатор биметаллический RIFAR MONOLIT Ventil 300 04 секц. нижн. прав.</t>
  </si>
  <si>
    <t>МАТ.РАД.065</t>
  </si>
  <si>
    <t>Радиатор биметаллический RIFAR MONOLIT Ventil 300 05 секц. нижн. прав.</t>
  </si>
  <si>
    <t>R-MN-300-05-VR</t>
  </si>
  <si>
    <t>МАТ.РАД.065 — Радиатор биметаллический RIFAR MONOLIT Ventil 300 05 секц. нижн. прав.</t>
  </si>
  <si>
    <t>МАТ.РАД.066</t>
  </si>
  <si>
    <t>Радиатор биметаллический RIFAR MONOLIT Ventil 300 06 секц. нижн. прав.</t>
  </si>
  <si>
    <t>R-MN-300-06-VR</t>
  </si>
  <si>
    <t>МАТ.РАД.066 — Радиатор биметаллический RIFAR MONOLIT Ventil 300 06 секц. нижн. прав.</t>
  </si>
  <si>
    <t>МАТ.РАД.067</t>
  </si>
  <si>
    <t>Радиатор биметаллический RIFAR MONOLIT Ventil 300 07 секц. нижн. прав.</t>
  </si>
  <si>
    <t>R-MN-300-07-VR</t>
  </si>
  <si>
    <t>МАТ.РАД.067 — Радиатор биметаллический RIFAR MONOLIT Ventil 300 07 секц. нижн. прав.</t>
  </si>
  <si>
    <t>МАТ.РАД.068</t>
  </si>
  <si>
    <t>Радиатор биметаллический RIFAR MONOLIT Ventil 300 08 секц. нижн. прав.</t>
  </si>
  <si>
    <t>R-MN-300-08-VR</t>
  </si>
  <si>
    <t>МАТ.РАД.068 — Радиатор биметаллический RIFAR MONOLIT Ventil 300 08 секц. нижн. прав.</t>
  </si>
  <si>
    <t>МАТ.РАД.069</t>
  </si>
  <si>
    <t>Радиатор биметаллический RIFAR MONOLIT Ventil 300 09 секц. нижн. прав.</t>
  </si>
  <si>
    <t>R-MN-300-09-VR</t>
  </si>
  <si>
    <t>МАТ.РАД.069 — Радиатор биметаллический RIFAR MONOLIT Ventil 300 09 секц. нижн. прав.</t>
  </si>
  <si>
    <t>МАТ.РАД.070</t>
  </si>
  <si>
    <t>Радиатор биметаллический RIFAR MONOLIT Ventil 300 10 секц. нижн. прав.</t>
  </si>
  <si>
    <t>R-MN-300-10-VR</t>
  </si>
  <si>
    <t>МАТ.РАД.070 — Радиатор биметаллический RIFAR MONOLIT Ventil 300 10 секц. нижн. прав.</t>
  </si>
  <si>
    <t>МАТ.РАД.071</t>
  </si>
  <si>
    <t>Радиатор биметаллический RIFAR MONOLIT Ventil 300 11 секц. нижн. прав.</t>
  </si>
  <si>
    <t>R-MN-300-11-VR</t>
  </si>
  <si>
    <t>МАТ.РАД.071 — Радиатор биметаллический RIFAR MONOLIT Ventil 300 11 секц. нижн. прав.</t>
  </si>
  <si>
    <t>МАТ.РАД.072</t>
  </si>
  <si>
    <t>Радиатор биметаллический RIFAR MONOLIT Ventil 300 12 секц. нижн. прав.</t>
  </si>
  <si>
    <t>R-MN-300-12-VR</t>
  </si>
  <si>
    <t>МАТ.РАД.072 — Радиатор биметаллический RIFAR MONOLIT Ventil 300 12 секц. нижн. прав.</t>
  </si>
  <si>
    <t>МАТ.РАД.073</t>
  </si>
  <si>
    <t>Радиатор биметаллический RIFAR MONOLIT Ventil 300 13 секц. нижн. прав.</t>
  </si>
  <si>
    <t>R-MN-300-13-VR</t>
  </si>
  <si>
    <t>МАТ.РАД.073 — Радиатор биметаллический RIFAR MONOLIT Ventil 300 13 секц. нижн. прав.</t>
  </si>
  <si>
    <t>МАТ.РАД.074</t>
  </si>
  <si>
    <t>Радиатор биметаллический RIFAR MONOLIT Ventil 300 14 секц. нижн. прав.</t>
  </si>
  <si>
    <t>R-MN-300-14-VR</t>
  </si>
  <si>
    <t>МАТ.РАД.074 — Радиатор биметаллический RIFAR MONOLIT Ventil 300 14 секц. нижн. прав.</t>
  </si>
  <si>
    <t>МАТ.РАД.075</t>
  </si>
  <si>
    <t>Радиатор биметаллический RIFAR MONOLIT Ventil 350 04 секц. нижн. прав.</t>
  </si>
  <si>
    <t>R-MN-350-04-VR</t>
  </si>
  <si>
    <t>МАТ.РАД.075 — Радиатор биметаллический RIFAR MONOLIT Ventil 350 04 секц. нижн. прав.</t>
  </si>
  <si>
    <t>МАТ.РАД.076</t>
  </si>
  <si>
    <t>Радиатор биметаллический RIFAR MONOLIT Ventil 350 05 секц. нижн. прав.</t>
  </si>
  <si>
    <t>R-MN-350-05-VR</t>
  </si>
  <si>
    <t>МАТ.РАД.076 — Радиатор биметаллический RIFAR MONOLIT Ventil 350 05 секц. нижн. прав.</t>
  </si>
  <si>
    <t>МАТ.РАД.077</t>
  </si>
  <si>
    <t>Радиатор биметаллический RIFAR MONOLIT Ventil 350 06 секц. нижн. прав.</t>
  </si>
  <si>
    <t>R-MN-350-06-VR</t>
  </si>
  <si>
    <t>МАТ.РАД.077 — Радиатор биметаллический RIFAR MONOLIT Ventil 350 06 секц. нижн. прав.</t>
  </si>
  <si>
    <t>МАТ.РАД.078</t>
  </si>
  <si>
    <t>Радиатор биметаллический RIFAR MONOLIT Ventil 350 07 секц. нижн. прав.</t>
  </si>
  <si>
    <t>R-MN-350-07-VR</t>
  </si>
  <si>
    <t>МАТ.РАД.078 — Радиатор биметаллический RIFAR MONOLIT Ventil 350 07 секц. нижн. прав.</t>
  </si>
  <si>
    <t>МАТ.РАД.079</t>
  </si>
  <si>
    <t>Радиатор биметаллический RIFAR MONOLIT Ventil 350 08 секц. нижн. прав.</t>
  </si>
  <si>
    <t>R-MN-350-08-VR</t>
  </si>
  <si>
    <t>МАТ.РАД.079 — Радиатор биметаллический RIFAR MONOLIT Ventil 350 08 секц. нижн. прав.</t>
  </si>
  <si>
    <t>МАТ.РАД.080</t>
  </si>
  <si>
    <t>Радиатор биметаллический RIFAR MONOLIT Ventil 350 09 секц. нижн. прав.</t>
  </si>
  <si>
    <t>R-MN-350-09-VR</t>
  </si>
  <si>
    <t>МАТ.РАД.080 — Радиатор биметаллический RIFAR MONOLIT Ventil 350 09 секц. нижн. прав.</t>
  </si>
  <si>
    <t>МАТ.РАД.081</t>
  </si>
  <si>
    <t>Радиатор биметаллический RIFAR MONOLIT Ventil 350 10 секц. нижн. прав.</t>
  </si>
  <si>
    <t>R-MN-350-10-VR</t>
  </si>
  <si>
    <t>МАТ.РАД.081 — Радиатор биметаллический RIFAR MONOLIT Ventil 350 10 секц. нижн. прав.</t>
  </si>
  <si>
    <t>МАТ.РАД.082</t>
  </si>
  <si>
    <t>Радиатор биметаллический RIFAR MONOLIT Ventil 350 11 секц. нижн. прав.</t>
  </si>
  <si>
    <t>R-MN-350-11-VR</t>
  </si>
  <si>
    <t>МАТ.РАД.082 — Радиатор биметаллический RIFAR MONOLIT Ventil 350 11 секц. нижн. прав.</t>
  </si>
  <si>
    <t>МАТ.РАД.083</t>
  </si>
  <si>
    <t>Радиатор биметаллический RIFAR MONOLIT Ventil 350 12 секц. нижн. прав.</t>
  </si>
  <si>
    <t>R-MN-350-12-VR</t>
  </si>
  <si>
    <t>МАТ.РАД.083 — Радиатор биметаллический RIFAR MONOLIT Ventil 350 12 секц. нижн. прав.</t>
  </si>
  <si>
    <t>МАТ.РАД.084</t>
  </si>
  <si>
    <t>Радиатор биметаллический RIFAR MONOLIT Ventil 350 13 секц. нижн. прав.</t>
  </si>
  <si>
    <t>R-MN-350-13-VR</t>
  </si>
  <si>
    <t>МАТ.РАД.084 — Радиатор биметаллический RIFAR MONOLIT Ventil 350 13 секц. нижн. прав.</t>
  </si>
  <si>
    <t>МАТ.РАД.085</t>
  </si>
  <si>
    <t>Радиатор биметаллический RIFAR MONOLIT Ventil 350 14 секц. нижн. прав.</t>
  </si>
  <si>
    <t>R-MN-350-14-VR</t>
  </si>
  <si>
    <t>МАТ.РАД.085 — Радиатор биметаллический RIFAR MONOLIT Ventil 350 14 секц. нижн. прав.</t>
  </si>
  <si>
    <t>МАТ.РАД.086</t>
  </si>
  <si>
    <t>Радиатор биметаллический RIFAR MONOLIT Ventil 500 04 секц. нижн. прав.</t>
  </si>
  <si>
    <t>R-MN-500-04-VR</t>
  </si>
  <si>
    <t>МАТ.РАД.086 — Радиатор биметаллический RIFAR MONOLIT Ventil 500 04 секц. нижн. прав.</t>
  </si>
  <si>
    <t>МАТ.РАД.087</t>
  </si>
  <si>
    <t>Радиатор биметаллический RIFAR MONOLIT Ventil 500 05 секц. нижн. прав.</t>
  </si>
  <si>
    <t>R-MN-500-05-VR</t>
  </si>
  <si>
    <t>МАТ.РАД.087 — Радиатор биметаллический RIFAR MONOLIT Ventil 500 05 секц. нижн. прав.</t>
  </si>
  <si>
    <t>МАТ.РАД.088</t>
  </si>
  <si>
    <t>Радиатор биметаллический RIFAR MONOLIT Ventil 500 06 секц. нижн. прав.</t>
  </si>
  <si>
    <t>R-MN-500-06-VR</t>
  </si>
  <si>
    <t>МАТ.РАД.088 — Радиатор биметаллический RIFAR MONOLIT Ventil 500 06 секц. нижн. прав.</t>
  </si>
  <si>
    <t>МАТ.РАД.089</t>
  </si>
  <si>
    <t>Радиатор биметаллический RIFAR MONOLIT Ventil 500 07 секц. нижн. прав.</t>
  </si>
  <si>
    <t>R-MN-500-07-VR</t>
  </si>
  <si>
    <t>МАТ.РАД.089 — Радиатор биметаллический RIFAR MONOLIT Ventil 500 07 секц. нижн. прав.</t>
  </si>
  <si>
    <t>МАТ.РАД.090</t>
  </si>
  <si>
    <t>Радиатор биметаллический RIFAR MONOLIT Ventil 500 08 секц. нижн. прав.</t>
  </si>
  <si>
    <t>R-MN-500-08-VR</t>
  </si>
  <si>
    <t>МАТ.РАД.090 — Радиатор биметаллический RIFAR MONOLIT Ventil 500 08 секц. нижн. прав.</t>
  </si>
  <si>
    <t>МАТ.РАД.091</t>
  </si>
  <si>
    <t>Радиатор биметаллический RIFAR MONOLIT Ventil 500 09 секц. нижн. прав.</t>
  </si>
  <si>
    <t>R-MN-500-09-VR</t>
  </si>
  <si>
    <t>МАТ.РАД.091 — Радиатор биметаллический RIFAR MONOLIT Ventil 500 09 секц. нижн. прав.</t>
  </si>
  <si>
    <t>МАТ.РАД.092</t>
  </si>
  <si>
    <t>Радиатор биметаллический RIFAR MONOLIT Ventil 500 10 секц. нижн. прав.</t>
  </si>
  <si>
    <t>R-MN-500-10-VR</t>
  </si>
  <si>
    <t>МАТ.РАД.092 — Радиатор биметаллический RIFAR MONOLIT Ventil 500 10 секц. нижн. прав.</t>
  </si>
  <si>
    <t>МАТ.РАД.093</t>
  </si>
  <si>
    <t>Радиатор биметаллический RIFAR MONOLIT Ventil 500 11 секц. нижн. прав.</t>
  </si>
  <si>
    <t>R-MN-500-11-VR</t>
  </si>
  <si>
    <t>МАТ.РАД.093 — Радиатор биметаллический RIFAR MONOLIT Ventil 500 11 секц. нижн. прав.</t>
  </si>
  <si>
    <t>МАТ.РАД.094</t>
  </si>
  <si>
    <t>Радиатор биметаллический RIFAR MONOLIT Ventil 500 12 секц. нижн. прав.</t>
  </si>
  <si>
    <t>R-MN-500-12-VR</t>
  </si>
  <si>
    <t>МАТ.РАД.094 — Радиатор биметаллический RIFAR MONOLIT Ventil 500 12 секц. нижн. прав.</t>
  </si>
  <si>
    <t>МАТ.РАД.095</t>
  </si>
  <si>
    <t>Радиатор биметаллический RIFAR MONOLIT Ventil 500 13 секц. нижн. прав.</t>
  </si>
  <si>
    <t>R-MN-500-13-VR</t>
  </si>
  <si>
    <t>МАТ.РАД.095 — Радиатор биметаллический RIFAR MONOLIT Ventil 500 13 секц. нижн. прав.</t>
  </si>
  <si>
    <t>МАТ.РАД.096</t>
  </si>
  <si>
    <t>Радиатор биметаллический RIFAR MONOLIT Ventil 500 14 секц. нижн. прав.</t>
  </si>
  <si>
    <t>R-MN-500-14-VR</t>
  </si>
  <si>
    <t>МАТ.РАД.096 — Радиатор биметаллический RIFAR MONOLIT Ventil 500 14 секц. нижн. прав.</t>
  </si>
  <si>
    <t>МАТ.РАД.097</t>
  </si>
  <si>
    <t>Радиатор биметаллический RIFAR SUPReMO 350 10 секц. бок.</t>
  </si>
  <si>
    <t>R-SU-350-10</t>
  </si>
  <si>
    <t>МАТ.РАД.097 — Радиатор биметаллический RIFAR SUPReMO 350 10 секц. бок.</t>
  </si>
  <si>
    <t>МАТ.РАД.098</t>
  </si>
  <si>
    <t>Радиатор биметаллический RIFAR SUPReMO 500 10 секц. бок.</t>
  </si>
  <si>
    <t>R-SU-500-10</t>
  </si>
  <si>
    <t>МАТ.РАД.098 — Радиатор биметаллический RIFAR SUPReMO 500 10 секц. бок.</t>
  </si>
  <si>
    <t>МАТ.РАД.099</t>
  </si>
  <si>
    <t>Радиатор биметаллический RIFAR SUPReMO 800 10 секц. бок.</t>
  </si>
  <si>
    <t>R-SU-800-10</t>
  </si>
  <si>
    <t>МАТ.РАД.099 — Радиатор биметаллический RIFAR SUPReMO 800 10 секц. бок.</t>
  </si>
  <si>
    <t>МАТ.РАД.100</t>
  </si>
  <si>
    <t>Радиатор биметаллический RIFAR SUPReMO Ventil 350 04 секц. нижн. прав.</t>
  </si>
  <si>
    <t>R-SU-350-04-VR</t>
  </si>
  <si>
    <t>МАТ.РАД.100 — Радиатор биметаллический RIFAR SUPReMO Ventil 350 04 секц. нижн. прав.</t>
  </si>
  <si>
    <t>МАТ.РАД.101</t>
  </si>
  <si>
    <t>Радиатор биметаллический RIFAR SUPReMO Ventil 350 05 секц. нижн. прав.</t>
  </si>
  <si>
    <t>R-SU-350-05-VR</t>
  </si>
  <si>
    <t>МАТ.РАД.101 — Радиатор биметаллический RIFAR SUPReMO Ventil 350 05 секц. нижн. прав.</t>
  </si>
  <si>
    <t>МАТ.РАД.102</t>
  </si>
  <si>
    <t>Радиатор биметаллический RIFAR SUPReMO Ventil 350 06 секц. нижн. прав.</t>
  </si>
  <si>
    <t>R-SU-350-06-VR</t>
  </si>
  <si>
    <t>МАТ.РАД.102 — Радиатор биметаллический RIFAR SUPReMO Ventil 350 06 секц. нижн. прав.</t>
  </si>
  <si>
    <t>МАТ.РАД.103</t>
  </si>
  <si>
    <t>Радиатор биметаллический RIFAR SUPReMO Ventil 350 07 секц. нижн. прав.</t>
  </si>
  <si>
    <t>R-SU-350-07-VR</t>
  </si>
  <si>
    <t>МАТ.РАД.103 — Радиатор биметаллический RIFAR SUPReMO Ventil 350 07 секц. нижн. прав.</t>
  </si>
  <si>
    <t>МАТ.РАД.104</t>
  </si>
  <si>
    <t>Радиатор биметаллический RIFAR SUPReMO Ventil 350 08 секц. нижн. прав.</t>
  </si>
  <si>
    <t>R-SU-350-08-VR</t>
  </si>
  <si>
    <t>МАТ.РАД.104 — Радиатор биметаллический RIFAR SUPReMO Ventil 350 08 секц. нижн. прав.</t>
  </si>
  <si>
    <t>МАТ.РАД.105</t>
  </si>
  <si>
    <t>Радиатор биметаллический RIFAR SUPReMO Ventil 350 09 секц. нижн. прав.</t>
  </si>
  <si>
    <t>R-SU-350-09-VR</t>
  </si>
  <si>
    <t>МАТ.РАД.105 — Радиатор биметаллический RIFAR SUPReMO Ventil 350 09 секц. нижн. прав.</t>
  </si>
  <si>
    <t>МАТ.РАД.106</t>
  </si>
  <si>
    <t>Радиатор биметаллический RIFAR SUPReMO Ventil 350 10 секц. нижн. прав.</t>
  </si>
  <si>
    <t>R-SU-350-10-VR</t>
  </si>
  <si>
    <t>МАТ.РАД.106 — Радиатор биметаллический RIFAR SUPReMO Ventil 350 10 секц. нижн. прав.</t>
  </si>
  <si>
    <t>МАТ.РАД.107</t>
  </si>
  <si>
    <t>Радиатор биметаллический RIFAR SUPReMO Ventil 350 11 секц. нижн. прав.</t>
  </si>
  <si>
    <t>R-SU-350-11-VR</t>
  </si>
  <si>
    <t>МАТ.РАД.107 — Радиатор биметаллический RIFAR SUPReMO Ventil 350 11 секц. нижн. прав.</t>
  </si>
  <si>
    <t>МАТ.РАД.108</t>
  </si>
  <si>
    <t>Радиатор биметаллический RIFAR SUPReMO Ventil 350 12 секц. нижн. прав.</t>
  </si>
  <si>
    <t>R-SU-350-12-VR</t>
  </si>
  <si>
    <t>МАТ.РАД.108 — Радиатор биметаллический RIFAR SUPReMO Ventil 350 12 секц. нижн. прав.</t>
  </si>
  <si>
    <t>МАТ.РАД.109</t>
  </si>
  <si>
    <t>Радиатор биметаллический RIFAR SUPReMO Ventil 350 13 секц. нижн. прав.</t>
  </si>
  <si>
    <t>R-SU-350-13-VR</t>
  </si>
  <si>
    <t>МАТ.РАД.109 — Радиатор биметаллический RIFAR SUPReMO Ventil 350 13 секц. нижн. прав.</t>
  </si>
  <si>
    <t>МАТ.РАД.110</t>
  </si>
  <si>
    <t>Радиатор биметаллический RIFAR SUPReMO Ventil 350 14 секц. нижн. прав.</t>
  </si>
  <si>
    <t>R-SU-350-14-VR</t>
  </si>
  <si>
    <t>МАТ.РАД.110 — Радиатор биметаллический RIFAR SUPReMO Ventil 350 14 секц. нижн. прав.</t>
  </si>
  <si>
    <t>МАТ.РАД.111</t>
  </si>
  <si>
    <t>Радиатор биметаллический RIFAR SUPReMO Ventil 500 04 секц. нижн. прав.</t>
  </si>
  <si>
    <t>R-SU-500-04-VR</t>
  </si>
  <si>
    <t>МАТ.РАД.111 — Радиатор биметаллический RIFAR SUPReMO Ventil 500 04 секц. нижн. прав.</t>
  </si>
  <si>
    <t>МАТ.РАД.112</t>
  </si>
  <si>
    <t>Радиатор биметаллический RIFAR SUPReMO Ventil 500 05 секц. нижн. прав.</t>
  </si>
  <si>
    <t>R-SU-500-05-VR</t>
  </si>
  <si>
    <t>МАТ.РАД.112 — Радиатор биметаллический RIFAR SUPReMO Ventil 500 05 секц. нижн. прав.</t>
  </si>
  <si>
    <t>МАТ.РАД.113</t>
  </si>
  <si>
    <t>Радиатор биметаллический RIFAR SUPReMO Ventil 500 06 секц. нижн. прав.</t>
  </si>
  <si>
    <t>R-SU-500-06-VR</t>
  </si>
  <si>
    <t>МАТ.РАД.113 — Радиатор биметаллический RIFAR SUPReMO Ventil 500 06 секц. нижн. прав.</t>
  </si>
  <si>
    <t>МАТ.РАД.114</t>
  </si>
  <si>
    <t>Радиатор биметаллический RIFAR SUPReMO Ventil 500 07 секц. нижн. прав.</t>
  </si>
  <si>
    <t>R-SU-500-07-VR</t>
  </si>
  <si>
    <t>МАТ.РАД.114 — Радиатор биметаллический RIFAR SUPReMO Ventil 500 07 секц. нижн. прав.</t>
  </si>
  <si>
    <t>МАТ.РАД.115</t>
  </si>
  <si>
    <t>Радиатор биметаллический RIFAR SUPReMO Ventil 500 08 секц. нижн. прав.</t>
  </si>
  <si>
    <t>R-SU-500-08-VR</t>
  </si>
  <si>
    <t>МАТ.РАД.115 — Радиатор биметаллический RIFAR SUPReMO Ventil 500 08 секц. нижн. прав.</t>
  </si>
  <si>
    <t>МАТ.РАД.116</t>
  </si>
  <si>
    <t>Радиатор биметаллический RIFAR SUPReMO Ventil 500 09 секц. нижн. прав.</t>
  </si>
  <si>
    <t>R-SU-500-09-VR</t>
  </si>
  <si>
    <t>МАТ.РАД.116 — Радиатор биметаллический RIFAR SUPReMO Ventil 500 09 секц. нижн. прав.</t>
  </si>
  <si>
    <t>МАТ.РАД.117</t>
  </si>
  <si>
    <t>Радиатор биметаллический RIFAR SUPReMO Ventil 500 10 секц. нижн. прав.</t>
  </si>
  <si>
    <t>R-SU-500-10-VR</t>
  </si>
  <si>
    <t>МАТ.РАД.117 — Радиатор биметаллический RIFAR SUPReMO Ventil 500 10 секц. нижн. прав.</t>
  </si>
  <si>
    <t>МАТ.РАД.118</t>
  </si>
  <si>
    <t>Радиатор биметаллический RIFAR SUPReMO Ventil 500 11 секц. нижн. прав.</t>
  </si>
  <si>
    <t>R-SU-500-11-VR</t>
  </si>
  <si>
    <t>МАТ.РАД.118 — Радиатор биметаллический RIFAR SUPReMO Ventil 500 11 секц. нижн. прав.</t>
  </si>
  <si>
    <t>МАТ.РАД.119</t>
  </si>
  <si>
    <t>Радиатор биметаллический RIFAR SUPReMO Ventil 500 12 секц. нижн. прав.</t>
  </si>
  <si>
    <t>R-SU-500-12-VR</t>
  </si>
  <si>
    <t>МАТ.РАД.119 — Радиатор биметаллический RIFAR SUPReMO Ventil 500 12 секц. нижн. прав.</t>
  </si>
  <si>
    <t>МАТ.РАД.120</t>
  </si>
  <si>
    <t>Радиатор биметаллический RIFAR SUPReMO Ventil 500 13 секц. нижн. прав.</t>
  </si>
  <si>
    <t>R-SU-500-13-VR</t>
  </si>
  <si>
    <t>МАТ.РАД.120 — Радиатор биметаллический RIFAR SUPReMO Ventil 500 13 секц. нижн. прав.</t>
  </si>
  <si>
    <t>МАТ.РАД.121</t>
  </si>
  <si>
    <t>Радиатор биметаллический RIFAR SUPReMO Ventil 500 14 секц. нижн. прав.</t>
  </si>
  <si>
    <t>R-SU-500-14-VR</t>
  </si>
  <si>
    <t>МАТ.РАД.121 — Радиатор биметаллический RIFAR SUPReMO Ventil 500 14 секц. нижн. прав.</t>
  </si>
  <si>
    <t>МАТ.РАД.122</t>
  </si>
  <si>
    <t>Радиатор биметаллический RIFAR SUPReMO Ventil 800 04 секц. нижн. прав.</t>
  </si>
  <si>
    <t>R-SU-800-04-VR</t>
  </si>
  <si>
    <t>МАТ.РАД.122 — Радиатор биметаллический RIFAR SUPReMO Ventil 800 04 секц. нижн. прав.</t>
  </si>
  <si>
    <t>МАТ.РАД.123</t>
  </si>
  <si>
    <t>Радиатор биметаллический RIFAR SUPReMO Ventil 800 05 секц. нижн. прав.</t>
  </si>
  <si>
    <t>R-SU-800-05-VR</t>
  </si>
  <si>
    <t>МАТ.РАД.123 — Радиатор биметаллический RIFAR SUPReMO Ventil 800 05 секц. нижн. прав.</t>
  </si>
  <si>
    <t>МАТ.РАД.124</t>
  </si>
  <si>
    <t>Радиатор биметаллический RIFAR SUPReMO Ventil 800 06 секц. нижн. прав.</t>
  </si>
  <si>
    <t>R-SU-800-06-VR</t>
  </si>
  <si>
    <t>МАТ.РАД.124 — Радиатор биметаллический RIFAR SUPReMO Ventil 800 06 секц. нижн. прав.</t>
  </si>
  <si>
    <t>МАТ.РАД.125</t>
  </si>
  <si>
    <t>Радиатор биметаллический RIFAR SUPReMO Ventil 800 07 секц. нижн. прав.</t>
  </si>
  <si>
    <t>R-SU-800-07-VR</t>
  </si>
  <si>
    <t>МАТ.РАД.125 — Радиатор биметаллический RIFAR SUPReMO Ventil 800 07 секц. нижн. прав.</t>
  </si>
  <si>
    <t>МАТ.РАД.126</t>
  </si>
  <si>
    <t>Радиатор биметаллический RIFAR SUPReMO Ventil 800 08 секц. нижн. прав.</t>
  </si>
  <si>
    <t>R-SU-800-08-VR</t>
  </si>
  <si>
    <t>МАТ.РАД.126 — Радиатор биметаллический RIFAR SUPReMO Ventil 800 08 секц. нижн. прав.</t>
  </si>
  <si>
    <t>МАТ.РАД.127</t>
  </si>
  <si>
    <t>Радиатор биметаллический RIFAR SUPReMO Ventil 800 09 секц. нижн. прав.</t>
  </si>
  <si>
    <t>R-SU-800-09-VR</t>
  </si>
  <si>
    <t>МАТ.РАД.127 — Радиатор биметаллический RIFAR SUPReMO Ventil 800 09 секц. нижн. прав.</t>
  </si>
  <si>
    <t>МАТ.РАД.128</t>
  </si>
  <si>
    <t>Радиатор биметаллический RIFAR SUPReMO Ventil 800 10 секц. нижн. прав.</t>
  </si>
  <si>
    <t>R-SU-800-10-VR</t>
  </si>
  <si>
    <t>МАТ.РАД.128 — Радиатор биметаллический RIFAR SUPReMO Ventil 800 10 секц. нижн. прав.</t>
  </si>
  <si>
    <t>МАТ.РАД.129</t>
  </si>
  <si>
    <t>Радиатор биметаллический RIFAR SUPReMO Ventil 800 11 секц. нижн. прав.</t>
  </si>
  <si>
    <t>R-SU-800-11-VR</t>
  </si>
  <si>
    <t>МАТ.РАД.129 — Радиатор биметаллический RIFAR SUPReMO Ventil 800 11 секц. нижн. прав.</t>
  </si>
  <si>
    <t>МАТ.РАД.130</t>
  </si>
  <si>
    <t>Радиатор биметаллический RIFAR SUPReMO Ventil 800 12 секц. нижн. прав.</t>
  </si>
  <si>
    <t>R-SU-800-12-VR</t>
  </si>
  <si>
    <t>МАТ.РАД.130 — Радиатор биметаллический RIFAR SUPReMO Ventil 800 12 секц. нижн. прав.</t>
  </si>
  <si>
    <t>МАТ.РАД.131</t>
  </si>
  <si>
    <t>Радиатор биметаллический RIFAR SUPReMO Ventil 800 13 секц. нижн. прав.</t>
  </si>
  <si>
    <t>R-SU-800-13-VR</t>
  </si>
  <si>
    <t>МАТ.РАД.131 — Радиатор биметаллический RIFAR SUPReMO Ventil 800 13 секц. нижн. прав.</t>
  </si>
  <si>
    <t>МАТ.РАД.132</t>
  </si>
  <si>
    <t>Радиатор биметаллический RIFAR SUPReMO Ventil 800 14 секц. нижн. прав.</t>
  </si>
  <si>
    <t>R-SU-800-14-VR</t>
  </si>
  <si>
    <t>МАТ.РАД.132 — Радиатор биметаллический RIFAR SUPReMO Ventil 800 14 секц. нижн. прав.</t>
  </si>
  <si>
    <t>МАТ.РАД.133</t>
  </si>
  <si>
    <t>Радиатор трубчатый RIFAR TUBOG 2057 10 секц. бок.</t>
  </si>
  <si>
    <t>TUB 2057-10</t>
  </si>
  <si>
    <t>МАТ.РАД.133 — Радиатор трубчатый RIFAR TUBOG 2057 10 секц. бок.</t>
  </si>
  <si>
    <t>МАТ.РАД.134</t>
  </si>
  <si>
    <t>Радиатор трубчатый RIFAR TUBOG 2180 10 секц. бок.</t>
  </si>
  <si>
    <t>TUB 2180-10</t>
  </si>
  <si>
    <t>МАТ.РАД.134 — Радиатор трубчатый RIFAR TUBOG 2180 10 секц. бок.</t>
  </si>
  <si>
    <t>МАТ.РАД.135</t>
  </si>
  <si>
    <t>Радиатор трубчатый RIFAR TUBOG 3037 10 секц. бок.</t>
  </si>
  <si>
    <t>TUB 3037-10</t>
  </si>
  <si>
    <t>МАТ.РАД.135 — Радиатор трубчатый RIFAR TUBOG 3037 10 секц. бок.</t>
  </si>
  <si>
    <t>МАТ.РАД.136</t>
  </si>
  <si>
    <t>Трубка РЕХАУ из. нерж. стали для подкл. радиатора, Г-образная 16/250</t>
  </si>
  <si>
    <t>11096641002</t>
  </si>
  <si>
    <t>МАТ.РАД.136 — Трубка РЕХАУ из. нерж. стали для подкл. радиатора, Г-образная 16/250</t>
  </si>
  <si>
    <t>МАТ.РАД.137</t>
  </si>
  <si>
    <t>Узел подключения радиатора H-образный Arrowhead Element, прямой, 3/4"- 3/4" (без ниппелей)</t>
  </si>
  <si>
    <t>216033</t>
  </si>
  <si>
    <t>МАТ.РАД.137 — Узел подключения радиатора H-образный Arrowhead Element, прямой, 3/4"- 3/4" (без ниппелей)</t>
  </si>
  <si>
    <t>МАТ.РАД.КОМПЛ.001</t>
  </si>
  <si>
    <t>КОМПЛЕКТ МОНТАЖНЫЙ 1/2 универсальный белый без кронштейнов</t>
  </si>
  <si>
    <t>КМУ12</t>
  </si>
  <si>
    <t>МАТ.РАД.КОМПЛ.001 — КОМПЛЕКТ МОНТАЖНЫЙ 1/2 универсальный белый без кронштейнов</t>
  </si>
  <si>
    <t>МАТ.РАД.КОМПЛ.002</t>
  </si>
  <si>
    <t>КОМПЛЕКТ МОНТАЖНЫЙ 3/4 универсальный белый без кронштейнов</t>
  </si>
  <si>
    <t>КМУ34</t>
  </si>
  <si>
    <t>МАТ.РАД.КОМПЛ.002 — КОМПЛЕКТ МОНТАЖНЫЙ 3/4 универсальный белый без кронштейнов</t>
  </si>
  <si>
    <t>МАТ.РАД.КОМПЛ.003</t>
  </si>
  <si>
    <t>Кронштейн напольный RIFAR (комплект 2 шт.)</t>
  </si>
  <si>
    <t>R.Ad.SW01</t>
  </si>
  <si>
    <t>МАТ.РАД.КОМПЛ.003 — Кронштейн напольный RIFAR (комплект 2 шт.)</t>
  </si>
  <si>
    <t>МАТ.РАД.КОМПЛ.004</t>
  </si>
  <si>
    <t>Кронштейн регулируемый RIFAR (комплект 2 шт.)</t>
  </si>
  <si>
    <t>R.Ad.SA01</t>
  </si>
  <si>
    <t>МАТ.РАД.КОМПЛ.004 — Кронштейн регулируемый RIFAR (комплект 2 шт.)</t>
  </si>
  <si>
    <t>МАТ.РАД.КОМПЛ.005</t>
  </si>
  <si>
    <t>Монтажный комплект RIFAR 1/2</t>
  </si>
  <si>
    <t>R.Ad.G12</t>
  </si>
  <si>
    <t>МАТ.РАД.КОМПЛ.005 — Монтажный комплект RIFAR 1/2</t>
  </si>
  <si>
    <t>МАТ.РАД.КОМПЛ.006</t>
  </si>
  <si>
    <t>Монтажный комплект RIFAR 3/4</t>
  </si>
  <si>
    <t>R.Ad.G34</t>
  </si>
  <si>
    <t>МАТ.РАД.КОМПЛ.006 — Монтажный комплект RIFAR 3/4</t>
  </si>
  <si>
    <t>МАТ.РАД.КОМПЛ.007</t>
  </si>
  <si>
    <t>Узел нижнего подключения RIFAR для 2-трубных систем угловой G3/4"</t>
  </si>
  <si>
    <t>R.Ad.L01</t>
  </si>
  <si>
    <t>МАТ.РАД.КОМПЛ.007 — Узел нижнего подключения RIFAR для 2-трубных систем угловой G3/4"</t>
  </si>
  <si>
    <t>МАТ.РАД.КОМПЛ.008</t>
  </si>
  <si>
    <t>Узел нижней подводки "RIFAR" двойной прямой евроконус G 3/4"</t>
  </si>
  <si>
    <t>R.Ad.H01</t>
  </si>
  <si>
    <t>МАТ.РАД.КОМПЛ.008 — Узел нижней подводки "RIFAR" двойной прямой евроконус G 3/4"</t>
  </si>
  <si>
    <t>МАТ.РАД.КОМПЛ.009</t>
  </si>
  <si>
    <t>твек. 6.3. Кронштейн "RIFAR" штырьевой бел. плоский 8х180</t>
  </si>
  <si>
    <t>ТВЕК63</t>
  </si>
  <si>
    <t>МАТ.РАД.КОМПЛ.009 — твек. 6.3. Кронштейн "RIFAR" штырьевой бел. плоский 8х180</t>
  </si>
  <si>
    <t>МАТ.РАД.КОМПЛ.010</t>
  </si>
  <si>
    <t>твек. 6.7. Кронштейн "DUETTO" штырьевой бел. плоский 9х220</t>
  </si>
  <si>
    <t>ТВЕК67</t>
  </si>
  <si>
    <t>МАТ.РАД.КОМПЛ.010 — твек. 6.7. Кронштейн "DUETTO" штырьевой бел. плоский 9х220</t>
  </si>
  <si>
    <t>МАТ.РАД.КОМПЛ.011</t>
  </si>
  <si>
    <t>твек. 6.7.01 Кронштейн штырьевой бел. плоский 9х260</t>
  </si>
  <si>
    <t>ТВЕК6701</t>
  </si>
  <si>
    <t>МАТ.РАД.КОМПЛ.011 — твек. 6.7.01 Кронштейн штырьевой бел. плоский 9х260</t>
  </si>
  <si>
    <t>МАТ.РАД.КОМПЛ.012</t>
  </si>
  <si>
    <t>твек. 6.8. Кронштейн SIRA RS штырьевой белый плоский 1,8 9х220</t>
  </si>
  <si>
    <t>ТВЕК68</t>
  </si>
  <si>
    <t>МАТ.РАД.КОМПЛ.012 — твек. 6.8. Кронштейн SIRA RS штырьевой белый плоский 1,8 9х220</t>
  </si>
  <si>
    <t>МАТ.РАД.КОМПЛ.013</t>
  </si>
  <si>
    <t>твек. 7.3. Кронштейн угл. универс. бел. "ЭЛЕГАНС" (2,0)</t>
  </si>
  <si>
    <t>ТВЕК73</t>
  </si>
  <si>
    <t>МАТ.РАД.КОМПЛ.013 — твек. 7.3. Кронштейн угл. универс. бел. "ЭЛЕГАНС" (2,0)</t>
  </si>
  <si>
    <t>МАТ.РАД.КОМПЛ.014</t>
  </si>
  <si>
    <t>твек. 7.8. Кронштейн усил. угловой универсальный белый "Элеганс" 1,7</t>
  </si>
  <si>
    <t>ТВЕК78</t>
  </si>
  <si>
    <t>МАТ.РАД.КОМПЛ.014 — твек. 7.8. Кронштейн усил. угловой универсальный белый "Элеганс" 1,7</t>
  </si>
  <si>
    <t>МАТ.РАД.КОМПЛ.015</t>
  </si>
  <si>
    <t>твек.10.1. Кронштейн напольный "RIFAR"</t>
  </si>
  <si>
    <t>ТВЕК101</t>
  </si>
  <si>
    <t>МАТ.РАД.КОМПЛ.015 — твек.10.1. Кронштейн напольный "RIFAR"</t>
  </si>
  <si>
    <t>МАТ.СВЕТ.001</t>
  </si>
  <si>
    <t>ANT Conical D250, H120 9W-4000K Susp BLK - Светильник</t>
  </si>
  <si>
    <t>2207881_ BLK</t>
  </si>
  <si>
    <t>REFLECTA</t>
  </si>
  <si>
    <t>Рефлекта</t>
  </si>
  <si>
    <t>МАТ.СВЕТ.001 — ANT Conical D250, H120 9W-4000K Susp BLK - Светильник</t>
  </si>
  <si>
    <t>МАТ.СВЕТ.002</t>
  </si>
  <si>
    <t>ANT Conical D250, H120 9W-4000K Susp RAL 3020 - Светильник</t>
  </si>
  <si>
    <t>2207881_ RAL 3020</t>
  </si>
  <si>
    <t>МАТ.СВЕТ.002 — ANT Conical D250, H120 9W-4000K Susp RAL 3020 - Светильник</t>
  </si>
  <si>
    <t>МАТ.СВЕТ.003</t>
  </si>
  <si>
    <t>ANT Conical D400 9W-4000K Susp BLK - Светильник</t>
  </si>
  <si>
    <t>2207884_ BLK</t>
  </si>
  <si>
    <t>МАТ.СВЕТ.003 — ANT Conical D400 9W-4000K Susp BLK - Светильник</t>
  </si>
  <si>
    <t>МАТ.СВЕТ.004</t>
  </si>
  <si>
    <t>ANT Conical D400 9W-4000K Susp RED RAL 3020- Светильник</t>
  </si>
  <si>
    <t>2207884_ RAL 3020</t>
  </si>
  <si>
    <t>МАТ.СВЕТ.004 — ANT Conical D400 9W-4000K Susp RED RAL 3020- Светильник</t>
  </si>
  <si>
    <t>МАТ.СВЕТ.005</t>
  </si>
  <si>
    <t>ANT Conical D600, H210 9W-4000K Susp BLK - Светильник</t>
  </si>
  <si>
    <t>2207887_ BLK</t>
  </si>
  <si>
    <t>МАТ.СВЕТ.005 — ANT Conical D600, H210 9W-4000K Susp BLK - Светильник</t>
  </si>
  <si>
    <t>МАТ.СВЕТ.006</t>
  </si>
  <si>
    <t>ANT Conical D600, H210 9W-4000K Susp RAL 3020 - Светильник</t>
  </si>
  <si>
    <t>2207887_RAL 3020</t>
  </si>
  <si>
    <t>МАТ.СВЕТ.006 — ANT Conical D600, H210 9W-4000K Susp RAL 3020 - Светильник</t>
  </si>
  <si>
    <t>МАТ.СВЕТ.007</t>
  </si>
  <si>
    <t>AURA ALFA 49W-4000K CRI 90 M1200x800 EDG (Triangle) - Светильник</t>
  </si>
  <si>
    <t>2204325</t>
  </si>
  <si>
    <t>МАТ.СВЕТ.007 — AURA ALFA 49W-4000K CRI 90 M1200x800 EDG (Triangle) - Светильник</t>
  </si>
  <si>
    <t>МАТ.СВЕТ.008</t>
  </si>
  <si>
    <t>1400140</t>
  </si>
  <si>
    <t>МАТ.СВЕТ.008 — Acc. Wire ↓ suspension 1500mm - Тросовый подвес с регулировкой внизу, 1 шт.</t>
  </si>
  <si>
    <t>МАТ.СВЕТ.009</t>
  </si>
  <si>
    <t>2309053_ WHI</t>
  </si>
  <si>
    <t>МАТ.СВЕТ.009 — Agat D80 31W/mt-4000K CRI 90 ROW Susp WHI - Светильник</t>
  </si>
  <si>
    <t>МАТ.СВЕТ.010</t>
  </si>
  <si>
    <t>Agat D80 35W-4000K CRI 90 M1200 Susp (драйвер выносной) WHI - Светильник</t>
  </si>
  <si>
    <t>2309027_ WHI</t>
  </si>
  <si>
    <t>МАТ.СВЕТ.010 — Agat D80 35W-4000K CRI 90 M1200 Susp (драйвер выносной) WHI - Светильник</t>
  </si>
  <si>
    <t>МАТ.СВЕТ.011</t>
  </si>
  <si>
    <t>Agat D80 37W/mt-4000K CRI 90 2xL24 270mA ROW Susp WHI, L=2135mm - Светильник</t>
  </si>
  <si>
    <t>2309054_2135 WHI</t>
  </si>
  <si>
    <t>МАТ.СВЕТ.011 — Agat D80 37W/mt-4000K CRI 90 2xL24 270mA ROW Susp WHI, L=2135mm - Светильник</t>
  </si>
  <si>
    <t>МАТ.СВЕТ.012</t>
  </si>
  <si>
    <t>Agat Vertical D80 12W-4000K CRI 90 H200 Susp (ceiling rose incl.) WHI - Светильник</t>
  </si>
  <si>
    <t>2409707_ WHI</t>
  </si>
  <si>
    <t>МАТ.СВЕТ.012 — Agat Vertical D80 12W-4000K CRI 90 H200 Susp (ceiling rose incl.) WHI - Светильник</t>
  </si>
  <si>
    <t>МАТ.СВЕТ.013</t>
  </si>
  <si>
    <t>Astra 1xD450 E27 max 40W Susp - Светильник</t>
  </si>
  <si>
    <t>2204207</t>
  </si>
  <si>
    <t>МАТ.СВЕТ.013 — Astra 1xD450 E27 max 40W Susp - Светильник</t>
  </si>
  <si>
    <t>МАТ.СВЕТ.014</t>
  </si>
  <si>
    <t>Astra-Chino Sphere D300 E27 max 40W Susp - Светильник</t>
  </si>
  <si>
    <t>2308819</t>
  </si>
  <si>
    <t>МАТ.СВЕТ.014 — Astra-Chino Sphere D300 E27 max 40W Susp - Светильник</t>
  </si>
  <si>
    <t>МАТ.СВЕТ.015</t>
  </si>
  <si>
    <t>Astra-Chino Sphere D400 E27 max 40W Susp - Светильник</t>
  </si>
  <si>
    <t>2400475</t>
  </si>
  <si>
    <t>МАТ.СВЕТ.015 — Astra-Chino Sphere D400 E27 max 40W Susp - Светильник</t>
  </si>
  <si>
    <t>МАТ.СВЕТ.016</t>
  </si>
  <si>
    <t>CSVT FLORA-50 27 993х50х70 CRI80 4000 microprisma IP40 красный AB (в комплекте с подвесом и заглушками)</t>
  </si>
  <si>
    <t>Arlight/ЦСС</t>
  </si>
  <si>
    <t>ЭТМ</t>
  </si>
  <si>
    <t>МАТ.СВЕТ.016 — CSVT FLORA-50 27 993х50х70 CRI80 4000 microprisma IP40 красный AB (в комплекте с подвесом и заглушками)</t>
  </si>
  <si>
    <t>МАТ.СВЕТ.017</t>
  </si>
  <si>
    <t>CSVT FLORA-50 36 1540х50х70 CRI80 4000 microprisma IP40 красный AB (в комплекте с подвесом и заглушками)</t>
  </si>
  <si>
    <t>МАТ.СВЕТ.017 — CSVT FLORA-50 36 1540х50х70 CRI80 4000 microprisma IP40 красный AB (в комплекте с подвесом и заглушками)</t>
  </si>
  <si>
    <t>МАТ.СВЕТ.018</t>
  </si>
  <si>
    <t>CSVT FLORA-50 52 1985х50х70 CRI80 4000 microprisma IP40 красный AB (в комплекте с подвесом и заглушками)</t>
  </si>
  <si>
    <t>МАТ.СВЕТ.018 — CSVT FLORA-50 52 1985х50х70 CRI80 4000 microprisma IP40 красный AB (в комплекте с подвесом и заглушками)</t>
  </si>
  <si>
    <t>МАТ.СВЕТ.019</t>
  </si>
  <si>
    <t>CSVT FLORA-50 70 3040х50х70 CRI80 4000 microprisma IP40 красный AB (в комплекте с подвесом и заглушками)</t>
  </si>
  <si>
    <t>МАТ.СВЕТ.019 — CSVT FLORA-50 70 3040х50х70 CRI80 4000 microprisma IP40 красный AB (в комплекте с подвесом и заглушками)</t>
  </si>
  <si>
    <t>МАТ.СВЕТ.020</t>
  </si>
  <si>
    <t>Calida MP ECO 16W/mt-4000K CRI 90 R-2850 Line_3575 ROW Susp BLK</t>
  </si>
  <si>
    <t>2204401_3575x60_ BLK</t>
  </si>
  <si>
    <t>МАТ.СВЕТ.020 — Calida MP ECO 16W/mt-4000K CRI 90 R-2850 Line_3575 ROW Susp BLK</t>
  </si>
  <si>
    <t>МАТ.СВЕТ.021</t>
  </si>
  <si>
    <t>Calida MP ECO 16W/mt-4000K CRI 90 R-8620 Line_2500 ROW Susp BLK</t>
  </si>
  <si>
    <t>2204401_2500x60_ BLK</t>
  </si>
  <si>
    <t>МАТ.СВЕТ.021 — Calida MP ECO 16W/mt-4000K CRI 90 R-8620 Line_2500 ROW Susp BLK</t>
  </si>
  <si>
    <t>МАТ.СВЕТ.022</t>
  </si>
  <si>
    <t>Calida MP ECO 16W/mt-4000K CRI 90 R-8620 Line_5764 ROW Susp BLK</t>
  </si>
  <si>
    <t>2204401_5764x60_ BLK</t>
  </si>
  <si>
    <t>МАТ.СВЕТ.022 — Calida MP ECO 16W/mt-4000K CRI 90 R-8620 Line_5764 ROW Susp BLK</t>
  </si>
  <si>
    <t>МАТ.СВЕТ.023</t>
  </si>
  <si>
    <t>Calida MP ECO 16W/mt-4000K CRI 90 R-XXX Line_XXXX ROW Susp BLK</t>
  </si>
  <si>
    <t>2204401_XXXXx60_ BLK</t>
  </si>
  <si>
    <t>МАТ.СВЕТ.023 — Calida MP ECO 16W/mt-4000K CRI 90 R-XXX Line_XXXX ROW Susp BLK</t>
  </si>
  <si>
    <t>МАТ.СВЕТ.024</t>
  </si>
  <si>
    <t>Calida MP ECO 16W/mt-4000K CRI 90 R-XXX Line_XXXX ROW Susp WHI</t>
  </si>
  <si>
    <t>2204401_XXXXx60_ WHI</t>
  </si>
  <si>
    <t>МАТ.СВЕТ.024 — Calida MP ECO 16W/mt-4000K CRI 90 R-XXX Line_XXXX ROW Susp WHI</t>
  </si>
  <si>
    <t>МАТ.СВЕТ.025</t>
  </si>
  <si>
    <t>Dew DI/IN 2 x 4.2W-4000K CRI 90 WALL BLK - Светильник</t>
  </si>
  <si>
    <t>2100390_ BLK</t>
  </si>
  <si>
    <t>МАТ.СВЕТ.025 — Dew DI/IN 2 x 4.2W-4000K CRI 90 WALL BLK - Светильник</t>
  </si>
  <si>
    <t>МАТ.СВЕТ.026</t>
  </si>
  <si>
    <t>FAT 12W-4000K CRI 90 H180 MP Susp BLK - Светильник</t>
  </si>
  <si>
    <t>2200669_ BLK</t>
  </si>
  <si>
    <t>МАТ.СВЕТ.026 — FAT 12W-4000K CRI 90 H180 MP Susp BLK - Светильник</t>
  </si>
  <si>
    <t>МАТ.СВЕТ.027</t>
  </si>
  <si>
    <t>FAT 12W-4000K CRI 90 H180 MP Susp RED - Светильник</t>
  </si>
  <si>
    <t>2200669_ RED</t>
  </si>
  <si>
    <t>МАТ.СВЕТ.027 — FAT 12W-4000K CRI 90 H180 MP Susp RED - Светильник</t>
  </si>
  <si>
    <t>МАТ.СВЕТ.028</t>
  </si>
  <si>
    <t>FAT 12W-4000K CRI 90 H180 MP Susp WHI - Светильник</t>
  </si>
  <si>
    <t>2200669_ WHI</t>
  </si>
  <si>
    <t>МАТ.СВЕТ.028 — FAT 12W-4000K CRI 90 H180 MP Susp WHI - Светильник</t>
  </si>
  <si>
    <t>МАТ.СВЕТ.029</t>
  </si>
  <si>
    <t>FAT 12W-4000K CRI 90 H95 MP Ceil BLK - Светильник потолочный. Предусмотреть выход кабеля сбоку</t>
  </si>
  <si>
    <t>2200580_ BLK</t>
  </si>
  <si>
    <t>МАТ.СВЕТ.029 — FAT 12W-4000K CRI 90 H95 MP Ceil BLK - Светильник потолочный. Предусмотреть выход кабеля сбоку</t>
  </si>
  <si>
    <t>МАТ.СВЕТ.030</t>
  </si>
  <si>
    <t>FAT 12W-4000K CRI 90 H95 MP Ceil WHI - Светильник потолочный. Предусмотреть выход кабеля сбоку</t>
  </si>
  <si>
    <t>2200580_ WHI</t>
  </si>
  <si>
    <t>МАТ.СВЕТ.030 — FAT 12W-4000K CRI 90 H95 MP Ceil WHI - Светильник потолочный. Предусмотреть выход кабеля сбоку</t>
  </si>
  <si>
    <t>МАТ.СВЕТ.031</t>
  </si>
  <si>
    <t>FAT 12W-4000K CRI 90 H95 MP Susp BLK - Светильник</t>
  </si>
  <si>
    <t>2200661_ BLK</t>
  </si>
  <si>
    <t>МАТ.СВЕТ.031 — FAT 12W-4000K CRI 90 H95 MP Susp BLK - Светильник</t>
  </si>
  <si>
    <t>МАТ.СВЕТ.032</t>
  </si>
  <si>
    <t>FAT 12W-4000K CRI 90 H95 MP Susp WHI - Светильник</t>
  </si>
  <si>
    <t>2200661_ WHI</t>
  </si>
  <si>
    <t>МАТ.СВЕТ.032 — FAT 12W-4000K CRI 90 H95 MP Susp WHI - Светильник</t>
  </si>
  <si>
    <t>МАТ.СВЕТ.033</t>
  </si>
  <si>
    <t>FAT 12W-4000K CRI 90 H95 REF 45`Ceil BLK - Светильник</t>
  </si>
  <si>
    <t>2309088_ BLK</t>
  </si>
  <si>
    <t>МАТ.СВЕТ.033 — FAT 12W-4000K CRI 90 H95 REF 45`Ceil BLK - Светильник</t>
  </si>
  <si>
    <t>МАТ.СВЕТ.034</t>
  </si>
  <si>
    <t>FAT 12W-4000K CRI 90 H95 REF 45`Ceil WHI - Светильник</t>
  </si>
  <si>
    <t>2309088_ WHI</t>
  </si>
  <si>
    <t>МАТ.СВЕТ.034 — FAT 12W-4000K CRI 90 H95 REF 45`Ceil WHI - Светильник</t>
  </si>
  <si>
    <t>МАТ.СВЕТ.035</t>
  </si>
  <si>
    <t>FAT 8W-4000K CRI 90 H180 MP Susp BLK - Светильник</t>
  </si>
  <si>
    <t>2200665_ BLK</t>
  </si>
  <si>
    <t>МАТ.СВЕТ.035 — FAT 8W-4000K CRI 90 H180 MP Susp BLK - Светильник</t>
  </si>
  <si>
    <t>МАТ.СВЕТ.036</t>
  </si>
  <si>
    <t>FAT 8W-4000K CRI 90 H180 MP Susp WHI - Светильник</t>
  </si>
  <si>
    <t>2200665_ WHI</t>
  </si>
  <si>
    <t>МАТ.СВЕТ.036 — FAT 8W-4000K CRI 90 H180 MP Susp WHI - Светильник</t>
  </si>
  <si>
    <t>МАТ.СВЕТ.037</t>
  </si>
  <si>
    <t>FAT 8W-4000K CRI 90 H180 REF 45`Ceil BLK - Светильник</t>
  </si>
  <si>
    <t>2502602_ BLK</t>
  </si>
  <si>
    <t>МАТ.СВЕТ.037 — FAT 8W-4000K CRI 90 H180 REF 45`Ceil BLK - Светильник</t>
  </si>
  <si>
    <t>МАТ.СВЕТ.038</t>
  </si>
  <si>
    <t>FAT 8W-4000K CRI 90 H180 REF 45`Ceil WHI - Светильник</t>
  </si>
  <si>
    <t>2502602_ WHI</t>
  </si>
  <si>
    <t>МАТ.СВЕТ.038 — FAT 8W-4000K CRI 90 H180 REF 45`Ceil WHI - Светильник</t>
  </si>
  <si>
    <t>МАТ.СВЕТ.039</t>
  </si>
  <si>
    <t>FAT 8W-4000K CRI 90 H180 REF45` Susp BLK - Светильник</t>
  </si>
  <si>
    <t>2407201_ BLK</t>
  </si>
  <si>
    <t>МАТ.СВЕТ.039 — FAT 8W-4000K CRI 90 H180 REF45` Susp BLK - Светильник</t>
  </si>
  <si>
    <t>МАТ.СВЕТ.040</t>
  </si>
  <si>
    <t>FAT 8W-4000K CRI 90 H180 REF45` Susp WHI - Светильник</t>
  </si>
  <si>
    <t>2407201_ WHI</t>
  </si>
  <si>
    <t>МАТ.СВЕТ.040 — FAT 8W-4000K CRI 90 H180 REF45` Susp WHI - Светильник</t>
  </si>
  <si>
    <t>МАТ.СВЕТ.041</t>
  </si>
  <si>
    <t>FAT 8W-4000K CRI 90 H95 MP Ceil BLK - Светильник потолочный. Предусмотреть выход кабеля сбоку</t>
  </si>
  <si>
    <t>2200576_ BLK</t>
  </si>
  <si>
    <t>МАТ.СВЕТ.041 — FAT 8W-4000K CRI 90 H95 MP Ceil BLK - Светильник потолочный. Предусмотреть выход кабеля сбоку</t>
  </si>
  <si>
    <t>МАТ.СВЕТ.042</t>
  </si>
  <si>
    <t>FAT 8W-4000K CRI 90 H95 MP Ceil WHI - Светильник потолочный. Предусмотреть выход кабеля сбоку</t>
  </si>
  <si>
    <t>2200576_ WHI</t>
  </si>
  <si>
    <t>МАТ.СВЕТ.042 — FAT 8W-4000K CRI 90 H95 MP Ceil WHI - Светильник потолочный. Предусмотреть выход кабеля сбоку</t>
  </si>
  <si>
    <t>МАТ.СВЕТ.043</t>
  </si>
  <si>
    <t>FAT 8W-4000K CRI 90 H95 MP Susp BLK - Светильник</t>
  </si>
  <si>
    <t>2200657_ BLK</t>
  </si>
  <si>
    <t>МАТ.СВЕТ.043 — FAT 8W-4000K CRI 90 H95 MP Susp BLK - Светильник</t>
  </si>
  <si>
    <t>МАТ.СВЕТ.044</t>
  </si>
  <si>
    <t>FAT 8W-4000K CRI 90 H95 MP Susp WHI - Светильник</t>
  </si>
  <si>
    <t>2200657_ WHI</t>
  </si>
  <si>
    <t>МАТ.СВЕТ.044 — FAT 8W-4000K CRI 90 H95 MP Susp WHI - Светильник</t>
  </si>
  <si>
    <t>МАТ.СВЕТ.045</t>
  </si>
  <si>
    <t>FAT Comfort 12W-4000K CRI 90 H130 MP Susp BLK - Светильник</t>
  </si>
  <si>
    <t>2200685_ BLK</t>
  </si>
  <si>
    <t>МАТ.СВЕТ.045 — FAT Comfort 12W-4000K CRI 90 H130 MP Susp BLK - Светильник</t>
  </si>
  <si>
    <t>МАТ.СВЕТ.046</t>
  </si>
  <si>
    <t>FAT Comfort 12W-4000K CRI 90 H130 MP Susp WHI - Светильник</t>
  </si>
  <si>
    <t>2200685_ WHI</t>
  </si>
  <si>
    <t>МАТ.СВЕТ.046 — FAT Comfort 12W-4000K CRI 90 H130 MP Susp WHI - Светильник</t>
  </si>
  <si>
    <t>МАТ.СВЕТ.047</t>
  </si>
  <si>
    <t>FAT Comfort 12W-4000K CRI 90 H215 MP Susp BLK - Светильник</t>
  </si>
  <si>
    <t>2200693_ BLK</t>
  </si>
  <si>
    <t>МАТ.СВЕТ.047 — FAT Comfort 12W-4000K CRI 90 H215 MP Susp BLK - Светильник</t>
  </si>
  <si>
    <t>МАТ.СВЕТ.048</t>
  </si>
  <si>
    <t>FAT Comfort 12W-4000K CRI 90 H215 MP Susp WHI - Светильник</t>
  </si>
  <si>
    <t>2200693_ WHI</t>
  </si>
  <si>
    <t>МАТ.СВЕТ.048 — FAT Comfort 12W-4000K CRI 90 H215 MP Susp WHI - Светильник</t>
  </si>
  <si>
    <t>МАТ.СВЕТ.049</t>
  </si>
  <si>
    <t>FAT Comfort 8W-4000K CRI 90 H130 MP Susp BLK - Светильник</t>
  </si>
  <si>
    <t>2200681_ BLK</t>
  </si>
  <si>
    <t>МАТ.СВЕТ.049 — FAT Comfort 8W-4000K CRI 90 H130 MP Susp BLK - Светильник</t>
  </si>
  <si>
    <t>МАТ.СВЕТ.050</t>
  </si>
  <si>
    <t>FAT Comfort 8W-4000K CRI 90 H130 MP Susp WHI - Светильник</t>
  </si>
  <si>
    <t>2200681_ WHI</t>
  </si>
  <si>
    <t>МАТ.СВЕТ.050 — FAT Comfort 8W-4000K CRI 90 H130 MP Susp WHI - Светильник</t>
  </si>
  <si>
    <t>МАТ.СВЕТ.051</t>
  </si>
  <si>
    <t>FAT Track 12W-4000K CRI 90 H95 MP ECO BLK - Светильник</t>
  </si>
  <si>
    <t>2200653_ BLK</t>
  </si>
  <si>
    <t>МАТ.СВЕТ.051 — FAT Track 12W-4000K CRI 90 H95 MP ECO BLK - Светильник</t>
  </si>
  <si>
    <t>МАТ.СВЕТ.052</t>
  </si>
  <si>
    <t>Gibrida 40 Base _ROW Recessed BLK - База</t>
  </si>
  <si>
    <t>1403175_ BLK</t>
  </si>
  <si>
    <t>МАТ.СВЕТ.052 — Gibrida 40 Base _ROW Recessed BLK - База</t>
  </si>
  <si>
    <t>МАТ.СВЕТ.053</t>
  </si>
  <si>
    <t>Gibrida 40 Base _ROW Recessed WHI - База</t>
  </si>
  <si>
    <t>1403175_ WHI</t>
  </si>
  <si>
    <t>МАТ.СВЕТ.053 — Gibrida 40 Base _ROW Recessed WHI - База</t>
  </si>
  <si>
    <t>МАТ.СВЕТ.054</t>
  </si>
  <si>
    <t>Gibrida 40/50.90⁰ - Соединение угловое 90⁰ BLK, подключен к магистральному линейному светильнику на заводе</t>
  </si>
  <si>
    <t>1904414_ BLK</t>
  </si>
  <si>
    <t>МАТ.СВЕТ.054 — Gibrida 40/50.90⁰ - Соединение угловое 90⁰ BLK, подключен к магистральному линейному светильнику на заводе</t>
  </si>
  <si>
    <t>МАТ.СВЕТ.055</t>
  </si>
  <si>
    <t>Gibrida 40/50.90⁰ - Соединение угловое 90⁰ WHI, подключен к магистральному линейному светильнику на заводе</t>
  </si>
  <si>
    <t>1904414_ WHI</t>
  </si>
  <si>
    <t>МАТ.СВЕТ.055 — Gibrida 40/50.90⁰ - Соединение угловое 90⁰ WHI, подключен к магистральному линейному светильнику на заводе</t>
  </si>
  <si>
    <t>МАТ.СВЕТ.056</t>
  </si>
  <si>
    <t>Gibrida 40/50.U-kit - Крепёж в потолок 1 шт.</t>
  </si>
  <si>
    <t>1403334</t>
  </si>
  <si>
    <t>МАТ.СВЕТ.056 — Gibrida 40/50.U-kit - Крепёж в потолок 1 шт.</t>
  </si>
  <si>
    <t>МАТ.СВЕТ.057</t>
  </si>
  <si>
    <t>МАТ.СВЕТ.057 — Gibrida 40/50.U-kit - Крепёж в потолок 1 шт.</t>
  </si>
  <si>
    <t>МАТ.СВЕТ.058</t>
  </si>
  <si>
    <t>Gibrida 40/50.VAR` - Соединение угловое ХХ`, подключен к магистральному светильнику на заводе</t>
  </si>
  <si>
    <t>1904415_ BLK</t>
  </si>
  <si>
    <t>МАТ.СВЕТ.058 — Gibrida 40/50.VAR` - Соединение угловое ХХ`, подключен к магистральному светильнику на заводе</t>
  </si>
  <si>
    <t>МАТ.СВЕТ.059</t>
  </si>
  <si>
    <t>Gibrida 61 Base _ROW Recessed - База</t>
  </si>
  <si>
    <t>1403238_</t>
  </si>
  <si>
    <t>МАТ.СВЕТ.059 — Gibrida 61 Base _ROW Recessed - База</t>
  </si>
  <si>
    <t>МАТ.СВЕТ.060</t>
  </si>
  <si>
    <t>Gibrida 61/71.U-kit - Крепёж в потолок 1 шт., брать 2 шт. на светильник или на 1,8 погонных м.</t>
  </si>
  <si>
    <t>1401895</t>
  </si>
  <si>
    <t>МАТ.СВЕТ.060 — Gibrida 61/71.U-kit - Крепёж в потолок 1 шт., брать 2 шт. на светильник или на 1,8 погонных м.</t>
  </si>
  <si>
    <t>МАТ.СВЕТ.061</t>
  </si>
  <si>
    <t>Gibrida Adj NET L40 9W-3000K CRI 90 M250 - Световой модуль</t>
  </si>
  <si>
    <t>2503189</t>
  </si>
  <si>
    <t>МАТ.СВЕТ.061 — Gibrida Adj NET L40 9W-3000K CRI 90 M250 - Световой модуль</t>
  </si>
  <si>
    <t>МАТ.СВЕТ.062</t>
  </si>
  <si>
    <t>Gibrida Adj Q70 MB 8W-4000K CRI 90 BLK - Световой модуль</t>
  </si>
  <si>
    <t>2200774_ BLK</t>
  </si>
  <si>
    <t>МАТ.СВЕТ.062 — Gibrida Adj Q70 MB 8W-4000K CRI 90 BLK - Световой модуль</t>
  </si>
  <si>
    <t>МАТ.СВЕТ.063</t>
  </si>
  <si>
    <t>Gibrida Adj Q70 MB 8W-4000K CRI 90 WHI - Световой модуль</t>
  </si>
  <si>
    <t>2200774_ WHI</t>
  </si>
  <si>
    <t>МАТ.СВЕТ.063 — Gibrida Adj Q70 MB 8W-4000K CRI 90 WHI - Световой модуль</t>
  </si>
  <si>
    <t>МАТ.СВЕТ.064</t>
  </si>
  <si>
    <t>Gibrida F L40 14W-4000K CRI 90 M500 BLK - Световой модуль</t>
  </si>
  <si>
    <t>2204875_ BLK</t>
  </si>
  <si>
    <t>МАТ.СВЕТ.064 — Gibrida F L40 14W-4000K CRI 90 M500 BLK - Световой модуль</t>
  </si>
  <si>
    <t>МАТ.СВЕТ.065</t>
  </si>
  <si>
    <t>Gibrida F L40 14W-4000K CRI 90 M500 WHI - Световой модуль</t>
  </si>
  <si>
    <t>2204875_ WHI</t>
  </si>
  <si>
    <t>МАТ.СВЕТ.065 — Gibrida F L40 14W-4000K CRI 90 M500 WHI - Световой модуль</t>
  </si>
  <si>
    <t>МАТ.СВЕТ.066</t>
  </si>
  <si>
    <t>Grata Slim SL D750 MP ECO 33W-4000K CRI 90 175mA Susp BLK - Светильник</t>
  </si>
  <si>
    <t>2308772_ BLK</t>
  </si>
  <si>
    <t>МАТ.СВЕТ.066 — Grata Slim SL D750 MP ECO 33W-4000K CRI 90 175mA Susp BLK - Светильник</t>
  </si>
  <si>
    <t>МАТ.СВЕТ.067</t>
  </si>
  <si>
    <t>Grata Slim SL D750 MP ECO 33W-4000K CRI 90 175mA Susp WHI - Светильник</t>
  </si>
  <si>
    <t>2308772_ WHI</t>
  </si>
  <si>
    <t>МАТ.СВЕТ.067 — Grata Slim SL D750 MP ECO 33W-4000K CRI 90 175mA Susp WHI - Светильник</t>
  </si>
  <si>
    <t>МАТ.СВЕТ.068</t>
  </si>
  <si>
    <t>Grata Slim SL D750 MP ECO 50W-4000K CRI 90 270mA Susp BLK - Светильник</t>
  </si>
  <si>
    <t>2205153_ BLK</t>
  </si>
  <si>
    <t>МАТ.СВЕТ.068 — Grata Slim SL D750 MP ECO 50W-4000K CRI 90 270mA Susp BLK - Светильник</t>
  </si>
  <si>
    <t>МАТ.СВЕТ.069</t>
  </si>
  <si>
    <t>Grata Slim SL D750 MP ECO 50W-4000K CRI 90 270mA Susp WHI - Светильник</t>
  </si>
  <si>
    <t>2205153_ WHI</t>
  </si>
  <si>
    <t>МАТ.СВЕТ.069 — Grata Slim SL D750 MP ECO 50W-4000K CRI 90 270mA Susp WHI - Светильник</t>
  </si>
  <si>
    <t>МАТ.СВЕТ.070</t>
  </si>
  <si>
    <t>Grata Slim SL D900 MP ECO 40W-4000K CRI 90 175mA Susp BLK - Светильник</t>
  </si>
  <si>
    <t>2205161_ BLK</t>
  </si>
  <si>
    <t>МАТ.СВЕТ.070 — Grata Slim SL D900 MP ECO 40W-4000K CRI 90 175mA Susp BLK - Светильник</t>
  </si>
  <si>
    <t>МАТ.СВЕТ.071</t>
  </si>
  <si>
    <t>Grata Slim SL D900 MP ECO 40W-4000K CRI 90 175mA Susp WHI - Светильник</t>
  </si>
  <si>
    <t>2205161_ WHI</t>
  </si>
  <si>
    <t>МАТ.СВЕТ.071 — Grata Slim SL D900 MP ECO 40W-4000K CRI 90 175mA Susp WHI - Светильник</t>
  </si>
  <si>
    <t>МАТ.СВЕТ.072</t>
  </si>
  <si>
    <t>Grata Slim SL D900 MP ECO 60W-4000K CRI 90 270mA Susp BLK- Светильник</t>
  </si>
  <si>
    <t>2205160_ BLK</t>
  </si>
  <si>
    <t>МАТ.СВЕТ.072 — Grata Slim SL D900 MP ECO 60W-4000K CRI 90 270mA Susp BLK- Светильник</t>
  </si>
  <si>
    <t>МАТ.СВЕТ.073</t>
  </si>
  <si>
    <t>Grata Slim SL D900 MP ECO 60W-4000K CRI 90 270mA Susp WHI- Светильник</t>
  </si>
  <si>
    <t>2205160_ WHI</t>
  </si>
  <si>
    <t>МАТ.СВЕТ.073 — Grata Slim SL D900 MP ECO 60W-4000K CRI 90 270mA Susp WHI- Светильник</t>
  </si>
  <si>
    <t>МАТ.СВЕТ.074</t>
  </si>
  <si>
    <t>IEK Светильник ДСП 1304 18Вт 4000К IP65 600мм - Светильник</t>
  </si>
  <si>
    <t>2409705</t>
  </si>
  <si>
    <t>Поставка REFLECTA</t>
  </si>
  <si>
    <t>МАТ.СВЕТ.074 — IEK Светильник ДСП 1304 18Вт 4000К IP65 600мм - Светильник</t>
  </si>
  <si>
    <t>МАТ.СВЕТ.075</t>
  </si>
  <si>
    <t>2200204</t>
  </si>
  <si>
    <t>МАТ.СВЕТ.075 — IEK Светильник ДСП 1318 48Вт 4500К IP65 1500мм</t>
  </si>
  <si>
    <t>МАТ.СВЕТ.076</t>
  </si>
  <si>
    <t>2203468</t>
  </si>
  <si>
    <t>МАТ.СВЕТ.076 — LED strip N2835 11W/m 24V 120led/m 1220Lm/m 4000K CRI90 IP20 5m</t>
  </si>
  <si>
    <t>МАТ.СВЕТ.077</t>
  </si>
  <si>
    <t>2200202</t>
  </si>
  <si>
    <t>МАТ.СВЕТ.077 — Led driver N24V45W</t>
  </si>
  <si>
    <t>МАТ.СВЕТ.078</t>
  </si>
  <si>
    <t>2200178</t>
  </si>
  <si>
    <t>МАТ.СВЕТ.078 — Led driver N24V60W</t>
  </si>
  <si>
    <t>МАТ.СВЕТ.079</t>
  </si>
  <si>
    <t>1400214</t>
  </si>
  <si>
    <t>МАТ.СВЕТ.079 — Longa 15/16/22 L=2000 mm PC Clear - Рассеиватель прозрачный</t>
  </si>
  <si>
    <t>МАТ.СВЕТ.080</t>
  </si>
  <si>
    <t>1400208</t>
  </si>
  <si>
    <t>МАТ.СВЕТ.080 — Longa 16 L=2000 mm h=12 ANO - Профиль накладной алюминиевый анодированный, цена за 2 п.м.</t>
  </si>
  <si>
    <t>МАТ.СВЕТ.081</t>
  </si>
  <si>
    <t>Longa 40 DI 15W/mt-4000K CRI 90 ROW 175mA Ceil RED, L=2775mm - Светильник</t>
  </si>
  <si>
    <t>2205599_2775 RED</t>
  </si>
  <si>
    <t>МАТ.СВЕТ.081 — Longa 40 DI 15W/mt-4000K CRI 90 ROW 175mA Ceil RED, L=2775mm - Светильник</t>
  </si>
  <si>
    <t>МАТ.СВЕТ.082</t>
  </si>
  <si>
    <t>Longa 40 DI 15W/mt-4000K CRI 90 ROW 175mA Susp BLK - Светильник</t>
  </si>
  <si>
    <t>2205725_ BLK</t>
  </si>
  <si>
    <t>МАТ.СВЕТ.082 — Longa 40 DI 15W/mt-4000K CRI 90 ROW 175mA Susp BLK - Светильник</t>
  </si>
  <si>
    <t>МАТ.СВЕТ.083</t>
  </si>
  <si>
    <t>Longa 40 DI 15W/mt-4000K CRI 90 ROW 175mA Susp RAL3020 - Светильник</t>
  </si>
  <si>
    <t>2205725_RAL3020</t>
  </si>
  <si>
    <t>МАТ.СВЕТ.083 — Longa 40 DI 15W/mt-4000K CRI 90 ROW 175mA Susp RAL3020 - Светильник</t>
  </si>
  <si>
    <t>МАТ.СВЕТ.084</t>
  </si>
  <si>
    <t>Longa 40 DI 15W/mt-4000K CRI 90 ROW 175mA Susp WHI - Светильник</t>
  </si>
  <si>
    <t>2205725_ WHI</t>
  </si>
  <si>
    <t>МАТ.СВЕТ.084 — Longa 40 DI 15W/mt-4000K CRI 90 ROW 175mA Susp WHI - Светильник</t>
  </si>
  <si>
    <t>МАТ.СВЕТ.085</t>
  </si>
  <si>
    <t>Longa 40 DI 20W-4000K CRI 90 M900 270mA Susp BLK - Светильник</t>
  </si>
  <si>
    <t>2205636_ BLK</t>
  </si>
  <si>
    <t>МАТ.СВЕТ.085 — Longa 40 DI 20W-4000K CRI 90 M900 270mA Susp BLK - Светильник</t>
  </si>
  <si>
    <t>МАТ.СВЕТ.086</t>
  </si>
  <si>
    <t>Longa 40 DI 20W-4000K CRI 90 M900 270mA Susp WHI - Светильник</t>
  </si>
  <si>
    <t>2205636_ WHI</t>
  </si>
  <si>
    <t>МАТ.СВЕТ.086 — Longa 40 DI 20W-4000K CRI 90 M900 270mA Susp WHI - Светильник</t>
  </si>
  <si>
    <t>МАТ.СВЕТ.087</t>
  </si>
  <si>
    <t>Longa 40 DI 22W/mt-4000K CRI 90 ROW 270mA Ceil BLK, L=2314mm - Светильник</t>
  </si>
  <si>
    <t>2205598_ 2314 BLK</t>
  </si>
  <si>
    <t>МАТ.СВЕТ.087 — Longa 40 DI 22W/mt-4000K CRI 90 ROW 270mA Ceil BLK, L=2314mm - Светильник</t>
  </si>
  <si>
    <t>МАТ.СВЕТ.088</t>
  </si>
  <si>
    <t>Longa 40 DI 22W/mt-4000K CRI 90 ROW 270mA Ceil WHI, L=2314mm - Светильник</t>
  </si>
  <si>
    <t>2205598_ 2314 WHI</t>
  </si>
  <si>
    <t>МАТ.СВЕТ.088 — Longa 40 DI 22W/mt-4000K CRI 90 ROW 270mA Ceil WHI, L=2314mm - Светильник</t>
  </si>
  <si>
    <t>МАТ.СВЕТ.089</t>
  </si>
  <si>
    <t>Longa 40 DI 22W/mt-4000K CRI 90 ROW 270mA Susp BLK - Светильник</t>
  </si>
  <si>
    <t>2205724_ BLK</t>
  </si>
  <si>
    <t>МАТ.СВЕТ.089 — Longa 40 DI 22W/mt-4000K CRI 90 ROW 270mA Susp BLK - Светильник</t>
  </si>
  <si>
    <t>МАТ.СВЕТ.090</t>
  </si>
  <si>
    <t>Longa 40 DI 22W/mt-4000K CRI 90 ROW 270mA Susp WHI - Светильник</t>
  </si>
  <si>
    <t>2205724_ WHI</t>
  </si>
  <si>
    <t>МАТ.СВЕТ.090 — Longa 40 DI 22W/mt-4000K CRI 90 ROW 270mA Susp WHI - Светильник</t>
  </si>
  <si>
    <t>МАТ.СВЕТ.091</t>
  </si>
  <si>
    <t>Longa 40 DI 25W-4000K CRI 90 M1200 270mA Susp BLK - Светильник</t>
  </si>
  <si>
    <t>2205657_ BLK</t>
  </si>
  <si>
    <t>МАТ.СВЕТ.091 — Longa 40 DI 25W-4000K CRI 90 M1200 270mA Susp BLK - Светильник</t>
  </si>
  <si>
    <t>МАТ.СВЕТ.092</t>
  </si>
  <si>
    <t>Longa 40 DI 25W-4000K CRI 90 M1200 270mA Susp WHI - Светильник</t>
  </si>
  <si>
    <t>2205657_ WHI</t>
  </si>
  <si>
    <t>МАТ.СВЕТ.092 — Longa 40 DI 25W-4000K CRI 90 M1200 270mA Susp WHI - Светильник</t>
  </si>
  <si>
    <t>МАТ.СВЕТ.093</t>
  </si>
  <si>
    <t>2205838_ WHI</t>
  </si>
  <si>
    <t>МАТ.СВЕТ.093 — Longa 40 DI 26W-4000K CRI 90 M900 WALL WHI - Светильник</t>
  </si>
  <si>
    <t>МАТ.СВЕТ.094</t>
  </si>
  <si>
    <t>Longa 40 DI 29W/mt-4000K CRI 90 ROW Ceil BLK - Светильник</t>
  </si>
  <si>
    <t>2205597_ BLK</t>
  </si>
  <si>
    <t>МАТ.СВЕТ.094 — Longa 40 DI 29W/mt-4000K CRI 90 ROW Ceil BLK - Светильник</t>
  </si>
  <si>
    <t>МАТ.СВЕТ.095</t>
  </si>
  <si>
    <t>Longa 40 DI 29W/mt-4000K CRI 90 ROW Ceil WHI - Светильник</t>
  </si>
  <si>
    <t>2205597_ WHI</t>
  </si>
  <si>
    <t>МАТ.СВЕТ.095 — Longa 40 DI 29W/mt-4000K CRI 90 ROW Ceil WHI - Светильник</t>
  </si>
  <si>
    <t>МАТ.СВЕТ.096</t>
  </si>
  <si>
    <t>Longa 40 DI 29W/mt-4000K CRI 90 ROW Susp BLK - Светильник</t>
  </si>
  <si>
    <t>2205719_ BLK</t>
  </si>
  <si>
    <t>МАТ.СВЕТ.096 — Longa 40 DI 29W/mt-4000K CRI 90 ROW Susp BLK - Светильник</t>
  </si>
  <si>
    <t>МАТ.СВЕТ.097</t>
  </si>
  <si>
    <t>Longa 40 DI 29W/mt-4000K CRI 90 ROW Susp WHI - Светильник</t>
  </si>
  <si>
    <t>2205719_ WHI</t>
  </si>
  <si>
    <t>МАТ.СВЕТ.097 — Longa 40 DI 29W/mt-4000K CRI 90 ROW Susp WHI - Светильник</t>
  </si>
  <si>
    <t>МАТ.СВЕТ.098</t>
  </si>
  <si>
    <t>Longa 40 DI 29W/mt-4000K CRI 90 ROW WALL WHI - Светильник</t>
  </si>
  <si>
    <t>2205850_XXX_ WHI</t>
  </si>
  <si>
    <t>МАТ.СВЕТ.098 — Longa 40 DI 29W/mt-4000K CRI 90 ROW WALL WHI - Светильник</t>
  </si>
  <si>
    <t>МАТ.СВЕТ.099</t>
  </si>
  <si>
    <t>Longa 40 DI 33W-4000K CRI 90 M1200 Susp BLK - Светильник</t>
  </si>
  <si>
    <t>2205651_ BLK</t>
  </si>
  <si>
    <t>МАТ.СВЕТ.099 — Longa 40 DI 33W-4000K CRI 90 M1200 Susp BLK - Светильник</t>
  </si>
  <si>
    <t>МАТ.СВЕТ.100</t>
  </si>
  <si>
    <t>Longa 40 DI 33W-4000K CRI 90 M1200 Susp WHI - Светильник</t>
  </si>
  <si>
    <t>2205651_ WHI</t>
  </si>
  <si>
    <t>МАТ.СВЕТ.100 — Longa 40 DI 33W-4000K CRI 90 M1200 Susp WHI - Светильник</t>
  </si>
  <si>
    <t>МАТ.СВЕТ.101</t>
  </si>
  <si>
    <t>Longa 40 DI 33W-4000K CRI 90 M1200 WALL WHI - Светильник</t>
  </si>
  <si>
    <t>2205842_ WHI</t>
  </si>
  <si>
    <t>МАТ.СВЕТ.101 — Longa 40 DI 33W-4000K CRI 90 M1200 WALL WHI - Светильник</t>
  </si>
  <si>
    <t>МАТ.СВЕТ.102</t>
  </si>
  <si>
    <t>Longa 40 DI 39W-4000K CRI 90 M1400 Susp BLK, L=1392mm - Светильник</t>
  </si>
  <si>
    <t>2205670_1392_ BLK</t>
  </si>
  <si>
    <t>МАТ.СВЕТ.102 — Longa 40 DI 39W-4000K CRI 90 M1400 Susp BLK, L=1392mm - Светильник</t>
  </si>
  <si>
    <t>МАТ.СВЕТ.103</t>
  </si>
  <si>
    <t>2205670_1392_ WHI</t>
  </si>
  <si>
    <t>МАТ.СВЕТ.103 — Longa 40 DI 39W-4000K CRI 90 M1400 Susp WHI, L=1392mm - Светильник</t>
  </si>
  <si>
    <t>МАТ.СВЕТ.104</t>
  </si>
  <si>
    <t>Longa 40 DI 39W-4000K CRI 90 M1400 WALL BLK, L=1392mm - Светильник</t>
  </si>
  <si>
    <t>2205846_ BLK</t>
  </si>
  <si>
    <t>МАТ.СВЕТ.104 — Longa 40 DI 39W-4000K CRI 90 M1400 WALL BLK, L=1392mm - Светильник</t>
  </si>
  <si>
    <t>МАТ.СВЕТ.105</t>
  </si>
  <si>
    <t>Longa 40 DI 44W/mt-4000K CRI 90 2xL24 Reduced ROW Ceil BLK - Светильник</t>
  </si>
  <si>
    <t>2205601_ BLK</t>
  </si>
  <si>
    <t>МАТ.СВЕТ.105 — Longa 40 DI 44W/mt-4000K CRI 90 2xL24 Reduced ROW Ceil BLK - Светильник</t>
  </si>
  <si>
    <t>МАТ.СВЕТ.106</t>
  </si>
  <si>
    <t>Longa 40 DI 44W/mt-4000K CRI 90 2xL24 Reduced ROW Ceil WHI - Светильник</t>
  </si>
  <si>
    <t>2205601_ WHI</t>
  </si>
  <si>
    <t>МАТ.СВЕТ.106 — Longa 40 DI 44W/mt-4000K CRI 90 2xL24 Reduced ROW Ceil WHI - Светильник</t>
  </si>
  <si>
    <t>МАТ.СВЕТ.107</t>
  </si>
  <si>
    <t>Longa 40 DI 65W-4000K CRI 90 M1200 2xL24 Susp BLK - Светильник</t>
  </si>
  <si>
    <t>2205653_ BLK</t>
  </si>
  <si>
    <t>МАТ.СВЕТ.107 — Longa 40 DI 65W-4000K CRI 90 M1200 2xL24 Susp BLK - Светильник</t>
  </si>
  <si>
    <t>МАТ.СВЕТ.108</t>
  </si>
  <si>
    <t>Longa 40 DI 65W-4000K CRI 90 M1200 2xL24 Susp WHI - Светильник</t>
  </si>
  <si>
    <t>2205653_ WHI</t>
  </si>
  <si>
    <t>МАТ.СВЕТ.108 — Longa 40 DI 65W-4000K CRI 90 M1200 2xL24 Susp WHI - Светильник</t>
  </si>
  <si>
    <t>МАТ.СВЕТ.109</t>
  </si>
  <si>
    <t>Longa 40 DI ADJ 14W-4000K CRI 90 M500 WALL - Светильник</t>
  </si>
  <si>
    <t>2205820</t>
  </si>
  <si>
    <t>МАТ.СВЕТ.109 — Longa 40 DI ADJ 14W-4000K CRI 90 M500 WALL - Светильник</t>
  </si>
  <si>
    <t>МАТ.СВЕТ.110</t>
  </si>
  <si>
    <t>Longa 40 DI/IN 20W-4000K CRI 90 M700 270mA WALL RAL3028 - Светильник</t>
  </si>
  <si>
    <t>2205875_ Reduced RAL3028</t>
  </si>
  <si>
    <t>МАТ.СВЕТ.110 — Longa 40 DI/IN 20W-4000K CRI 90 M700 270mA WALL RAL3028 - Светильник</t>
  </si>
  <si>
    <t>МАТ.СВЕТ.111</t>
  </si>
  <si>
    <t>Longa 40 DI/IN M1200 39W-4000K CRI 90 One head Floor (Switch PUSH dimmer function) BLK - Светильник</t>
  </si>
  <si>
    <t>2205810_ BLK</t>
  </si>
  <si>
    <t>МАТ.СВЕТ.111 — Longa 40 DI/IN M1200 39W-4000K CRI 90 One head Floor (Switch PUSH dimmer function) BLK - Светильник</t>
  </si>
  <si>
    <t>МАТ.СВЕТ.112</t>
  </si>
  <si>
    <t>Longa 40 DI/IN M1200 39W-4000K CRI 90 One head Floor (Switch PUSH dimmer function) WHI - Светильник</t>
  </si>
  <si>
    <t>2205810_ WHI</t>
  </si>
  <si>
    <t>МАТ.СВЕТ.112 — Longa 40 DI/IN M1200 39W-4000K CRI 90 One head Floor (Switch PUSH dimmer function) WHI - Светильник</t>
  </si>
  <si>
    <t>МАТ.СВЕТ.113</t>
  </si>
  <si>
    <t>Longa 40 DI_IN 33W-4000K CRI 90 M1200 270mA WALL RAL3028 - Светильник</t>
  </si>
  <si>
    <t>2205883_Reduced RAL3028</t>
  </si>
  <si>
    <t>МАТ.СВЕТ.113 — Longa 40 DI_IN 33W-4000K CRI 90 M1200 270mA WALL RAL3028 - Светильник</t>
  </si>
  <si>
    <t>МАТ.СВЕТ.114</t>
  </si>
  <si>
    <t>Longa 40.3D` - Соединие 3D`</t>
  </si>
  <si>
    <t>1400388</t>
  </si>
  <si>
    <t>МАТ.СВЕТ.114 — Longa 40.3D` - Соединие 3D`</t>
  </si>
  <si>
    <t>МАТ.СВЕТ.115</t>
  </si>
  <si>
    <t>Longa 40.90⁰ - Соединение угловое 90⁰, подключен к магистральному линейному светильнику на заводе</t>
  </si>
  <si>
    <t>1401627</t>
  </si>
  <si>
    <t>МАТ.СВЕТ.115 — Longa 40.90⁰ - Соединение угловое 90⁰, подключен к магистральному линейному светильнику на заводе</t>
  </si>
  <si>
    <t>МАТ.СВЕТ.116</t>
  </si>
  <si>
    <t>Longa 40/50.VAR` - Соединение угловое ХХ`, подключен к магистральному светильнику на заводе</t>
  </si>
  <si>
    <t>1401701</t>
  </si>
  <si>
    <t>МАТ.СВЕТ.116 — Longa 40/50.VAR` - Соединение угловое ХХ`, подключен к магистральному светильнику на заводе</t>
  </si>
  <si>
    <t>МАТ.СВЕТ.117</t>
  </si>
  <si>
    <t>Longa 61 15W/mt-4000K CRI 90 MP 175mA ROW Susp BLK - Светильник</t>
  </si>
  <si>
    <t>2206002_ BLK</t>
  </si>
  <si>
    <t>МАТ.СВЕТ.117 — Longa 61 15W/mt-4000K CRI 90 MP 175mA ROW Susp BLK - Светильник</t>
  </si>
  <si>
    <t>МАТ.СВЕТ.118</t>
  </si>
  <si>
    <t>Longa 61 15W/mt-4000K CRI 90 MP 175mA ROW Susp WHI - Светильник</t>
  </si>
  <si>
    <t>2206002_ WHI</t>
  </si>
  <si>
    <t>МАТ.СВЕТ.118 — Longa 61 15W/mt-4000K CRI 90 MP 175mA ROW Susp WHI - Светильник</t>
  </si>
  <si>
    <t>МАТ.СВЕТ.119</t>
  </si>
  <si>
    <t>Longa 61 22W/mt-4000K CRI 90 MP 270mA ROW Ceil BLK, L=XXXXmm - Светильник потолочный. Предусмотреть выход кабеля сбоку</t>
  </si>
  <si>
    <t>2205944_XXXX_ BLK</t>
  </si>
  <si>
    <t>МАТ.СВЕТ.119 — Longa 61 22W/mt-4000K CRI 90 MP 270mA ROW Ceil BLK, L=XXXXmm - Светильник потолочный. Предусмотреть выход кабеля сбоку</t>
  </si>
  <si>
    <t>МАТ.СВЕТ.120</t>
  </si>
  <si>
    <t>Longa 61 22W/mt-4000K CRI 90 MP 270mA ROW Ceil WHI, L=XXXXmm - Светильник потолочный. Предусмотреть выход кабеля сбоку</t>
  </si>
  <si>
    <t>2205944_XXXX_ WHI</t>
  </si>
  <si>
    <t>МАТ.СВЕТ.120 — Longa 61 22W/mt-4000K CRI 90 MP 270mA ROW Ceil WHI, L=XXXXmm - Светильник потолочный. Предусмотреть выход кабеля сбоку</t>
  </si>
  <si>
    <t>МАТ.СВЕТ.121</t>
  </si>
  <si>
    <t>Longa 61 25W-4000K CRI 90 MP 270mA M1200 Susp BLK - Светильник</t>
  </si>
  <si>
    <t>2205976_ BLK</t>
  </si>
  <si>
    <t>МАТ.СВЕТ.121 — Longa 61 25W-4000K CRI 90 MP 270mA M1200 Susp BLK - Светильник</t>
  </si>
  <si>
    <t>МАТ.СВЕТ.122</t>
  </si>
  <si>
    <t>Longa 61 25W-4000K CRI 90 MP 270mA M1200 Susp WHI - Светильник</t>
  </si>
  <si>
    <t>2205976_ WHI</t>
  </si>
  <si>
    <t>МАТ.СВЕТ.122 — Longa 61 25W-4000K CRI 90 MP 270mA M1200 Susp WHI - Светильник</t>
  </si>
  <si>
    <t>МАТ.СВЕТ.123</t>
  </si>
  <si>
    <t>2205970_ BLK</t>
  </si>
  <si>
    <t>МАТ.СВЕТ.123 — Longa 61 35W-4000K CRI 90 MP M1200 Susp BLK - Светильник</t>
  </si>
  <si>
    <t>МАТ.СВЕТ.124</t>
  </si>
  <si>
    <t>Longa 61 35W-4000K CRI 90 MP M1200 Susp WHI - Светильник</t>
  </si>
  <si>
    <t>2205970_ WHI</t>
  </si>
  <si>
    <t>МАТ.СВЕТ.124 — Longa 61 35W-4000K CRI 90 MP M1200 Susp WHI - Светильник</t>
  </si>
  <si>
    <t>МАТ.СВЕТ.125</t>
  </si>
  <si>
    <t>Longa 61 37W-4000K CRI 90 390mA MP M1200 Susp BLK - Светильник</t>
  </si>
  <si>
    <t>2205971_ BLK</t>
  </si>
  <si>
    <t>МАТ.СВЕТ.125 — Longa 61 37W-4000K CRI 90 390mA MP M1200 Susp BLK - Светильник</t>
  </si>
  <si>
    <t>МАТ.СВЕТ.126</t>
  </si>
  <si>
    <t>Longa 61 37W-4000K CRI 90 390mA MP M1200 Susp WHI - Светильник</t>
  </si>
  <si>
    <t>2205971_ WHI</t>
  </si>
  <si>
    <t>МАТ.СВЕТ.126 — Longa 61 37W-4000K CRI 90 390mA MP M1200 Susp WHI - Светильник</t>
  </si>
  <si>
    <t>МАТ.СВЕТ.127</t>
  </si>
  <si>
    <t>Longa 61 46W-4000K CRI 90 MP 2xL24 270mA M1200 Susp BLK - Светильник</t>
  </si>
  <si>
    <t>2205973_ BLK</t>
  </si>
  <si>
    <t>МАТ.СВЕТ.127 — Longa 61 46W-4000K CRI 90 MP 2xL24 270mA M1200 Susp BLK - Светильник</t>
  </si>
  <si>
    <t>МАТ.СВЕТ.128</t>
  </si>
  <si>
    <t>Longa 61 46W-4000K CRI 90 MP 2xL24 270mA M1200 Susp WHI - Светильник</t>
  </si>
  <si>
    <t>2205973_ WHI</t>
  </si>
  <si>
    <t>МАТ.СВЕТ.128 — Longa 61 46W-4000K CRI 90 MP 2xL24 270mA M1200 Susp WHI - Светильник</t>
  </si>
  <si>
    <t>МАТ.СВЕТ.129</t>
  </si>
  <si>
    <t>Longa 61/71.U-kit - Крепёж в потолок 1 шт.</t>
  </si>
  <si>
    <t>1400131</t>
  </si>
  <si>
    <t>МАТ.СВЕТ.129 — Longa 61/71.U-kit - Крепёж в потолок 1 шт.</t>
  </si>
  <si>
    <t>МАТ.СВЕТ.130</t>
  </si>
  <si>
    <t>МАТ.СВЕТ.130 — Longa 61/71.U-kit - Крепёж в потолок 1 шт.</t>
  </si>
  <si>
    <t>МАТ.СВЕТ.131</t>
  </si>
  <si>
    <t>Longa 71 39W-4000K CRI 90 MP M1400 Recess WHI - Светильник</t>
  </si>
  <si>
    <t>2206099_ WHI</t>
  </si>
  <si>
    <t>МАТ.СВЕТ.131 — Longa 71 39W-4000K CRI 90 MP M1400 Recess WHI - Светильник</t>
  </si>
  <si>
    <t>МАТ.СВЕТ.132</t>
  </si>
  <si>
    <t>Longa 71 45W-4000K CRI 90 MP ROW Recess WHI - Светильник</t>
  </si>
  <si>
    <t>2206113_ WHI</t>
  </si>
  <si>
    <t>МАТ.СВЕТ.132 — Longa 71 45W-4000K CRI 90 MP ROW Recess WHI - Светильник</t>
  </si>
  <si>
    <t>МАТ.СВЕТ.133</t>
  </si>
  <si>
    <t>MICA D190 14W-4000K CRI 90 Recess MP ECO BLK - Светильник</t>
  </si>
  <si>
    <t>2206137_ BLK</t>
  </si>
  <si>
    <t>МАТ.СВЕТ.133 — MICA D190 14W-4000K CRI 90 Recess MP ECO BLK - Светильник</t>
  </si>
  <si>
    <t>МАТ.СВЕТ.134</t>
  </si>
  <si>
    <t>2206137_ WHI</t>
  </si>
  <si>
    <t>МАТ.СВЕТ.134 — MICA D190 14W-4000K CRI 90 Recess MP ECO WHI - Светильник</t>
  </si>
  <si>
    <t>МАТ.СВЕТ.135</t>
  </si>
  <si>
    <t>MICA System Base Kit, ROW Susp BLK, L=XXXXmm - База</t>
  </si>
  <si>
    <t>2100369_XXXX BLK</t>
  </si>
  <si>
    <t>МАТ.СВЕТ.135 — MICA System Base Kit, ROW Susp BLK, L=XXXXmm - База</t>
  </si>
  <si>
    <t>МАТ.СВЕТ.136</t>
  </si>
  <si>
    <t>MICA System D330 27W-4000K CRI 90 MP ECO BLK - Светильник</t>
  </si>
  <si>
    <t>2206251 BLK</t>
  </si>
  <si>
    <t>МАТ.СВЕТ.136 — MICA System D330 27W-4000K CRI 90 MP ECO BLK - Светильник</t>
  </si>
  <si>
    <t>МАТ.СВЕТ.137</t>
  </si>
  <si>
    <t>Nuby 600x600 LongPrism T15-24 20W-4000K CRI 90 M600 175mA Recess - Светильник</t>
  </si>
  <si>
    <t>2206306_LOW_ WHI</t>
  </si>
  <si>
    <t>МАТ.СВЕТ.137 — Nuby 600x600 LongPrism T15-24 20W-4000K CRI 90 M600 175mA Recess - Светильник</t>
  </si>
  <si>
    <t>МАТ.СВЕТ.138</t>
  </si>
  <si>
    <t>Nuby 600x600 LongPrism T15-24 30W-4000K CRI 90 M600 270mA Recess - Светильник</t>
  </si>
  <si>
    <t>2206306_Reduced_ WHI</t>
  </si>
  <si>
    <t>МАТ.СВЕТ.138 — Nuby 600x600 LongPrism T15-24 30W-4000K CRI 90 M600 270mA Recess - Светильник</t>
  </si>
  <si>
    <t>МАТ.СВЕТ.139</t>
  </si>
  <si>
    <t>Nuby 600x600 LongPrism T15-24 39W-4000K CRI 90 M600 Recess - Светильник</t>
  </si>
  <si>
    <t>2206306_ WHI</t>
  </si>
  <si>
    <t>МАТ.СВЕТ.139 — Nuby 600x600 LongPrism T15-24 39W-4000K CRI 90 M600 Recess - Светильник</t>
  </si>
  <si>
    <t>МАТ.СВЕТ.140</t>
  </si>
  <si>
    <t>O-Brant D600, L1750 25W-4000K CRI 90 Susp BLK - Светильник</t>
  </si>
  <si>
    <t>2503502_ BLK</t>
  </si>
  <si>
    <t>МАТ.СВЕТ.140 — O-Brant D600, L1750 25W-4000K CRI 90 Susp BLK - Светильник</t>
  </si>
  <si>
    <t>МАТ.СВЕТ.141</t>
  </si>
  <si>
    <t>ORTUS SORES 1000 св-к подвесной/накладной LED 76W/4000K (КРАСНЫЙ RAL 3020 ШАГРЕНЬ)</t>
  </si>
  <si>
    <t>Prof-LED</t>
  </si>
  <si>
    <t>МАТ.СВЕТ.141 — ORTUS SORES 1000 св-к подвесной/накладной LED 76W/4000K (КРАСНЫЙ RAL 3020 ШАГРЕНЬ)</t>
  </si>
  <si>
    <t>МАТ.СВЕТ.142</t>
  </si>
  <si>
    <t>ORTUS SORES 1000 св-к подвесной/накладной LED 76W/4000K DIMM 0-10V (КРАСНЫЙ RAL 3020 ШАГРЕНЬ)</t>
  </si>
  <si>
    <t>МАТ.СВЕТ.142 — ORTUS SORES 1000 св-к подвесной/накладной LED 76W/4000K DIMM 0-10V (КРАСНЫЙ RAL 3020 ШАГРЕНЬ)</t>
  </si>
  <si>
    <t>МАТ.СВЕТ.143</t>
  </si>
  <si>
    <t>ORTUS SORES 1500 св-к подвесной LED 124W/4000K DIMM 0-10V (КРАСНЫЙ RAL 3020 ШАГРЕНЬ)</t>
  </si>
  <si>
    <t>МАТ.СВЕТ.143 — ORTUS SORES 1500 св-к подвесной LED 124W/4000K DIMM 0-10V (КРАСНЫЙ RAL 3020 ШАГРЕНЬ)</t>
  </si>
  <si>
    <t>МАТ.СВЕТ.144</t>
  </si>
  <si>
    <t>ORTUS SORES 2000 св-к подвесной LED 192W/4000K DIMM 0-10V (КРАСНЫЙ RAL 3020 ШАГРЕНЬ)</t>
  </si>
  <si>
    <t>МАТ.СВЕТ.144 — ORTUS SORES 2000 св-к подвесной LED 192W/4000K DIMM 0-10V (КРАСНЫЙ RAL 3020 ШАГРЕНЬ)</t>
  </si>
  <si>
    <t>МАТ.СВЕТ.145</t>
  </si>
  <si>
    <t>ORTUS SORES 2500 св-к подвесной LED 285W/4000K DIMM 0-10V (КРАСНЫЙ RAL 3020 ШАГРЕНЬ)</t>
  </si>
  <si>
    <t>МАТ.СВЕТ.145 — ORTUS SORES 2500 св-к подвесной LED 285W/4000K DIMM 0-10V (КРАСНЫЙ RAL 3020 ШАГРЕНЬ)</t>
  </si>
  <si>
    <t>МАТ.СВЕТ.146</t>
  </si>
  <si>
    <t>ORTUS SORES 650 св-к накладной LED 53W/4000K (СЕРЫЙ RAL 7047 МАТОВЫЙ)</t>
  </si>
  <si>
    <t>МАТ.СВЕТ.146 — ORTUS SORES 650 св-к накладной LED 53W/4000K (СЕРЫЙ RAL 7047 МАТОВЫЙ)</t>
  </si>
  <si>
    <t>МАТ.СВЕТ.147</t>
  </si>
  <si>
    <t>ORTUS SORES 650 св-к подвесной LED 53W/4000K подвес 1,5м (СЕРЫЙ RAL 7047 МАТОВЫЙ)</t>
  </si>
  <si>
    <t>МАТ.СВЕТ.147 — ORTUS SORES 650 св-к подвесной LED 53W/4000K подвес 1,5м (СЕРЫЙ RAL 7047 МАТОВЫЙ)</t>
  </si>
  <si>
    <t>МАТ.СВЕТ.148</t>
  </si>
  <si>
    <t>PLS-36-2 Соединитель T-образный для шинопровода, черный</t>
  </si>
  <si>
    <t>МАТ.СВЕТ.148 — PLS-36-2 Соединитель T-образный для шинопровода, черный</t>
  </si>
  <si>
    <t>МАТ.СВЕТ.149</t>
  </si>
  <si>
    <t>PLS-37-2 Соединитель T-образный для шинопровода, черный</t>
  </si>
  <si>
    <t>МАТ.СВЕТ.149 — PLS-37-2 Соединитель T-образный для шинопровода, черный</t>
  </si>
  <si>
    <t>МАТ.СВЕТ.150</t>
  </si>
  <si>
    <t>PLS-38-2 Соединитель X-образный для шинопровода, черный</t>
  </si>
  <si>
    <t>МАТ.СВЕТ.150 — PLS-38-2 Соединитель X-образный для шинопровода, черный</t>
  </si>
  <si>
    <t>МАТ.СВЕТ.151</t>
  </si>
  <si>
    <t>PLS-39-2 Соединитель T-образный для шинопровода, черный</t>
  </si>
  <si>
    <t>МАТ.СВЕТ.151 — PLS-39-2 Соединитель T-образный для шинопровода, черный</t>
  </si>
  <si>
    <t>МАТ.СВЕТ.152</t>
  </si>
  <si>
    <t>PLS-40-2 Соединитель T-образный для шинопровода, черный</t>
  </si>
  <si>
    <t>МАТ.СВЕТ.152 — PLS-40-2 Соединитель T-образный для шинопровода, черный</t>
  </si>
  <si>
    <t>МАТ.СВЕТ.153</t>
  </si>
  <si>
    <t>Panel 7W -4000K 500mm w/o diffuser w/reflector 400mm Ceil - Светильник без рассеивателя, без отражателя</t>
  </si>
  <si>
    <t>2409716</t>
  </si>
  <si>
    <t>МАТ.СВЕТ.153 — Panel 7W -4000K 500mm w/o diffuser w/reflector 400mm Ceil - Светильник без рассеивателя, без отражателя</t>
  </si>
  <si>
    <t>МАТ.СВЕТ.154</t>
  </si>
  <si>
    <t>Q45 Track Lens 36` 8W-4000K CRI 90 - Прожектор</t>
  </si>
  <si>
    <t>2200794_ BLK</t>
  </si>
  <si>
    <t>МАТ.СВЕТ.154 — Q45 Track Lens 36` 8W-4000K CRI 90 - Прожектор</t>
  </si>
  <si>
    <t>МАТ.СВЕТ.155</t>
  </si>
  <si>
    <t>Q70 Track Ref 38` 8W-4000K CRI 90 BLK - Светильник</t>
  </si>
  <si>
    <t>2407348_ BLK</t>
  </si>
  <si>
    <t>МАТ.СВЕТ.155 — Q70 Track Ref 38` 8W-4000K CRI 90 BLK - Светильник</t>
  </si>
  <si>
    <t>МАТ.СВЕТ.156</t>
  </si>
  <si>
    <t>Q70 Track Ref 45` 8W-4000K CRI 90_BLK - Светильник</t>
  </si>
  <si>
    <t>2407366_ BLK</t>
  </si>
  <si>
    <t>МАТ.СВЕТ.156 — Q70 Track Ref 45` 8W-4000K CRI 90_BLK - Светильник</t>
  </si>
  <si>
    <t>МАТ.СВЕТ.157</t>
  </si>
  <si>
    <t>Quark AIR HE D30 Lens 10` 2W-4000K CRI 90 H200 Susp BLK - Светильник</t>
  </si>
  <si>
    <t>2503487 BLK</t>
  </si>
  <si>
    <t>МАТ.СВЕТ.157 — Quark AIR HE D30 Lens 10` 2W-4000K CRI 90 H200 Susp BLK - Светильник</t>
  </si>
  <si>
    <t>МАТ.СВЕТ.158</t>
  </si>
  <si>
    <t>Quark AIR HE D30 Lens 10` 2W-4000K CRI 90 H300 Susp - Светильник</t>
  </si>
  <si>
    <t>2503488</t>
  </si>
  <si>
    <t>МАТ.СВЕТ.158 — Quark AIR HE D30 Lens 10` 2W-4000K CRI 90 H300 Susp - Светильник</t>
  </si>
  <si>
    <t>МАТ.СВЕТ.159</t>
  </si>
  <si>
    <t>Quark AIR HE D30 Lens 10` 2W-4000K CRI 90 H500 Susp BLK - Светильник</t>
  </si>
  <si>
    <t>2503489 BLK</t>
  </si>
  <si>
    <t>МАТ.СВЕТ.159 — Quark AIR HE D30 Lens 10` 2W-4000K CRI 90 H500 Susp BLK - Светильник</t>
  </si>
  <si>
    <t>МАТ.СВЕТ.160</t>
  </si>
  <si>
    <t>Quark AIR HE D30 Lens 10` 2W-4000K CRI 90 H500 Susp Gold - Светильник</t>
  </si>
  <si>
    <t>2503489 Gold</t>
  </si>
  <si>
    <t>МАТ.СВЕТ.160 — Quark AIR HE D30 Lens 10` 2W-4000K CRI 90 H500 Susp Gold - Светильник</t>
  </si>
  <si>
    <t>МАТ.СВЕТ.161</t>
  </si>
  <si>
    <t>Quark AIR HE D45 MP 8W-4000K CRI 90 H110 Susp BLK - Светильник</t>
  </si>
  <si>
    <t>2503425_ BLK</t>
  </si>
  <si>
    <t>МАТ.СВЕТ.161 — Quark AIR HE D45 MP 8W-4000K CRI 90 H110 Susp BLK - Светильник</t>
  </si>
  <si>
    <t>МАТ.СВЕТ.162</t>
  </si>
  <si>
    <t>Quark AIR HE MP D30 8W-4000K CRI 90 H420 Susp BLK - Светильник</t>
  </si>
  <si>
    <t>2201251_ BLK</t>
  </si>
  <si>
    <t>МАТ.СВЕТ.162 — Quark AIR HE MP D30 8W-4000K CRI 90 H420 Susp BLK - Светильник</t>
  </si>
  <si>
    <t>МАТ.СВЕТ.163</t>
  </si>
  <si>
    <t>Quark AIR HE MP D30 8W-4000K CRI 90 H420 Susp WHI - Светильник</t>
  </si>
  <si>
    <t>МАТ.СВЕТ.163 — Quark AIR HE MP D30 8W-4000K CRI 90 H420 Susp WHI - Светильник</t>
  </si>
  <si>
    <t>МАТ.СВЕТ.164</t>
  </si>
  <si>
    <t>Quark AIR HE MP D70 12W-4000K CRI 90 H210 Susp BLK - Светильник</t>
  </si>
  <si>
    <t>2201293_ BLK</t>
  </si>
  <si>
    <t>МАТ.СВЕТ.164 — Quark AIR HE MP D70 12W-4000K CRI 90 H210 Susp BLK - Светильник</t>
  </si>
  <si>
    <t>МАТ.СВЕТ.165</t>
  </si>
  <si>
    <t>Quark AIR HE MP D70 12W-4000K CRI 90 H210 Susp WHI - Светильник</t>
  </si>
  <si>
    <t>2201293_ WHI</t>
  </si>
  <si>
    <t>МАТ.СВЕТ.165 — Quark AIR HE MP D70 12W-4000K CRI 90 H210 Susp WHI - Светильник</t>
  </si>
  <si>
    <t>МАТ.СВЕТ.166</t>
  </si>
  <si>
    <t>Quark AIR IT MP D30 8W-4000K CRI 90 H420 Susp BLK - Светильник (драйвер выносной)</t>
  </si>
  <si>
    <t>2201739_ BLK</t>
  </si>
  <si>
    <t>МАТ.СВЕТ.166 — Quark AIR IT MP D30 8W-4000K CRI 90 H420 Susp BLK - Светильник (драйвер выносной)</t>
  </si>
  <si>
    <t>МАТ.СВЕТ.167</t>
  </si>
  <si>
    <t>Quark AIR IT MP D30 8W-4000K CRI 90 H420 Susp WHI - Светильник (драйвер выносной)</t>
  </si>
  <si>
    <t>2201739_ WHI</t>
  </si>
  <si>
    <t>МАТ.СВЕТ.167 — Quark AIR IT MP D30 8W-4000K CRI 90 H420 Susp WHI - Светильник (драйвер выносной)</t>
  </si>
  <si>
    <t>МАТ.СВЕТ.168</t>
  </si>
  <si>
    <t>Quark AIR IT MP D45 12W-4000K CRI 90 H210 Susp BLK - Светильник + NECK Q45 IT - Декоративная насадка</t>
  </si>
  <si>
    <t>2201786_ BLK + 2200018</t>
  </si>
  <si>
    <t>МАТ.СВЕТ.168 — Quark AIR IT MP D45 12W-4000K CRI 90 H210 Susp BLK - Светильник + NECK Q45 IT - Декоративная насадка</t>
  </si>
  <si>
    <t>МАТ.СВЕТ.169</t>
  </si>
  <si>
    <t>Quark AIR IT MP D45 12W-4000K CRI 90 H210 Susp WHI - Светильник + NECK Q45 IT - Декоративная насадка</t>
  </si>
  <si>
    <t>2201786_ WHI + 2200018</t>
  </si>
  <si>
    <t>МАТ.СВЕТ.169 — Quark AIR IT MP D45 12W-4000K CRI 90 H210 Susp WHI - Светильник + NECK Q45 IT - Декоративная насадка</t>
  </si>
  <si>
    <t>МАТ.СВЕТ.170</t>
  </si>
  <si>
    <t>Quark AIR IT MP D70 12W-4000K CRI 90 H210 Susp BLK - Светильник</t>
  </si>
  <si>
    <t>2201857_ BLK</t>
  </si>
  <si>
    <t>МАТ.СВЕТ.170 — Quark AIR IT MP D70 12W-4000K CRI 90 H210 Susp BLK - Светильник</t>
  </si>
  <si>
    <t>МАТ.СВЕТ.171</t>
  </si>
  <si>
    <t>Quark AIR IT MP D70 12W-4000K CRI 90 H210 Susp WHI - Светильник</t>
  </si>
  <si>
    <t>2201857_ WHI</t>
  </si>
  <si>
    <t>МАТ.СВЕТ.171 — Quark AIR IT MP D70 12W-4000K CRI 90 H210 Susp WHI - Светильник</t>
  </si>
  <si>
    <t>МАТ.СВЕТ.172</t>
  </si>
  <si>
    <t>2201851_ BLK</t>
  </si>
  <si>
    <t>МАТ.СВЕТ.172 — Quark AIR IT MP D70 8W-4000K CRI 90 H210 Susp BLK - Светильник</t>
  </si>
  <si>
    <t>МАТ.СВЕТ.173</t>
  </si>
  <si>
    <t>Quark AIR IT MP D70 8W-4000K CRI 90 H210 Susp WHI - Светильник</t>
  </si>
  <si>
    <t>2201851_ WHI</t>
  </si>
  <si>
    <t>МАТ.СВЕТ.173 — Quark AIR IT MP D70 8W-4000K CRI 90 H210 Susp WHI - Светильник</t>
  </si>
  <si>
    <t>МАТ.СВЕТ.174</t>
  </si>
  <si>
    <t>Quark AIR IT Ref 45` D70 6W-4000K CRI 90 H210 Susp BLK - Светильник</t>
  </si>
  <si>
    <t>2407161_ BLK</t>
  </si>
  <si>
    <t>МАТ.СВЕТ.174 — Quark AIR IT Ref 45` D70 6W-4000K CRI 90 H210 Susp BLK - Светильник</t>
  </si>
  <si>
    <t>МАТ.СВЕТ.175</t>
  </si>
  <si>
    <t>Quark AIR IT Ref 45` D70 6W-4000K CRI 90 H210 Susp WHI - Светильник</t>
  </si>
  <si>
    <t>2407161_ WHI</t>
  </si>
  <si>
    <t>МАТ.СВЕТ.175 — Quark AIR IT Ref 45` D70 6W-4000K CRI 90 H210 Susp WHI - Светильник</t>
  </si>
  <si>
    <t>МАТ.СВЕТ.176</t>
  </si>
  <si>
    <t>Quark AIR IT Ref 45` D70 8W-4000K CRI 90 H210 Susp BLK - Светильник</t>
  </si>
  <si>
    <t>2406751_ BLK</t>
  </si>
  <si>
    <t>МАТ.СВЕТ.176 — Quark AIR IT Ref 45` D70 8W-4000K CRI 90 H210 Susp BLK - Светильник</t>
  </si>
  <si>
    <t>МАТ.СВЕТ.177</t>
  </si>
  <si>
    <t>Quark AIR IT Ref 45` D70 8W-4000K CRI 90 H210 Susp WHI - Светильник</t>
  </si>
  <si>
    <t>2406751_ WHI</t>
  </si>
  <si>
    <t>МАТ.СВЕТ.177 — Quark AIR IT Ref 45` D70 8W-4000K CRI 90 H210 Susp WHI - Светильник</t>
  </si>
  <si>
    <t>МАТ.СВЕТ.178</t>
  </si>
  <si>
    <t>Quark AIR IT Ref 60` D70 12W-4000K CRI 90 H210 Susp BLK - Светильник</t>
  </si>
  <si>
    <t>2406768_ BLK</t>
  </si>
  <si>
    <t>МАТ.СВЕТ.178 — Quark AIR IT Ref 60` D70 12W-4000K CRI 90 H210 Susp BLK - Светильник</t>
  </si>
  <si>
    <t>МАТ.СВЕТ.179</t>
  </si>
  <si>
    <t>Quark AIR IT Ref 60` D70 12W-4000K CRI 90 H210 Susp WHI - Светильник</t>
  </si>
  <si>
    <t>2406768_ WHI</t>
  </si>
  <si>
    <t>МАТ.СВЕТ.179 — Quark AIR IT Ref 60` D70 12W-4000K CRI 90 H210 Susp WHI - Светильник</t>
  </si>
  <si>
    <t>МАТ.СВЕТ.180</t>
  </si>
  <si>
    <t>Quark AIR IT Ref 60` D70 6W-4000K CRI 90 H210 Susp BLK - Светильник</t>
  </si>
  <si>
    <t>2407155_ BLK</t>
  </si>
  <si>
    <t>МАТ.СВЕТ.180 — Quark AIR IT Ref 60` D70 6W-4000K CRI 90 H210 Susp BLK - Светильник</t>
  </si>
  <si>
    <t>МАТ.СВЕТ.181</t>
  </si>
  <si>
    <t>Quark AIR IT Ref 60` D70 6W-4000K CRI 90 H210 Susp WHI - Светильник</t>
  </si>
  <si>
    <t>2407155_ WHI</t>
  </si>
  <si>
    <t>МАТ.СВЕТ.181 — Quark AIR IT Ref 60` D70 6W-4000K CRI 90 H210 Susp WHI - Светильник</t>
  </si>
  <si>
    <t>МАТ.СВЕТ.182</t>
  </si>
  <si>
    <t>Quark AIR IT Ref 60` D70 8W-4000K CRI 90 H210 Susp BLK - Светильник</t>
  </si>
  <si>
    <t>2406762_ BLK</t>
  </si>
  <si>
    <t>МАТ.СВЕТ.182 — Quark AIR IT Ref 60` D70 8W-4000K CRI 90 H210 Susp BLK - Светильник</t>
  </si>
  <si>
    <t>МАТ.СВЕТ.183</t>
  </si>
  <si>
    <t>Quark AIR IT Ref 60` D70 8W-4000K CRI 90 H210 Susp WHI - Светильник</t>
  </si>
  <si>
    <t>2406762_ WHI</t>
  </si>
  <si>
    <t>МАТ.СВЕТ.183 — Quark AIR IT Ref 60` D70 8W-4000K CRI 90 H210 Susp WHI - Светильник</t>
  </si>
  <si>
    <t>МАТ.СВЕТ.184</t>
  </si>
  <si>
    <t>Quark IN HE D70 MP 8W-4000K CRI 90 Recess BLK - Светильник</t>
  </si>
  <si>
    <t>2202126_ BLK</t>
  </si>
  <si>
    <t>МАТ.СВЕТ.184 — Quark IN HE D70 MP 8W-4000K CRI 90 Recess BLK - Светильник</t>
  </si>
  <si>
    <t>МАТ.СВЕТ.185</t>
  </si>
  <si>
    <t>Quark IN HE D70 MP 8W-4000K CRI 90 Recess IP44 BLK - Светильник</t>
  </si>
  <si>
    <t>2202126 IP44_ BLK</t>
  </si>
  <si>
    <t>МАТ.СВЕТ.185 — Quark IN HE D70 MP 8W-4000K CRI 90 Recess IP44 BLK - Светильник</t>
  </si>
  <si>
    <t>МАТ.СВЕТ.186</t>
  </si>
  <si>
    <t>Quark IN HE D70 MP 8W-4000K CRI 90 Recess IP44 WHI - Светильник</t>
  </si>
  <si>
    <t>2202126 IP44_ WHI</t>
  </si>
  <si>
    <t>МАТ.СВЕТ.186 — Quark IN HE D70 MP 8W-4000K CRI 90 Recess IP44 WHI - Светильник</t>
  </si>
  <si>
    <t>МАТ.СВЕТ.187</t>
  </si>
  <si>
    <t>Quark IN HE D70 MP 8W-4000K CRI 90 Recess WHI - Светильник</t>
  </si>
  <si>
    <t>2202126_ WHI</t>
  </si>
  <si>
    <t>МАТ.СВЕТ.187 — Quark IN HE D70 MP 8W-4000K CRI 90 Recess WHI - Светильник</t>
  </si>
  <si>
    <t>МАТ.СВЕТ.188</t>
  </si>
  <si>
    <t>Quark IN IT D70 REF 45` 6W-4000K CRI 90 Recess BLK - Светильник</t>
  </si>
  <si>
    <t>2407247_ BLK</t>
  </si>
  <si>
    <t>МАТ.СВЕТ.188 — Quark IN IT D70 REF 45` 6W-4000K CRI 90 Recess BLK - Светильник</t>
  </si>
  <si>
    <t>МАТ.СВЕТ.189</t>
  </si>
  <si>
    <t>Quark IN IT D70 REF 45` 6W-4000K CRI 90 Recess IP54 BLK - Светильник</t>
  </si>
  <si>
    <t>2407247_  IP54_ BLK</t>
  </si>
  <si>
    <t>МАТ.СВЕТ.189 — Quark IN IT D70 REF 45` 6W-4000K CRI 90 Recess IP54 BLK - Светильник</t>
  </si>
  <si>
    <t>МАТ.СВЕТ.190</t>
  </si>
  <si>
    <t>Quark IN IT D70 REF 45` 6W-4000K CRI 90 Recess IP54 WHI - Светильник</t>
  </si>
  <si>
    <t>2407247_  IP54_ WHI</t>
  </si>
  <si>
    <t>МАТ.СВЕТ.190 — Quark IN IT D70 REF 45` 6W-4000K CRI 90 Recess IP54 WHI - Светильник</t>
  </si>
  <si>
    <t>МАТ.СВЕТ.191</t>
  </si>
  <si>
    <t>Quark IN IT D70 REF 45` 6W-4000K CRI 90 Recess WHI - Светильник</t>
  </si>
  <si>
    <t>2407247_ WHI</t>
  </si>
  <si>
    <t>МАТ.СВЕТ.191 — Quark IN IT D70 REF 45` 6W-4000K CRI 90 Recess WHI - Светильник</t>
  </si>
  <si>
    <t>МАТ.СВЕТ.192</t>
  </si>
  <si>
    <t>Quark IN IT D70 REF 45` 8W-4000K CRI 90 Recess BLK - Светильник</t>
  </si>
  <si>
    <t>2400009_ BLK</t>
  </si>
  <si>
    <t>МАТ.СВЕТ.192 — Quark IN IT D70 REF 45` 8W-4000K CRI 90 Recess BLK - Светильник</t>
  </si>
  <si>
    <t>МАТ.СВЕТ.193</t>
  </si>
  <si>
    <t>Quark IN IT D70 REF 45` 8W-4000K CRI 90 Recess WHI - Светильник</t>
  </si>
  <si>
    <t>2400009_ WHI</t>
  </si>
  <si>
    <t>МАТ.СВЕТ.193 — Quark IN IT D70 REF 45` 8W-4000K CRI 90 Recess WHI - Светильник</t>
  </si>
  <si>
    <t>МАТ.СВЕТ.194</t>
  </si>
  <si>
    <t>Quark IN IT D70 REF 60` 12W-4000K CRI 90 Recess BLK - Светильник</t>
  </si>
  <si>
    <t>2400039_ BLK</t>
  </si>
  <si>
    <t>МАТ.СВЕТ.194 — Quark IN IT D70 REF 60` 12W-4000K CRI 90 Recess BLK - Светильник</t>
  </si>
  <si>
    <t>МАТ.СВЕТ.195</t>
  </si>
  <si>
    <t>Quark IN IT D70 REF 60` 12W-4000K CRI 90 Recess WHI - Светильник</t>
  </si>
  <si>
    <t>2400039_ WHI</t>
  </si>
  <si>
    <t>МАТ.СВЕТ.195 — Quark IN IT D70 REF 60` 12W-4000K CRI 90 Recess WHI - Светильник</t>
  </si>
  <si>
    <t>МАТ.СВЕТ.196</t>
  </si>
  <si>
    <t>Quark IN IT D70 REF 60` 6W-4000K CRI 90 Recess BLK - Светильник</t>
  </si>
  <si>
    <t>2408711_ BLK</t>
  </si>
  <si>
    <t>МАТ.СВЕТ.196 — Quark IN IT D70 REF 60` 6W-4000K CRI 90 Recess BLK - Светильник</t>
  </si>
  <si>
    <t>МАТ.СВЕТ.197</t>
  </si>
  <si>
    <t>Quark IN IT D70 REF 60` 6W-4000K CRI 90 Recess WHI - Светильник</t>
  </si>
  <si>
    <t>2408711_ WHI</t>
  </si>
  <si>
    <t>МАТ.СВЕТ.197 — Quark IN IT D70 REF 60` 6W-4000K CRI 90 Recess WHI - Светильник</t>
  </si>
  <si>
    <t>МАТ.СВЕТ.198</t>
  </si>
  <si>
    <t>Quark IN IT D70 REF 60` 8W-4000K CRI 90 Recess BLK - Светильник</t>
  </si>
  <si>
    <t>2400033_ BLK</t>
  </si>
  <si>
    <t>МАТ.СВЕТ.198 — Quark IN IT D70 REF 60` 8W-4000K CRI 90 Recess BLK - Светильник</t>
  </si>
  <si>
    <t>МАТ.СВЕТ.199</t>
  </si>
  <si>
    <t>Quark IN IT D70 REF 60` 8W-4000K CRI 90 Recess WHI - Светильник</t>
  </si>
  <si>
    <t>2400033_ WHI</t>
  </si>
  <si>
    <t>МАТ.СВЕТ.199 — Quark IN IT D70 REF 60` 8W-4000K CRI 90 Recess WHI - Светильник</t>
  </si>
  <si>
    <t>МАТ.СВЕТ.200</t>
  </si>
  <si>
    <t>Quark ON HE MP D30 8W-4000K CRI 90 H420 Ceil BLK - Светильник (драйвер выносной)</t>
  </si>
  <si>
    <t>2202635_ BLK</t>
  </si>
  <si>
    <t>МАТ.СВЕТ.200 — Quark ON HE MP D30 8W-4000K CRI 90 H420 Ceil BLK - Светильник (драйвер выносной)</t>
  </si>
  <si>
    <t>МАТ.СВЕТ.201</t>
  </si>
  <si>
    <t>Quark ON HE MP D30 8W-4000K CRI 90 H630 Ceil BLK - Светильник (драйвер выносной)</t>
  </si>
  <si>
    <t>2202647 BLK</t>
  </si>
  <si>
    <t>МАТ.СВЕТ.201 — Quark ON HE MP D30 8W-4000K CRI 90 H630 Ceil BLK - Светильник (драйвер выносной)</t>
  </si>
  <si>
    <t>МАТ.СВЕТ.202</t>
  </si>
  <si>
    <t>Quark ON IT D70 45` 8W-4000K CRI 90 H210 Ceil RAL3028 - Светильник</t>
  </si>
  <si>
    <t>2308932 RAL3028</t>
  </si>
  <si>
    <t>МАТ.СВЕТ.202 — Quark ON IT D70 45` 8W-4000K CRI 90 H210 Ceil RAL3028 - Светильник</t>
  </si>
  <si>
    <t>МАТ.СВЕТ.203</t>
  </si>
  <si>
    <t>Ray IN D1000 69W-4000K CRI 90 270mA Susp BLK - Светильник</t>
  </si>
  <si>
    <t>2206388_ Reduced BLK</t>
  </si>
  <si>
    <t>МАТ.СВЕТ.203 — Ray IN D1000 69W-4000K CRI 90 270mA Susp BLK - Светильник</t>
  </si>
  <si>
    <t>МАТ.СВЕТ.204</t>
  </si>
  <si>
    <t>Ray IN D1000 69W-4000K CRI 90 270mA Susp WHI - Светильник</t>
  </si>
  <si>
    <t>2206388_ Reduced WHI</t>
  </si>
  <si>
    <t>МАТ.СВЕТ.204 — Ray IN D1000 69W-4000K CRI 90 270mA Susp WHI - Светильник</t>
  </si>
  <si>
    <t>МАТ.СВЕТ.205</t>
  </si>
  <si>
    <t>Ray IN D750 69W-4000K CRI 90 Susp BLK - Светильник</t>
  </si>
  <si>
    <t>2206334_ BLK</t>
  </si>
  <si>
    <t>МАТ.СВЕТ.205 — Ray IN D750 69W-4000K CRI 90 Susp BLK - Светильник</t>
  </si>
  <si>
    <t>МАТ.СВЕТ.206</t>
  </si>
  <si>
    <t>Ray IN D750 69W-4000K CRI 90 Susp WHI - Светильник</t>
  </si>
  <si>
    <t>2206334_ WHI</t>
  </si>
  <si>
    <t>МАТ.СВЕТ.206 — Ray IN D750 69W-4000K CRI 90 Susp WHI - Светильник</t>
  </si>
  <si>
    <t>МАТ.СВЕТ.207</t>
  </si>
  <si>
    <t>Ray line 14W-4000K CRI 90 M500 TRACK BLK - Светильник на трек</t>
  </si>
  <si>
    <t>2206551_ BLK</t>
  </si>
  <si>
    <t>МАТ.СВЕТ.207 — Ray line 14W-4000K CRI 90 M500 TRACK BLK - Светильник на трек</t>
  </si>
  <si>
    <t>МАТ.СВЕТ.208</t>
  </si>
  <si>
    <t>Ray line 15W/mt-4000K CRI 90 ROW 175mA Susp BLK - Светильник</t>
  </si>
  <si>
    <t>2206542_ BLK</t>
  </si>
  <si>
    <t>МАТ.СВЕТ.208 — Ray line 15W/mt-4000K CRI 90 ROW 175mA Susp BLK - Светильник</t>
  </si>
  <si>
    <t>МАТ.СВЕТ.209</t>
  </si>
  <si>
    <t>Ray line 15W/mt-4000K CRI 90 ROW 175mA Susp WHI - Светильник</t>
  </si>
  <si>
    <t>2206542_ WHI</t>
  </si>
  <si>
    <t>МАТ.СВЕТ.209 — Ray line 15W/mt-4000K CRI 90 ROW 175mA Susp WHI - Светильник</t>
  </si>
  <si>
    <t>МАТ.СВЕТ.210</t>
  </si>
  <si>
    <t>Ray line 20W/mt-4000K CRI 90 ROW 270mA Susp BLK (драйвер выносной) - Светильник</t>
  </si>
  <si>
    <t>2206537_ BLK</t>
  </si>
  <si>
    <t>МАТ.СВЕТ.210 — Ray line 20W/mt-4000K CRI 90 ROW 270mA Susp BLK (драйвер выносной) - Светильник</t>
  </si>
  <si>
    <t>МАТ.СВЕТ.211</t>
  </si>
  <si>
    <t>2206541_ BLK</t>
  </si>
  <si>
    <t>МАТ.СВЕТ.211 — Ray line 20W/mt-4000K CRI 90 ROW 270mA Susp BLK (драйвер выносной) - Светильник</t>
  </si>
  <si>
    <t>МАТ.СВЕТ.212</t>
  </si>
  <si>
    <t>Ray line 20W/mt-4000K CRI 90 ROW 270mA Susp WHI (драйвер выносной) - Светильник</t>
  </si>
  <si>
    <t>2206537_ WHI</t>
  </si>
  <si>
    <t>МАТ.СВЕТ.212 — Ray line 20W/mt-4000K CRI 90 ROW 270mA Susp WHI (драйвер выносной) - Светильник</t>
  </si>
  <si>
    <t>МАТ.СВЕТ.213</t>
  </si>
  <si>
    <t>2206541_ WHI</t>
  </si>
  <si>
    <t>МАТ.СВЕТ.213 — Ray line 20W/mt-4000K CRI 90 ROW 270mA Susp WHI (драйвер выносной) - Светильник</t>
  </si>
  <si>
    <t>МАТ.СВЕТ.214</t>
  </si>
  <si>
    <t>Ray line 26W-4000K CRI 90 M900 Susp BLK - Светильник</t>
  </si>
  <si>
    <t>2206502_ BLK</t>
  </si>
  <si>
    <t>МАТ.СВЕТ.214 — Ray line 26W-4000K CRI 90 M900 Susp BLK - Светильник</t>
  </si>
  <si>
    <t>МАТ.СВЕТ.215</t>
  </si>
  <si>
    <t>Ray line 26W-4000K CRI 90 M900 Susp WHI - Светильник</t>
  </si>
  <si>
    <t>2206502_ WHI</t>
  </si>
  <si>
    <t>МАТ.СВЕТ.215 — Ray line 26W-4000K CRI 90 M900 Susp WHI - Светильник</t>
  </si>
  <si>
    <t>МАТ.СВЕТ.216</t>
  </si>
  <si>
    <t>2206598_</t>
  </si>
  <si>
    <t>МАТ.СВЕТ.216 — Ray line 31W/mt-4000K CRI 90 ROW Recess - Светильник</t>
  </si>
  <si>
    <t>МАТ.СВЕТ.217</t>
  </si>
  <si>
    <t>2206512_ BLK</t>
  </si>
  <si>
    <t>МАТ.СВЕТ.217 — Ray line 33W-4000K CRI 90 M1200 Susp BLK - Светильник</t>
  </si>
  <si>
    <t>МАТ.СВЕТ.218</t>
  </si>
  <si>
    <t>Ray line 33W-4000K CRI 90 M1200 Susp WHI - Светильник</t>
  </si>
  <si>
    <t>2206512_ WHI</t>
  </si>
  <si>
    <t>МАТ.СВЕТ.218 — Ray line 33W-4000K CRI 90 M1200 Susp WHI - Светильник</t>
  </si>
  <si>
    <t>МАТ.СВЕТ.219</t>
  </si>
  <si>
    <t>Ray line 39W-3000K CRI 90 2xL24 M700 Susp BLK - Светильник</t>
  </si>
  <si>
    <t>2206491_ BLK</t>
  </si>
  <si>
    <t>МАТ.СВЕТ.219 — Ray line 39W-3000K CRI 90 2xL24 M700 Susp BLK - Светильник</t>
  </si>
  <si>
    <t>МАТ.СВЕТ.220</t>
  </si>
  <si>
    <t>Ray line 39W-3000K CRI 90 2xL24 M700 Susp WHI - Светильник</t>
  </si>
  <si>
    <t>2206491_ WHI</t>
  </si>
  <si>
    <t>МАТ.СВЕТ.220 — Ray line 39W-3000K CRI 90 2xL24 M700 Susp WHI - Светильник</t>
  </si>
  <si>
    <t>МАТ.СВЕТ.221</t>
  </si>
  <si>
    <t>Ray line 39W-4000K CRI 90 M1400 Susp BLK - Светильник</t>
  </si>
  <si>
    <t>2206519_ BLK</t>
  </si>
  <si>
    <t>МАТ.СВЕТ.221 — Ray line 39W-4000K CRI 90 M1400 Susp BLK - Светильник</t>
  </si>
  <si>
    <t>МАТ.СВЕТ.222</t>
  </si>
  <si>
    <t>Ray line 39W-4000K CRI 90 M1400 Susp WHI - Светильник</t>
  </si>
  <si>
    <t>2206519_ WHI</t>
  </si>
  <si>
    <t>МАТ.СВЕТ.222 — Ray line 39W-4000K CRI 90 M1400 Susp WHI - Светильник</t>
  </si>
  <si>
    <t>МАТ.СВЕТ.223</t>
  </si>
  <si>
    <t>Ray line 46W-4000K CRI 90 ROW 2xL24 270mA Recess BLK, L=1162mm - Светильник</t>
  </si>
  <si>
    <t>2208169_1162 BLK</t>
  </si>
  <si>
    <t>МАТ.СВЕТ.223 — Ray line 46W-4000K CRI 90 ROW 2xL24 270mA Recess BLK, L=1162mm - Светильник</t>
  </si>
  <si>
    <t>МАТ.СВЕТ.224</t>
  </si>
  <si>
    <t>Ray line.90⁰ - Соединение угловое 90⁰ в одной плоскости, подключен к магистральному линейному светильнику на заводе</t>
  </si>
  <si>
    <t>1402012</t>
  </si>
  <si>
    <t>МАТ.СВЕТ.224 — Ray line.90⁰ - Соединение угловое 90⁰ в одной плоскости, подключен к магистральному линейному светильнику на заводе</t>
  </si>
  <si>
    <t>МАТ.СВЕТ.225</t>
  </si>
  <si>
    <t>1402010</t>
  </si>
  <si>
    <t>МАТ.СВЕТ.225 — Ray line.U-kit - Крепёж в потолок 1 шт.</t>
  </si>
  <si>
    <t>МАТ.СВЕТ.226</t>
  </si>
  <si>
    <t>МАТ.СВЕТ.226 — Ray line.U-kit - Крепёж в потолок 1 шт.</t>
  </si>
  <si>
    <t>МАТ.СВЕТ.227</t>
  </si>
  <si>
    <t>Rota D1000 MP ECO 28W-4000K CRI 90 270mA Susp BLK - Светильник</t>
  </si>
  <si>
    <t>2208013_ BLK</t>
  </si>
  <si>
    <t>МАТ.СВЕТ.227 — Rota D1000 MP ECO 28W-4000K CRI 90 270mA Susp BLK - Светильник</t>
  </si>
  <si>
    <t>МАТ.СВЕТ.228</t>
  </si>
  <si>
    <t>Rota D1000 MP ECO 28W-4000K CRI 90 270mA Susp WHI - Светильник</t>
  </si>
  <si>
    <t>2208013_ WHI</t>
  </si>
  <si>
    <t>МАТ.СВЕТ.228 — Rota D1000 MP ECO 28W-4000K CRI 90 270mA Susp WHI - Светильник</t>
  </si>
  <si>
    <t>МАТ.СВЕТ.229</t>
  </si>
  <si>
    <t>Rota D1000 MP ECO 42W-4000K CRI 90 Ceil BLK H95 - Светильник потолочный специсполнение под данный проект. Предусмотреть выход кабеля сбоку</t>
  </si>
  <si>
    <t>2206696_ BLK H95</t>
  </si>
  <si>
    <t>МАТ.СВЕТ.229 — Rota D1000 MP ECO 42W-4000K CRI 90 Ceil BLK H95 - Светильник потолочный специсполнение под данный проект. Предусмотреть выход кабеля сбоку</t>
  </si>
  <si>
    <t>МАТ.СВЕТ.230</t>
  </si>
  <si>
    <t>Rota D1000 MP ECO 42W-4000K CRI 90 Ceil WHI H95 - Светильник потолочный специсполнение под данный проект. Предусмотреть выход кабеля сбоку</t>
  </si>
  <si>
    <t>2206696_ WHI H95</t>
  </si>
  <si>
    <t>МАТ.СВЕТ.230 — Rota D1000 MP ECO 42W-4000K CRI 90 Ceil WHI H95 - Светильник потолочный специсполнение под данный проект. Предусмотреть выход кабеля сбоку</t>
  </si>
  <si>
    <t>МАТ.СВЕТ.231</t>
  </si>
  <si>
    <t>Rota D1000 MP ECO 42W-4000K CRI 90 Susp BLK - Светильник</t>
  </si>
  <si>
    <t>2206905_ BLK</t>
  </si>
  <si>
    <t>МАТ.СВЕТ.231 — Rota D1000 MP ECO 42W-4000K CRI 90 Susp BLK - Светильник</t>
  </si>
  <si>
    <t>МАТ.СВЕТ.232</t>
  </si>
  <si>
    <t>Rota D1000 MP ECO 42W-4000K CRI 90 Susp WHI - Светильник</t>
  </si>
  <si>
    <t>2206905_ WHI</t>
  </si>
  <si>
    <t>МАТ.СВЕТ.232 — Rota D1000 MP ECO 42W-4000K CRI 90 Susp WHI - Светильник</t>
  </si>
  <si>
    <t>МАТ.СВЕТ.233</t>
  </si>
  <si>
    <t>Rota D1000 MP ECO 54W-4000K CRI 90 L24 270mA Susp BLK - Светильник</t>
  </si>
  <si>
    <t>2206911_ BLK</t>
  </si>
  <si>
    <t>МАТ.СВЕТ.233 — Rota D1000 MP ECO 54W-4000K CRI 90 L24 270mA Susp BLK - Светильник</t>
  </si>
  <si>
    <t>МАТ.СВЕТ.234</t>
  </si>
  <si>
    <t>Rota D1000 MP ECO 54W-4000K CRI 90 L24 270mA Susp WHI - Светильник</t>
  </si>
  <si>
    <t>2206911_ WHI</t>
  </si>
  <si>
    <t>МАТ.СВЕТ.234 — Rota D1000 MP ECO 54W-4000K CRI 90 L24 270mA Susp WHI - Светильник</t>
  </si>
  <si>
    <t>МАТ.СВЕТ.235</t>
  </si>
  <si>
    <t>Rota D1000 MP ECO 77W-4000K CRI 90 L24 Susp BLK - Светильник</t>
  </si>
  <si>
    <t>2400467_ BLK</t>
  </si>
  <si>
    <t>МАТ.СВЕТ.235 — Rota D1000 MP ECO 77W-4000K CRI 90 L24 Susp BLK - Светильник</t>
  </si>
  <si>
    <t>МАТ.СВЕТ.236</t>
  </si>
  <si>
    <t>Rota D1000 MP ECO 77W-4000K CRI 90 L24 Susp WHI - Светильник</t>
  </si>
  <si>
    <t>2400467_ WHI</t>
  </si>
  <si>
    <t>МАТ.СВЕТ.236 — Rota D1000 MP ECO 77W-4000K CRI 90 L24 Susp WHI - Светильник</t>
  </si>
  <si>
    <t>МАТ.СВЕТ.237</t>
  </si>
  <si>
    <t>Rota D1500 MP ECO 69W-4000K CRI 90 Susp BLK - Светильник</t>
  </si>
  <si>
    <t>2206933_ BLK</t>
  </si>
  <si>
    <t>МАТ.СВЕТ.237 — Rota D1500 MP ECO 69W-4000K CRI 90 Susp BLK - Светильник</t>
  </si>
  <si>
    <t>МАТ.СВЕТ.238</t>
  </si>
  <si>
    <t>Rota D1500 MP ECO 69W-4000K CRI 90 Susp WHI - Светильник</t>
  </si>
  <si>
    <t>2206933_ WHI</t>
  </si>
  <si>
    <t>МАТ.СВЕТ.238 — Rota D1500 MP ECO 69W-4000K CRI 90 Susp WHI - Светильник</t>
  </si>
  <si>
    <t>МАТ.СВЕТ.239</t>
  </si>
  <si>
    <t>2206872_ BLK</t>
  </si>
  <si>
    <t>МАТ.СВЕТ.239 — Rota D650 MP ECO 28W-4000K CRI 90 Susp BLK - Светильник</t>
  </si>
  <si>
    <t>МАТ.СВЕТ.240</t>
  </si>
  <si>
    <t>Rota D650 MP ECO 28W-4000K CRI 90 Susp WHI - Светильник</t>
  </si>
  <si>
    <t>2206872_ WHI</t>
  </si>
  <si>
    <t>МАТ.СВЕТ.240 — Rota D650 MP ECO 28W-4000K CRI 90 Susp WHI - Светильник</t>
  </si>
  <si>
    <t>МАТ.СВЕТ.241</t>
  </si>
  <si>
    <t>Rota D650 MP ECO 36W-4000K CRI 90 L24 Reduced Susp BLK - Светильник</t>
  </si>
  <si>
    <t>2206873_ BLK</t>
  </si>
  <si>
    <t>МАТ.СВЕТ.241 — Rota D650 MP ECO 36W-4000K CRI 90 L24 Reduced Susp BLK - Светильник</t>
  </si>
  <si>
    <t>МАТ.СВЕТ.242</t>
  </si>
  <si>
    <t>Rota D650 MP ECO 36W-4000K CRI 90 L24 Reduced Susp WHI - Светильник</t>
  </si>
  <si>
    <t>2206873_ WHI</t>
  </si>
  <si>
    <t>МАТ.СВЕТ.242 — Rota D650 MP ECO 36W-4000K CRI 90 L24 Reduced Susp WHI - Светильник</t>
  </si>
  <si>
    <t>МАТ.СВЕТ.243</t>
  </si>
  <si>
    <t>Rota D800 MP ECO 40W-4000K CRI 90 Ceil BLK H95 - Светильник потолочный специсполнение под данный проект. Предусмотреть выход кабеля сбоку</t>
  </si>
  <si>
    <t>2206689_ BLK H95</t>
  </si>
  <si>
    <t>МАТ.СВЕТ.243 — Rota D800 MP ECO 40W-4000K CRI 90 Ceil BLK H95 - Светильник потолочный специсполнение под данный проект. Предусмотреть выход кабеля сбоку</t>
  </si>
  <si>
    <t>МАТ.СВЕТ.244</t>
  </si>
  <si>
    <t>Rota D800 MP ECO 40W-4000K CRI 90 Ceil WHI H95 - Светильник потолочный специсполнение под данный проект. Предусмотреть выход кабеля сбоку</t>
  </si>
  <si>
    <t>2206689_ WHI H95</t>
  </si>
  <si>
    <t>МАТ.СВЕТ.244 — Rota D800 MP ECO 40W-4000K CRI 90 Ceil WHI H95 - Светильник потолочный специсполнение под данный проект. Предусмотреть выход кабеля сбоку</t>
  </si>
  <si>
    <t>МАТ.СВЕТ.245</t>
  </si>
  <si>
    <t>Rota D800 MP ECO 40W-4000K CRI 90 Susp BLK - Светильник</t>
  </si>
  <si>
    <t>2206886_ BLK</t>
  </si>
  <si>
    <t>МАТ.СВЕТ.245 — Rota D800 MP ECO 40W-4000K CRI 90 Susp BLK - Светильник</t>
  </si>
  <si>
    <t>МАТ.СВЕТ.246</t>
  </si>
  <si>
    <t>Rota D800 MP ECO 40W-4000K CRI 90 Susp WHI - Светильник</t>
  </si>
  <si>
    <t>2206886_ WHI</t>
  </si>
  <si>
    <t>МАТ.СВЕТ.246 — Rota D800 MP ECO 40W-4000K CRI 90 Susp WHI - Светильник</t>
  </si>
  <si>
    <t>МАТ.СВЕТ.247</t>
  </si>
  <si>
    <t>Rota Egg DI MP ECO 28W-4000K CRI 90 270mA Susp BLK - Светильник</t>
  </si>
  <si>
    <t>2208098_ BLK</t>
  </si>
  <si>
    <t>МАТ.СВЕТ.247 — Rota Egg DI MP ECO 28W-4000K CRI 90 270mA Susp BLK - Светильник</t>
  </si>
  <si>
    <t>МАТ.СВЕТ.248</t>
  </si>
  <si>
    <t>Rota Egg DI MP ECO 28W-4000K CRI 90 270mA Susp WHI - Светильник</t>
  </si>
  <si>
    <t>2208098_ WHI</t>
  </si>
  <si>
    <t>МАТ.СВЕТ.248 — Rota Egg DI MP ECO 28W-4000K CRI 90 270mA Susp WHI - Светильник</t>
  </si>
  <si>
    <t>МАТ.СВЕТ.249</t>
  </si>
  <si>
    <t>Rota Egg DI MP ECO 40W-4000K CRI 90 Susp BLK - Светильник</t>
  </si>
  <si>
    <t>2207549_ BLK</t>
  </si>
  <si>
    <t>МАТ.СВЕТ.249 — Rota Egg DI MP ECO 40W-4000K CRI 90 Susp BLK - Светильник</t>
  </si>
  <si>
    <t>МАТ.СВЕТ.250</t>
  </si>
  <si>
    <t>Rota Egg DI MP ECO 40W-4000K CRI 90 Susp WHI - Светильник</t>
  </si>
  <si>
    <t>2207549_ WHI</t>
  </si>
  <si>
    <t>МАТ.СВЕТ.250 — Rota Egg DI MP ECO 40W-4000K CRI 90 Susp WHI - Светильник</t>
  </si>
  <si>
    <t>МАТ.СВЕТ.251</t>
  </si>
  <si>
    <t>Rota Egg DI MP ECO 54W-4000K CRI 90 L24 270mA BLK Susp - Светильник</t>
  </si>
  <si>
    <t>2207550_ BLK</t>
  </si>
  <si>
    <t>МАТ.СВЕТ.251 — Rota Egg DI MP ECO 54W-4000K CRI 90 L24 270mA BLK Susp - Светильник</t>
  </si>
  <si>
    <t>МАТ.СВЕТ.252</t>
  </si>
  <si>
    <t>Rota Egg DI MP ECO 54W-4000K CRI 90 L24 270mA WHI Susp - Светильник</t>
  </si>
  <si>
    <t>2207550_ WHI</t>
  </si>
  <si>
    <t>МАТ.СВЕТ.252 — Rota Egg DI MP ECO 54W-4000K CRI 90 L24 270mA WHI Susp - Светильник</t>
  </si>
  <si>
    <t>МАТ.СВЕТ.253</t>
  </si>
  <si>
    <t>Rota Egg DI MP ECO 77W-4000K CRI 90 L24 Susp BLK - Светильник</t>
  </si>
  <si>
    <t>2400466_ BLK</t>
  </si>
  <si>
    <t>МАТ.СВЕТ.253 — Rota Egg DI MP ECO 77W-4000K CRI 90 L24 Susp BLK - Светильник</t>
  </si>
  <si>
    <t>МАТ.СВЕТ.254</t>
  </si>
  <si>
    <t>Rota Egg DI MP ECO 77W-4000K CRI 90 L24 Susp WHI - Светильник</t>
  </si>
  <si>
    <t>2400466_ WHI</t>
  </si>
  <si>
    <t>МАТ.СВЕТ.254 — Rota Egg DI MP ECO 77W-4000K CRI 90 L24 Susp WHI - Светильник</t>
  </si>
  <si>
    <t>МАТ.СВЕТ.255</t>
  </si>
  <si>
    <t>Rota Slim D1000 MP ECO 23W-4000K CRI 90 175mA Susp BLK - Светильник</t>
  </si>
  <si>
    <t>2207442_ BLK</t>
  </si>
  <si>
    <t>МАТ.СВЕТ.255 — Rota Slim D1000 MP ECO 23W-4000K CRI 90 175mA Susp BLK - Светильник</t>
  </si>
  <si>
    <t>МАТ.СВЕТ.256</t>
  </si>
  <si>
    <t>Rota Slim D1000 MP ECO 23W-4000K CRI 90 175mA Susp WHI - Светильник</t>
  </si>
  <si>
    <t>2207442_ WHI</t>
  </si>
  <si>
    <t>МАТ.СВЕТ.256 — Rota Slim D1000 MP ECO 23W-4000K CRI 90 175mA Susp WHI - Светильник</t>
  </si>
  <si>
    <t>МАТ.СВЕТ.257</t>
  </si>
  <si>
    <t>Rota Slim D1000 MP ECO 49W-4000K CRI 90 Susp BLK - Светильник</t>
  </si>
  <si>
    <t>2207441 BLK</t>
  </si>
  <si>
    <t>МАТ.СВЕТ.257 — Rota Slim D1000 MP ECO 49W-4000K CRI 90 Susp BLK - Светильник</t>
  </si>
  <si>
    <t>МАТ.СВЕТ.258</t>
  </si>
  <si>
    <t>Rota Triangle DI MP ECO 28W-4000K CRI 90 270mA Susp BLK - Светильник</t>
  </si>
  <si>
    <t>2208099_ BLK</t>
  </si>
  <si>
    <t>МАТ.СВЕТ.258 — Rota Triangle DI MP ECO 28W-4000K CRI 90 270mA Susp BLK - Светильник</t>
  </si>
  <si>
    <t>МАТ.СВЕТ.259</t>
  </si>
  <si>
    <t>Rota Triangle DI MP ECO 28W-4000K CRI 90 270mA Susp WHI - Светильник</t>
  </si>
  <si>
    <t>2208099_ WHI</t>
  </si>
  <si>
    <t>МАТ.СВЕТ.259 — Rota Triangle DI MP ECO 28W-4000K CRI 90 270mA Susp WHI - Светильник</t>
  </si>
  <si>
    <t>МАТ.СВЕТ.260</t>
  </si>
  <si>
    <t>Rota Triangle DI MP ECO 42W-4000K CRI 90 Susp BLK - Светильник</t>
  </si>
  <si>
    <t>2207574_ BLK</t>
  </si>
  <si>
    <t>МАТ.СВЕТ.260 — Rota Triangle DI MP ECO 42W-4000K CRI 90 Susp BLK - Светильник</t>
  </si>
  <si>
    <t>МАТ.СВЕТ.261</t>
  </si>
  <si>
    <t>Rota Triangle DI MP ECO 42W-4000K CRI 90 Susp WHI - Светильник</t>
  </si>
  <si>
    <t>2207574_ WHI</t>
  </si>
  <si>
    <t>МАТ.СВЕТ.261 — Rota Triangle DI MP ECO 42W-4000K CRI 90 Susp WHI - Светильник</t>
  </si>
  <si>
    <t>МАТ.СВЕТ.262</t>
  </si>
  <si>
    <t>Rota Triangle DI MP ECO 54W-4000K CRI 90 L24 270mA BLK Susp - Светильник</t>
  </si>
  <si>
    <t>2207575_ BLK</t>
  </si>
  <si>
    <t>МАТ.СВЕТ.262 — Rota Triangle DI MP ECO 54W-4000K CRI 90 L24 270mA BLK Susp - Светильник</t>
  </si>
  <si>
    <t>МАТ.СВЕТ.263</t>
  </si>
  <si>
    <t>Rota Triangle DI MP ECO 54W-4000K CRI 90 L24 270mA WHI Susp - Светильник</t>
  </si>
  <si>
    <t>2207575_ WHI</t>
  </si>
  <si>
    <t>МАТ.СВЕТ.263 — Rota Triangle DI MP ECO 54W-4000K CRI 90 L24 270mA WHI Susp - Светильник</t>
  </si>
  <si>
    <t>МАТ.СВЕТ.264</t>
  </si>
  <si>
    <t>Rota Triangle DI MP ECO 77W-4000K CRI 90 L24 Susp BLK - Светильник</t>
  </si>
  <si>
    <t>2400468_ BLK</t>
  </si>
  <si>
    <t>МАТ.СВЕТ.264 — Rota Triangle DI MP ECO 77W-4000K CRI 90 L24 Susp BLK - Светильник</t>
  </si>
  <si>
    <t>МАТ.СВЕТ.265</t>
  </si>
  <si>
    <t>МАТ.СВЕТ.265 — Rota Triangle DI MP ECO 77W-4000K CRI 90 L24 Susp BLK - Светильник</t>
  </si>
  <si>
    <t>МАТ.СВЕТ.266</t>
  </si>
  <si>
    <t>Rota Triangle DI MP ECO 77W-4000K CRI 90 L24 Susp WHI - Светильник</t>
  </si>
  <si>
    <t>2400468_ WHI</t>
  </si>
  <si>
    <t>МАТ.СВЕТ.266 — Rota Triangle DI MP ECO 77W-4000K CRI 90 L24 Susp WHI - Светильник</t>
  </si>
  <si>
    <t>МАТ.СВЕТ.267</t>
  </si>
  <si>
    <t>МАТ.СВЕТ.267 — Rota Triangle DI MP ECO 77W-4000K CRI 90 L24 Susp WHI - Светильник</t>
  </si>
  <si>
    <t>МАТ.СВЕТ.268</t>
  </si>
  <si>
    <t>SILED / SKB 18-3 Усилитель стыка для шинопровода КРАСНЫЙ ГЛАДКИЙ 3020</t>
  </si>
  <si>
    <t>SILED</t>
  </si>
  <si>
    <t>СИЛЕД</t>
  </si>
  <si>
    <t>МАТ.СВЕТ.268 — SILED / SKB 18-3 Усилитель стыка для шинопровода КРАСНЫЙ ГЛАДКИЙ 3020</t>
  </si>
  <si>
    <t>МАТ.СВЕТ.269</t>
  </si>
  <si>
    <t>SILED / XTS 11-3 Токоподвод левый КРАСНЫЙ ГЛАДКИЙ МАТОВЫЙ RAL3020</t>
  </si>
  <si>
    <t>МАТ.СВЕТ.269 — SILED / XTS 11-3 Токоподвод левый КРАСНЫЙ ГЛАДКИЙ МАТОВЫЙ RAL3020</t>
  </si>
  <si>
    <t>МАТ.СВЕТ.270</t>
  </si>
  <si>
    <t>SILED / XTS 21 Cтык внутренний КРАСНЫЙ ГЛАДКИЙ МАТОВЫЙ RAL3020</t>
  </si>
  <si>
    <t>МАТ.СВЕТ.270 — SILED / XTS 21 Cтык внутренний КРАСНЫЙ ГЛАДКИЙ МАТОВЫЙ RAL3020</t>
  </si>
  <si>
    <t>МАТ.СВЕТ.271</t>
  </si>
  <si>
    <t>SILED / XTS 41-3 Заглушка для шинопровода КРАСНЫЙ ГЛАДКИЙ МАТОВЫЙ RAL3020</t>
  </si>
  <si>
    <t>МАТ.СВЕТ.271 — SILED / XTS 41-3 Заглушка для шинопровода КРАСНЫЙ ГЛАДКИЙ МАТОВЫЙ RAL3020</t>
  </si>
  <si>
    <t>МАТ.СВЕТ.272</t>
  </si>
  <si>
    <t>SILED Шинопровод 1000 мм КРАСНЫЙ</t>
  </si>
  <si>
    <t>МАТ.СВЕТ.272 — SILED Шинопровод 1000 мм КРАСНЫЙ</t>
  </si>
  <si>
    <t>МАТ.СВЕТ.273</t>
  </si>
  <si>
    <t>SILED Шинопровод 1500 мм КРАСНЫЙ</t>
  </si>
  <si>
    <t>МАТ.СВЕТ.273 — SILED Шинопровод 1500 мм КРАСНЫЙ</t>
  </si>
  <si>
    <t>МАТ.СВЕТ.274</t>
  </si>
  <si>
    <t>SILED Шинопровод 2000 мм КРАСНЫЙ</t>
  </si>
  <si>
    <t>МАТ.СВЕТ.274 — SILED Шинопровод 2000 мм КРАСНЫЙ</t>
  </si>
  <si>
    <t>МАТ.СВЕТ.275</t>
  </si>
  <si>
    <t>SILED Шинопровод 2500 мм КРАСНЫЙ</t>
  </si>
  <si>
    <t>МАТ.СВЕТ.275 — SILED Шинопровод 2500 мм КРАСНЫЙ</t>
  </si>
  <si>
    <t>МАТ.СВЕТ.276</t>
  </si>
  <si>
    <t>SILED Шинопровод 3000 мм КРАСНЫЙ</t>
  </si>
  <si>
    <t>МАТ.СВЕТ.276 — SILED Шинопровод 3000 мм КРАСНЫЙ</t>
  </si>
  <si>
    <t>МАТ.СВЕТ.277</t>
  </si>
  <si>
    <t>Silent acoustic D200-100x(h)300mm, 1xE27, one side colour Susp Серый- Светильник</t>
  </si>
  <si>
    <t>1904746_ GRY</t>
  </si>
  <si>
    <t>МАТ.СВЕТ.277 — Silent acoustic D200-100x(h)300mm, 1xE27, one side colour Susp Серый- Светильник</t>
  </si>
  <si>
    <t>МАТ.СВЕТ.278</t>
  </si>
  <si>
    <t>Silent acoustic D380-230x(h)500mm, 1xE27, one side colour Susp (белый внутри, серый снаружи)- Светильник</t>
  </si>
  <si>
    <t>2200104_ GRY-WHI</t>
  </si>
  <si>
    <t>МАТ.СВЕТ.278 — Silent acoustic D380-230x(h)500mm, 1xE27, one side colour Susp (белый внутри, серый снаружи)- Светильник</t>
  </si>
  <si>
    <t>МАТ.СВЕТ.279</t>
  </si>
  <si>
    <t>Silent acoustic D800-400x(h)400mm, 3xE27, one side colour Susp RED - Светильник</t>
  </si>
  <si>
    <t>2400162_ RED</t>
  </si>
  <si>
    <t>МАТ.СВЕТ.279 — Silent acoustic D800-400x(h)400mm, 3xE27, one side colour Susp RED - Светильник</t>
  </si>
  <si>
    <t>МАТ.СВЕТ.280</t>
  </si>
  <si>
    <t>Snap R D33mm-1.5W-4000K CRI 90 Recess BLK - Светильник</t>
  </si>
  <si>
    <t>1904622_ BLK</t>
  </si>
  <si>
    <t>МАТ.СВЕТ.280 — Snap R D33mm-1.5W-4000K CRI 90 Recess BLK - Светильник</t>
  </si>
  <si>
    <t>МАТ.СВЕТ.281</t>
  </si>
  <si>
    <t>Snap R D33mm-1.5W-4000K CRI 90 Recess WHI - Светильник</t>
  </si>
  <si>
    <t>1904622_ WHI</t>
  </si>
  <si>
    <t>МАТ.СВЕТ.281 — Snap R D33mm-1.5W-4000K CRI 90 Recess WHI - Светильник</t>
  </si>
  <si>
    <t>МАТ.СВЕТ.282</t>
  </si>
  <si>
    <t>Заглушка LGD-4TR-CAP-WH ©</t>
  </si>
  <si>
    <t>024729</t>
  </si>
  <si>
    <t>МАТ.СВЕТ.282 — Заглушка LGD-4TR-CAP-WH ©</t>
  </si>
  <si>
    <t>МАТ.СВЕТ.283</t>
  </si>
  <si>
    <t>Заглушка, черная</t>
  </si>
  <si>
    <t>МАТ.СВЕТ.283 — Заглушка, черная</t>
  </si>
  <si>
    <t>МАТ.СВЕТ.284</t>
  </si>
  <si>
    <t>024727</t>
  </si>
  <si>
    <t>МАТ.СВЕТ.284 — Зажим LGD-4TR-CLIP-WH ©</t>
  </si>
  <si>
    <t>МАТ.СВЕТ.285</t>
  </si>
  <si>
    <t>Комплект линейного соединения для св-ка LA LINEA SILED</t>
  </si>
  <si>
    <t>МАТ.СВЕТ.285 — Комплект линейного соединения для св-ка LA LINEA SILED</t>
  </si>
  <si>
    <t>МАТ.СВЕТ.286</t>
  </si>
  <si>
    <t>Комплект подвеса 3м черный</t>
  </si>
  <si>
    <t>МАТ.СВЕТ.286 — Комплект подвеса 3м черный</t>
  </si>
  <si>
    <t>МАТ.СВЕТ.287</t>
  </si>
  <si>
    <t>Комплект подвеса для шинопровода 3000 мм (SILED)КРАСНЫЙ ГЛАДКИЙ 3020</t>
  </si>
  <si>
    <t>МАТ.СВЕТ.287 — Комплект подвеса для шинопровода 3000 мм (SILED)КРАСНЫЙ ГЛАДКИЙ 3020</t>
  </si>
  <si>
    <t>МАТ.СВЕТ.288</t>
  </si>
  <si>
    <t>042557</t>
  </si>
  <si>
    <t>МАТ.СВЕТ.288 — Коннектор внутренний LGD-4TR-CON-MINI-WH ©</t>
  </si>
  <si>
    <t>МАТ.СВЕТ.289</t>
  </si>
  <si>
    <t>Коннектор питания LGD-4TR-CON-POWER-L-WH ©</t>
  </si>
  <si>
    <t>024714</t>
  </si>
  <si>
    <t>МАТ.СВЕТ.289 — Коннектор питания LGD-4TR-CON-POWER-L-WH ©</t>
  </si>
  <si>
    <t>МАТ.СВЕТ.290</t>
  </si>
  <si>
    <t>Коннектор прямой LGD-4TR-CON-LONG-WH ©</t>
  </si>
  <si>
    <t>028836</t>
  </si>
  <si>
    <t>МАТ.СВЕТ.290 — Коннектор прямой LGD-4TR-CON-LONG-WH ©</t>
  </si>
  <si>
    <t>МАТ.СВЕТ.291</t>
  </si>
  <si>
    <t>024280</t>
  </si>
  <si>
    <t>МАТ.СВЕТ.291 — Подвес LGD-4TR-HANG-2-WH ©</t>
  </si>
  <si>
    <t>МАТ.СВЕТ.292</t>
  </si>
  <si>
    <t>Пульт SMART-R10-DIM (4 зоны, 2.4G)</t>
  </si>
  <si>
    <t>МАТ.СВЕТ.292 — Пульт SMART-R10-DIM (4 зоны, 2.4G)</t>
  </si>
  <si>
    <t>МАТ.СВЕТ.293</t>
  </si>
  <si>
    <t>Светильник LGD-GERA-4TR-R74-20W Day4000 (WH, 24 deg, 230V)</t>
  </si>
  <si>
    <t>024085(2)</t>
  </si>
  <si>
    <t>МАТ.СВЕТ.293 — Светильник LGD-GERA-4TR-R74-20W Day4000 (WH, 24 deg, 230V)</t>
  </si>
  <si>
    <t>МАТ.СВЕТ.294</t>
  </si>
  <si>
    <t>Светильник светодиодный SILED LA LINEA 1000 25W 4000K Ra80, МИКРОПРИЗМА, 992 мм КРАСНЫЙ ГЛАДКИЙ 3020 в комплекте с подвесом и заглушками</t>
  </si>
  <si>
    <t>МАТ.СВЕТ.294 — Светильник светодиодный SILED LA LINEA 1000 25W 4000K Ra80, МИКРОПРИЗМА, 992 мм КРАСНЫЙ ГЛАДКИЙ 3020 в комплекте с подвесом и заглушками</t>
  </si>
  <si>
    <t>МАТ.СВЕТ.295</t>
  </si>
  <si>
    <t>Светильник светодиодный SILED LA LINEA 1500 38W 4000K Ra80, МИКРОПРИЗМА, 1484 мм КРАСНЫЙ ГЛАДКИЙ 3020 в комплекте с подвесом и заглушками</t>
  </si>
  <si>
    <t>МАТ.СВЕТ.295 — Светильник светодиодный SILED LA LINEA 1500 38W 4000K Ra80, МИКРОПРИЗМА, 1484 мм КРАСНЫЙ ГЛАДКИЙ 3020 в комплекте с подвесом и заглушками</t>
  </si>
  <si>
    <t>МАТ.СВЕТ.296</t>
  </si>
  <si>
    <t>Светильник светодиодный SILED LA LINEA 2000 50W 4000K Ra80, МИКРОПРИЗМА, 1976 мм КРАСНЫЙ ГЛАДКИЙ 3020 в комплекте с подвесом и заглушками</t>
  </si>
  <si>
    <t>МАТ.СВЕТ.296 — Светильник светодиодный SILED LA LINEA 2000 50W 4000K Ra80, МИКРОПРИЗМА, 1976 мм КРАСНЫЙ ГЛАДКИЙ 3020 в комплекте с подвесом и заглушками</t>
  </si>
  <si>
    <t>МАТ.СВЕТ.297</t>
  </si>
  <si>
    <t>Светильник светодиодный SILED LA LINEA 3000 75W 4000K Ra80, МИКРОПРИЗМА, 2968 мм КРАСНЫЙ ГЛАДКИЙ 3020 в комплекте с подвесом и заглушками</t>
  </si>
  <si>
    <t>МАТ.СВЕТ.297 — Светильник светодиодный SILED LA LINEA 3000 75W 4000K Ra80, МИКРОПРИЗМА, 2968 мм КРАСНЫЙ ГЛАДКИЙ 3020 в комплекте с подвесом и заглушками</t>
  </si>
  <si>
    <t>МАТ.СВЕТ.298</t>
  </si>
  <si>
    <t>Светильник светодиодный трековый SILED LINE SPOT 20W 4000K/CRI80 45 гр КРАСНЫЙ RAL3020</t>
  </si>
  <si>
    <t>МАТ.СВЕТ.298 — Светильник светодиодный трековый SILED LINE SPOT 20W 4000K/CRI80 45 гр КРАСНЫЙ RAL3020</t>
  </si>
  <si>
    <t>МАТ.СВЕТ.299</t>
  </si>
  <si>
    <t>Соединитель внутренний, черный</t>
  </si>
  <si>
    <t>МАТ.СВЕТ.299 — Соединитель внутренний, черный</t>
  </si>
  <si>
    <t>МАТ.СВЕТ.300</t>
  </si>
  <si>
    <t>Соединитель угловой 90° внешний Правый, черный</t>
  </si>
  <si>
    <t>МАТ.СВЕТ.300 — Соединитель угловой 90° внешний Правый, черный</t>
  </si>
  <si>
    <t>МАТ.СВЕТ.301</t>
  </si>
  <si>
    <t>Соединитель угловой 90° внутренний</t>
  </si>
  <si>
    <t>МАТ.СВЕТ.301 — Соединитель угловой 90° внутренний</t>
  </si>
  <si>
    <t>МАТ.СВЕТ.302</t>
  </si>
  <si>
    <t>Токоподвод д/шинопровода Левый, черный</t>
  </si>
  <si>
    <t>МАТ.СВЕТ.302 — Токоподвод д/шинопровода Левый, черный</t>
  </si>
  <si>
    <t>МАТ.СВЕТ.303</t>
  </si>
  <si>
    <t>Токоподвод д/шинопровода Правый, черный</t>
  </si>
  <si>
    <t>МАТ.СВЕТ.303 — Токоподвод д/шинопровода Правый, черный</t>
  </si>
  <si>
    <t>МАТ.СВЕТ.304</t>
  </si>
  <si>
    <t>Торшер ADDIT F Ant Conical D600 E27 max 40W - Светильник</t>
  </si>
  <si>
    <t>2207965</t>
  </si>
  <si>
    <t>МАТ.СВЕТ.304 — Торшер ADDIT F Ant Conical D600 E27 max 40W - Светильник</t>
  </si>
  <si>
    <t>МАТ.СВЕТ.305</t>
  </si>
  <si>
    <t>Трек LGD-4TR-TRACK-1000-WH-M ©</t>
  </si>
  <si>
    <t>030562(2)</t>
  </si>
  <si>
    <t>МАТ.СВЕТ.305 — Трек LGD-4TR-TRACK-1000-WH-M ©</t>
  </si>
  <si>
    <t>МАТ.СВЕТ.306</t>
  </si>
  <si>
    <t>Трек LGD-4TR-TRACK-2000-WH-M ©</t>
  </si>
  <si>
    <t>026140(2)</t>
  </si>
  <si>
    <t>МАТ.СВЕТ.306 — Трек LGD-4TR-TRACK-2000-WH-M ©</t>
  </si>
  <si>
    <t>МАТ.СВЕТ.307</t>
  </si>
  <si>
    <t>МАТ.СВЕТ.307 — Трек LGD-4TR-TRACK-2000-WH-M ©</t>
  </si>
  <si>
    <t>МАТ.СВЕТ.308</t>
  </si>
  <si>
    <t>Трек LGD-4TR-TRACK-3000-WH-M ©</t>
  </si>
  <si>
    <t>046092</t>
  </si>
  <si>
    <t>МАТ.СВЕТ.308 — Трек LGD-4TR-TRACK-3000-WH-M ©</t>
  </si>
  <si>
    <t>МАТ.СВЕТ.309</t>
  </si>
  <si>
    <t>МАТ.СВЕТ.309 — Трек LGD-4TR-TRACK-3000-WH-M ©</t>
  </si>
  <si>
    <t>МАТ.СВЕТ.310</t>
  </si>
  <si>
    <t>Усилитель стыка, черный</t>
  </si>
  <si>
    <t>МАТ.СВЕТ.310 — Усилитель стыка, черный</t>
  </si>
  <si>
    <t>МАТ.СВЕТ.311</t>
  </si>
  <si>
    <t>Шинопровод черный 1м.</t>
  </si>
  <si>
    <t>МАТ.СВЕТ.311 — Шинопровод черный 1м.</t>
  </si>
  <si>
    <t>МАТ.СВЕТ.312</t>
  </si>
  <si>
    <t>Шинопровод черный 2м.</t>
  </si>
  <si>
    <t>МАТ.СВЕТ.312 — Шинопровод черный 2м.</t>
  </si>
  <si>
    <t>МАТ.СВЕТ.313</t>
  </si>
  <si>
    <t>Шинопровод черный 3м.</t>
  </si>
  <si>
    <t>МАТ.СВЕТ.313 — Шинопровод черный 3м.</t>
  </si>
  <si>
    <t>МАТ.СВЕТ.АВАР.001</t>
  </si>
  <si>
    <t>Agat D80 35W-4000K CRI 90 M1200 Susp (драйвер выносной) WHI Emerg - Светильник</t>
  </si>
  <si>
    <t>2309027_ WHI Emg</t>
  </si>
  <si>
    <t>МАТ.СВЕТ.АВАР.001 — Agat D80 35W-4000K CRI 90 M1200 Susp (драйвер выносной) WHI Emerg - Светильник</t>
  </si>
  <si>
    <t>МАТ.СВЕТ.АВАР.002</t>
  </si>
  <si>
    <t>Agat Vertical D80 12W-4000K CRI 90 H200 Susp (ceiling rose incl.) WHI Emerg - Светильник</t>
  </si>
  <si>
    <t>2409707_ WHI Emg</t>
  </si>
  <si>
    <t>МАТ.СВЕТ.АВАР.002 — Agat Vertical D80 12W-4000K CRI 90 H200 Susp (ceiling rose incl.) WHI Emerg - Светильник</t>
  </si>
  <si>
    <t>МАТ.СВЕТ.АВАР.003</t>
  </si>
  <si>
    <t>FAT 12W-4000K CRI 90 H180 MP Susp BLK Emerg - Светильник</t>
  </si>
  <si>
    <t>2200669_ BLK Emg</t>
  </si>
  <si>
    <t>МАТ.СВЕТ.АВАР.003 — FAT 12W-4000K CRI 90 H180 MP Susp BLK Emerg - Светильник</t>
  </si>
  <si>
    <t>МАТ.СВЕТ.АВАР.004</t>
  </si>
  <si>
    <t>FAT 12W-4000K CRI 90 H180 MP Susp RED Emerg - Светильник</t>
  </si>
  <si>
    <t>2200669_ RED Emg</t>
  </si>
  <si>
    <t>МАТ.СВЕТ.АВАР.004 — FAT 12W-4000K CRI 90 H180 MP Susp RED Emerg - Светильник</t>
  </si>
  <si>
    <t>МАТ.СВЕТ.АВАР.005</t>
  </si>
  <si>
    <t>FAT 12W-4000K CRI 90 H180 MP Susp WHI Emerg - Светильник</t>
  </si>
  <si>
    <t>2200669_ WHI Emg</t>
  </si>
  <si>
    <t>МАТ.СВЕТ.АВАР.005 — FAT 12W-4000K CRI 90 H180 MP Susp WHI Emerg - Светильник</t>
  </si>
  <si>
    <t>МАТ.СВЕТ.АВАР.006</t>
  </si>
  <si>
    <t>FAT 12W-4000K CRI 90 H95 MP Susp WHI Emerg - Светильник</t>
  </si>
  <si>
    <t>2200661_ WHI Emg</t>
  </si>
  <si>
    <t>МАТ.СВЕТ.АВАР.006 — FAT 12W-4000K CRI 90 H95 MP Susp WHI Emerg - Светильник</t>
  </si>
  <si>
    <t>МАТ.СВЕТ.АВАР.007</t>
  </si>
  <si>
    <t>FAT 12W-4000K CRI 90 H95 REF 45`Ceil BLK - Светильник. Аварийный блок выносной</t>
  </si>
  <si>
    <t>2309088_ BLK Emg</t>
  </si>
  <si>
    <t>МАТ.СВЕТ.АВАР.007 — FAT 12W-4000K CRI 90 H95 REF 45`Ceil BLK - Светильник. Аварийный блок выносной</t>
  </si>
  <si>
    <t>МАТ.СВЕТ.АВАР.008</t>
  </si>
  <si>
    <t>FAT 12W-4000K CRI 90 H95 REF 45`Ceil WHI - Светильник. Аварийный блок выносной</t>
  </si>
  <si>
    <t>2309088_ WHI Emg</t>
  </si>
  <si>
    <t>МАТ.СВЕТ.АВАР.008 — FAT 12W-4000K CRI 90 H95 REF 45`Ceil WHI - Светильник. Аварийный блок выносной</t>
  </si>
  <si>
    <t>МАТ.СВЕТ.АВАР.009</t>
  </si>
  <si>
    <t>FAT 8W-4000K CRI 90 H180 REF 45`Ceil BLK Emerg - Светильник</t>
  </si>
  <si>
    <t>2502602_ BLK Emg</t>
  </si>
  <si>
    <t>МАТ.СВЕТ.АВАР.009 — FAT 8W-4000K CRI 90 H180 REF 45`Ceil BLK Emerg - Светильник</t>
  </si>
  <si>
    <t>МАТ.СВЕТ.АВАР.010</t>
  </si>
  <si>
    <t>FAT 8W-4000K CRI 90 H180 REF 45`Ceil WHI Emerg - Светильник</t>
  </si>
  <si>
    <t>2502602_ WHI Emg</t>
  </si>
  <si>
    <t>МАТ.СВЕТ.АВАР.010 — FAT 8W-4000K CRI 90 H180 REF 45`Ceil WHI Emerg - Светильник</t>
  </si>
  <si>
    <t>МАТ.СВЕТ.АВАР.011</t>
  </si>
  <si>
    <t>FAT 8W-4000K CRI 90 H180 REF45` Susp BLK Emerg - Светильник</t>
  </si>
  <si>
    <t>2407201_ BLK Emg</t>
  </si>
  <si>
    <t>МАТ.СВЕТ.АВАР.011 — FAT 8W-4000K CRI 90 H180 REF45` Susp BLK Emerg - Светильник</t>
  </si>
  <si>
    <t>МАТ.СВЕТ.АВАР.012</t>
  </si>
  <si>
    <t>FAT 8W-4000K CRI 90 H180 REF45` Susp WHI Emerg - Светильник</t>
  </si>
  <si>
    <t>2407201_ WHI Emg</t>
  </si>
  <si>
    <t>МАТ.СВЕТ.АВАР.012 — FAT 8W-4000K CRI 90 H180 REF45` Susp WHI Emerg - Светильник</t>
  </si>
  <si>
    <t>МАТ.СВЕТ.АВАР.013</t>
  </si>
  <si>
    <t>FAT 8W-4000K CRI 90 H95 MP Ceil BLK Emerg - Светильник потолочный. Предусмотреть выход кабеля сбоку</t>
  </si>
  <si>
    <t>2200576_ BLK Emerg</t>
  </si>
  <si>
    <t>МАТ.СВЕТ.АВАР.013 — FAT 8W-4000K CRI 90 H95 MP Ceil BLK Emerg - Светильник потолочный. Предусмотреть выход кабеля сбоку</t>
  </si>
  <si>
    <t>МАТ.СВЕТ.АВАР.014</t>
  </si>
  <si>
    <t>FAT 8W-4000K CRI 90 H95 MP Ceil WHI Emerg - Светильник потолочный. Предусмотреть выход кабеля сбоку</t>
  </si>
  <si>
    <t>2200576_ WHI Emerg</t>
  </si>
  <si>
    <t>МАТ.СВЕТ.АВАР.014 — FAT 8W-4000K CRI 90 H95 MP Ceil WHI Emerg - Светильник потолочный. Предусмотреть выход кабеля сбоку</t>
  </si>
  <si>
    <t>МАТ.СВЕТ.АВАР.015</t>
  </si>
  <si>
    <t>FAT Comfort 12W-4000K CRI 90 H130 MP Susp BLK Emerg - Светильник</t>
  </si>
  <si>
    <t>2200685_ BLK Emg</t>
  </si>
  <si>
    <t>МАТ.СВЕТ.АВАР.015 — FAT Comfort 12W-4000K CRI 90 H130 MP Susp BLK Emerg - Светильник</t>
  </si>
  <si>
    <t>МАТ.СВЕТ.АВАР.016</t>
  </si>
  <si>
    <t>FAT Comfort 12W-4000K CRI 90 H130 MP Susp WHI Emerg - Светильник</t>
  </si>
  <si>
    <t>2200685_ WHI Emg</t>
  </si>
  <si>
    <t>МАТ.СВЕТ.АВАР.016 — FAT Comfort 12W-4000K CRI 90 H130 MP Susp WHI Emerg - Светильник</t>
  </si>
  <si>
    <t>МАТ.СВЕТ.АВАР.017</t>
  </si>
  <si>
    <t>FAT Comfort 12W-4000K CRI 90 H215 MP Susp BLK Emerg - Светильник</t>
  </si>
  <si>
    <t>2200693_ BLK Emg</t>
  </si>
  <si>
    <t>МАТ.СВЕТ.АВАР.017 — FAT Comfort 12W-4000K CRI 90 H215 MP Susp BLK Emerg - Светильник</t>
  </si>
  <si>
    <t>МАТ.СВЕТ.АВАР.018</t>
  </si>
  <si>
    <t>FAT Comfort 12W-4000K CRI 90 H215 MP Susp WHI Emerg - Светильник</t>
  </si>
  <si>
    <t>2200693_ WHI Emg</t>
  </si>
  <si>
    <t>МАТ.СВЕТ.АВАР.018 — FAT Comfort 12W-4000K CRI 90 H215 MP Susp WHI Emerg - Светильник</t>
  </si>
  <si>
    <t>МАТ.СВЕТ.АВАР.019</t>
  </si>
  <si>
    <t>FAT Comfort 8W-4000K CRI 90 H130 MP Susp BLK Emerg - Светильник</t>
  </si>
  <si>
    <t>2200681_ BLK Emg</t>
  </si>
  <si>
    <t>МАТ.СВЕТ.АВАР.019 — FAT Comfort 8W-4000K CRI 90 H130 MP Susp BLK Emerg - Светильник</t>
  </si>
  <si>
    <t>МАТ.СВЕТ.АВАР.020</t>
  </si>
  <si>
    <t>FAT Comfort 8W-4000K CRI 90 H130 MP Susp WHI Emerg - Светильник</t>
  </si>
  <si>
    <t>2200681_ WHI Emg</t>
  </si>
  <si>
    <t>МАТ.СВЕТ.АВАР.020 — FAT Comfort 8W-4000K CRI 90 H130 MP Susp WHI Emerg - Светильник</t>
  </si>
  <si>
    <t>МАТ.СВЕТ.АВАР.021</t>
  </si>
  <si>
    <t>GARDA WALL 7W-4000K CRI 90 ON/OFF IP65 Emerg- Светильник. Аварийный блок выносной</t>
  </si>
  <si>
    <t>2208138 Emg</t>
  </si>
  <si>
    <t>МАТ.СВЕТ.АВАР.021 — GARDA WALL 7W-4000K CRI 90 ON/OFF IP65 Emerg- Светильник. Аварийный блок выносной</t>
  </si>
  <si>
    <t>МАТ.СВЕТ.АВАР.022</t>
  </si>
  <si>
    <t>Get ON Emergency EM1H Susp " ↑" - Светильник аварийный</t>
  </si>
  <si>
    <t>2103226</t>
  </si>
  <si>
    <t>МАТ.СВЕТ.АВАР.022 — Get ON Emergency EM1H Susp " ↑" - Светильник аварийный</t>
  </si>
  <si>
    <t>МАТ.СВЕТ.АВАР.023</t>
  </si>
  <si>
    <t>МАТ.СВЕТ.АВАР.023 — Get ON Emergency EM1H Susp " ↑" - Светильник аварийный</t>
  </si>
  <si>
    <t>МАТ.СВЕТ.АВАР.024</t>
  </si>
  <si>
    <t>Get ON Emergency EM1H Susp " ↓" BLK - Светильник аварийный</t>
  </si>
  <si>
    <t>1903918_ BLK</t>
  </si>
  <si>
    <t>МАТ.СВЕТ.АВАР.024 — Get ON Emergency EM1H Susp " ↓" BLK - Светильник аварийный</t>
  </si>
  <si>
    <t>МАТ.СВЕТ.АВАР.025</t>
  </si>
  <si>
    <t>Get ON Emergency EM1H Susp " ↓" WHI - Светильник аварийный</t>
  </si>
  <si>
    <t>1903918_ WHI</t>
  </si>
  <si>
    <t>МАТ.СВЕТ.АВАР.025 — Get ON Emergency EM1H Susp " ↓" WHI - Светильник аварийный</t>
  </si>
  <si>
    <t>МАТ.СВЕТ.АВАР.026</t>
  </si>
  <si>
    <t>Get ON Emergency EM1H Susp "ВЫХОД" BLK - Светильник аварийный</t>
  </si>
  <si>
    <t>1903912_ BLK</t>
  </si>
  <si>
    <t>МАТ.СВЕТ.АВАР.026 — Get ON Emergency EM1H Susp "ВЫХОД" BLK - Светильник аварийный</t>
  </si>
  <si>
    <t>МАТ.СВЕТ.АВАР.027</t>
  </si>
  <si>
    <t>Get ON Emergency EM1H Susp "ВЫХОД" WHI - Светильник аварийный</t>
  </si>
  <si>
    <t>1903912_ WHI</t>
  </si>
  <si>
    <t>МАТ.СВЕТ.АВАР.027 — Get ON Emergency EM1H Susp "ВЫХОД" WHI - Светильник аварийный</t>
  </si>
  <si>
    <t>МАТ.СВЕТ.АВАР.028</t>
  </si>
  <si>
    <t>Get ON Emergency EM1H Susp "→" BLK - Светильник аварийный</t>
  </si>
  <si>
    <t>1903915_ BLK</t>
  </si>
  <si>
    <t>МАТ.СВЕТ.АВАР.028 — Get ON Emergency EM1H Susp "→" BLK - Светильник аварийный</t>
  </si>
  <si>
    <t>МАТ.СВЕТ.АВАР.029</t>
  </si>
  <si>
    <t>Get ON Emergency EM1H Susp "→" WHI - Светильник аварийный</t>
  </si>
  <si>
    <t>1903915_ WHI</t>
  </si>
  <si>
    <t>МАТ.СВЕТ.АВАР.029 — Get ON Emergency EM1H Susp "→" WHI - Светильник аварийный</t>
  </si>
  <si>
    <t>МАТ.СВЕТ.АВАР.030</t>
  </si>
  <si>
    <t>Get ON Emergency EM1H Susp Двухсторонний "→" BLK - Светильник аварийный</t>
  </si>
  <si>
    <t>1903922_ BLK</t>
  </si>
  <si>
    <t>МАТ.СВЕТ.АВАР.030 — Get ON Emergency EM1H Susp Двухсторонний "→" BLK - Светильник аварийный</t>
  </si>
  <si>
    <t>МАТ.СВЕТ.АВАР.031</t>
  </si>
  <si>
    <t>Get ON Emergency EM1H Susp Двухсторонний "→" WHI - Светильник аварийный</t>
  </si>
  <si>
    <t>1903922_ WHI</t>
  </si>
  <si>
    <t>МАТ.СВЕТ.АВАР.031 — Get ON Emergency EM1H Susp Двухсторонний "→" WHI - Светильник аварийный</t>
  </si>
  <si>
    <t>МАТ.СВЕТ.АВАР.032</t>
  </si>
  <si>
    <t>Get ON Emergency EM1H Wall "ВЫХОД" BLK - Светильник аварийный</t>
  </si>
  <si>
    <t>1403537_ BLK</t>
  </si>
  <si>
    <t>МАТ.СВЕТ.АВАР.032 — Get ON Emergency EM1H Wall "ВЫХОД" BLK - Светильник аварийный</t>
  </si>
  <si>
    <t>МАТ.СВЕТ.АВАР.033</t>
  </si>
  <si>
    <t>Get ON Emergency EM1H Wall "ВЫХОД" WHI - Светильник аварийный</t>
  </si>
  <si>
    <t>1403537_ WHI</t>
  </si>
  <si>
    <t>МАТ.СВЕТ.АВАР.033 — Get ON Emergency EM1H Wall "ВЫХОД" WHI - Светильник аварийный</t>
  </si>
  <si>
    <t>МАТ.СВЕТ.АВАР.034</t>
  </si>
  <si>
    <t>Get ON Emergency EM1H Wall "←" BLK - Светильник аварийный</t>
  </si>
  <si>
    <t>1903613_ BLK</t>
  </si>
  <si>
    <t>МАТ.СВЕТ.АВАР.034 — Get ON Emergency EM1H Wall "←" BLK - Светильник аварийный</t>
  </si>
  <si>
    <t>МАТ.СВЕТ.АВАР.035</t>
  </si>
  <si>
    <t>Get ON Emergency EM1H Wall "←" WHI - Светильник аварийный</t>
  </si>
  <si>
    <t>1903613_ WHI</t>
  </si>
  <si>
    <t>МАТ.СВЕТ.АВАР.035 — Get ON Emergency EM1H Wall "←" WHI - Светильник аварийный</t>
  </si>
  <si>
    <t>МАТ.СВЕТ.АВАР.036</t>
  </si>
  <si>
    <t>Get ON Emergency EM1H Wall "→" BLK - Светильник аварийный</t>
  </si>
  <si>
    <t>1903612_ BLK</t>
  </si>
  <si>
    <t>МАТ.СВЕТ.АВАР.036 — Get ON Emergency EM1H Wall "→" BLK - Светильник аварийный</t>
  </si>
  <si>
    <t>МАТ.СВЕТ.АВАР.037</t>
  </si>
  <si>
    <t>Get ON Emergency EM1H Wall "→" WHI - Светильник аварийный</t>
  </si>
  <si>
    <t>1903612_ WHI</t>
  </si>
  <si>
    <t>МАТ.СВЕТ.АВАР.037 — Get ON Emergency EM1H Wall "→" WHI - Светильник аварийный</t>
  </si>
  <si>
    <t>МАТ.СВЕТ.АВАР.038</t>
  </si>
  <si>
    <t>Grata Slim SL D750 MP ECO 33W-4000K CRI 90 175mA Susp Emerg BLK - Светильник</t>
  </si>
  <si>
    <t>2308772_ BLK Emg</t>
  </si>
  <si>
    <t>МАТ.СВЕТ.АВАР.038 — Grata Slim SL D750 MP ECO 33W-4000K CRI 90 175mA Susp Emerg BLK - Светильник</t>
  </si>
  <si>
    <t>МАТ.СВЕТ.АВАР.039</t>
  </si>
  <si>
    <t>Grata Slim SL D750 MP ECO 33W-4000K CRI 90 175mA Susp Emerg WHI - Светильник</t>
  </si>
  <si>
    <t>2308772_ WHI Emg</t>
  </si>
  <si>
    <t>МАТ.СВЕТ.АВАР.039 — Grata Slim SL D750 MP ECO 33W-4000K CRI 90 175mA Susp Emerg WHI - Светильник</t>
  </si>
  <si>
    <t>МАТ.СВЕТ.АВАР.040</t>
  </si>
  <si>
    <t>IEK Светильник ДСП 1304 18Вт 4000К IP65 600мм Emerg - Светильник</t>
  </si>
  <si>
    <t>2409705 Emg</t>
  </si>
  <si>
    <t>МАТ.СВЕТ.АВАР.040 — IEK Светильник ДСП 1304 18Вт 4000К IP65 600мм Emerg - Светильник</t>
  </si>
  <si>
    <t>МАТ.СВЕТ.АВАР.041</t>
  </si>
  <si>
    <t>2200204 Emg</t>
  </si>
  <si>
    <t>МАТ.СВЕТ.АВАР.041 — IEK Светильник ДСП 1318 48Вт 4500К IP65 1500мм Emerg</t>
  </si>
  <si>
    <t>МАТ.СВЕТ.АВАР.042</t>
  </si>
  <si>
    <t>Longa 40 DI 15W/mt-4000K CRI 90 ROW 175mA Susp BLK Emerg - Светильник</t>
  </si>
  <si>
    <t>2205725_ BLK Emg</t>
  </si>
  <si>
    <t>МАТ.СВЕТ.АВАР.042 — Longa 40 DI 15W/mt-4000K CRI 90 ROW 175mA Susp BLK Emerg - Светильник</t>
  </si>
  <si>
    <t>МАТ.СВЕТ.АВАР.043</t>
  </si>
  <si>
    <t>Longa 40 DI 15W/mt-4000K CRI 90 ROW 175mA Susp RAL3020 Emerg - Светильник</t>
  </si>
  <si>
    <t>2205725_RAL3020 Emg</t>
  </si>
  <si>
    <t>МАТ.СВЕТ.АВАР.043 — Longa 40 DI 15W/mt-4000K CRI 90 ROW 175mA Susp RAL3020 Emerg - Светильник</t>
  </si>
  <si>
    <t>МАТ.СВЕТ.АВАР.044</t>
  </si>
  <si>
    <t>Longa 40 DI 15W/mt-4000K CRI 90 ROW 175mA Susp WHI Emerg - Светильник</t>
  </si>
  <si>
    <t>2205725_ WHI Emg</t>
  </si>
  <si>
    <t>МАТ.СВЕТ.АВАР.044 — Longa 40 DI 15W/mt-4000K CRI 90 ROW 175mA Susp WHI Emerg - Светильник</t>
  </si>
  <si>
    <t>МАТ.СВЕТ.АВАР.045</t>
  </si>
  <si>
    <t>Longa 40 DI 22W/mt-4000K CRI 90 ROW 270mA Ceil BLK Emerg, L=2314mm - Светильник</t>
  </si>
  <si>
    <t>2205598_ 2314 BLK Emg</t>
  </si>
  <si>
    <t>МАТ.СВЕТ.АВАР.045 — Longa 40 DI 22W/mt-4000K CRI 90 ROW 270mA Ceil BLK Emerg, L=2314mm - Светильник</t>
  </si>
  <si>
    <t>МАТ.СВЕТ.АВАР.046</t>
  </si>
  <si>
    <t>Longa 40 DI 22W/mt-4000K CRI 90 ROW 270mA Ceil WHI Emerg, L=2314mm - Светильник</t>
  </si>
  <si>
    <t>2205598_ 2314 WHI Emg</t>
  </si>
  <si>
    <t>МАТ.СВЕТ.АВАР.046 — Longa 40 DI 22W/mt-4000K CRI 90 ROW 270mA Ceil WHI Emerg, L=2314mm - Светильник</t>
  </si>
  <si>
    <t>МАТ.СВЕТ.АВАР.047</t>
  </si>
  <si>
    <t>Longa 40 DI 22W/mt-4000K CRI 90 ROW 270mA Susp BLK Emerg - Светильник</t>
  </si>
  <si>
    <t>2205724_ BLK Emg</t>
  </si>
  <si>
    <t>МАТ.СВЕТ.АВАР.047 — Longa 40 DI 22W/mt-4000K CRI 90 ROW 270mA Susp BLK Emerg - Светильник</t>
  </si>
  <si>
    <t>МАТ.СВЕТ.АВАР.048</t>
  </si>
  <si>
    <t>Longa 40 DI 22W/mt-4000K CRI 90 ROW 270mA Susp WHI Emerg - Светильник</t>
  </si>
  <si>
    <t>2205724_ WHI Emg</t>
  </si>
  <si>
    <t>МАТ.СВЕТ.АВАР.048 — Longa 40 DI 22W/mt-4000K CRI 90 ROW 270mA Susp WHI Emerg - Светильник</t>
  </si>
  <si>
    <t>МАТ.СВЕТ.АВАР.049</t>
  </si>
  <si>
    <t>Longa 40 DI 25W-4000K CRI 90 M1200 270mA Susp BLK Emerg - Светильник</t>
  </si>
  <si>
    <t>2205657_ BLK  Emg</t>
  </si>
  <si>
    <t>МАТ.СВЕТ.АВАР.049 — Longa 40 DI 25W-4000K CRI 90 M1200 270mA Susp BLK Emerg - Светильник</t>
  </si>
  <si>
    <t>МАТ.СВЕТ.АВАР.050</t>
  </si>
  <si>
    <t>Longa 40 DI 25W-4000K CRI 90 M1200 270mA Susp WHI Emerg - Светильник</t>
  </si>
  <si>
    <t>2205657_ WHI  Emg</t>
  </si>
  <si>
    <t>МАТ.СВЕТ.АВАР.050 — Longa 40 DI 25W-4000K CRI 90 M1200 270mA Susp WHI Emerg - Светильник</t>
  </si>
  <si>
    <t>МАТ.СВЕТ.АВАР.051</t>
  </si>
  <si>
    <t>Longa 40 DI 26W-4000K CRI 90 M900 WALL WHI Emerg - Светильник</t>
  </si>
  <si>
    <t>2205838_ WHI Emg</t>
  </si>
  <si>
    <t>МАТ.СВЕТ.АВАР.051 — Longa 40 DI 26W-4000K CRI 90 M900 WALL WHI Emerg - Светильник</t>
  </si>
  <si>
    <t>МАТ.СВЕТ.АВАР.052</t>
  </si>
  <si>
    <t>Longa 40 DI 39W-4000K CRI 90 M1400 WALL BLK Emerg, L=1392mm - Светильник</t>
  </si>
  <si>
    <t>2205846_ BLK Emg</t>
  </si>
  <si>
    <t>МАТ.СВЕТ.АВАР.052 — Longa 40 DI 39W-4000K CRI 90 M1400 WALL BLK Emerg, L=1392mm - Светильник</t>
  </si>
  <si>
    <t>МАТ.СВЕТ.АВАР.053</t>
  </si>
  <si>
    <t>Longa 40 DI 65W-4000K CRI 90 M1200 2xL24 Susp BLK Emerg - Светильник</t>
  </si>
  <si>
    <t>2205653_ BLK Emg</t>
  </si>
  <si>
    <t>МАТ.СВЕТ.АВАР.053 — Longa 40 DI 65W-4000K CRI 90 M1200 2xL24 Susp BLK Emerg - Светильник</t>
  </si>
  <si>
    <t>МАТ.СВЕТ.АВАР.054</t>
  </si>
  <si>
    <t>Longa 40 DI 65W-4000K CRI 90 M1200 2xL24 Susp WHI Emerg - Светильник</t>
  </si>
  <si>
    <t>2205653_ WHI Emg</t>
  </si>
  <si>
    <t>МАТ.СВЕТ.АВАР.054 — Longa 40 DI 65W-4000K CRI 90 M1200 2xL24 Susp WHI Emerg - Светильник</t>
  </si>
  <si>
    <t>МАТ.СВЕТ.АВАР.055</t>
  </si>
  <si>
    <t>Longa 40 DI_IN 45W-4000K CRI 90 M1200 WALL RAL3028 Emerg - Светильник</t>
  </si>
  <si>
    <t>2205883_RAL3028 Emg</t>
  </si>
  <si>
    <t>МАТ.СВЕТ.АВАР.055 — Longa 40 DI_IN 45W-4000K CRI 90 M1200 WALL RAL3028 Emerg - Светильник</t>
  </si>
  <si>
    <t>МАТ.СВЕТ.АВАР.056</t>
  </si>
  <si>
    <t>Longa 61 25W-4000K CRI 90 MP 270mA M1200 Susp BLK Emerg - Светильник</t>
  </si>
  <si>
    <t>2205976_ BLK Emg</t>
  </si>
  <si>
    <t>МАТ.СВЕТ.АВАР.056 — Longa 61 25W-4000K CRI 90 MP 270mA M1200 Susp BLK Emerg - Светильник</t>
  </si>
  <si>
    <t>МАТ.СВЕТ.АВАР.057</t>
  </si>
  <si>
    <t>Longa 61 25W-4000K CRI 90 MP 270mA M1200 Susp WHI Emerg - Светильник</t>
  </si>
  <si>
    <t>2205976_ WHI Emg</t>
  </si>
  <si>
    <t>МАТ.СВЕТ.АВАР.057 — Longa 61 25W-4000K CRI 90 MP 270mA M1200 Susp WHI Emerg - Светильник</t>
  </si>
  <si>
    <t>МАТ.СВЕТ.АВАР.058</t>
  </si>
  <si>
    <t>Longa 61 35W-4000K CRI 90 MP M1200 Susp BLK Emerg- Светильник</t>
  </si>
  <si>
    <t>2205970_ BLK Emg</t>
  </si>
  <si>
    <t>МАТ.СВЕТ.АВАР.058 — Longa 61 35W-4000K CRI 90 MP M1200 Susp BLK Emerg- Светильник</t>
  </si>
  <si>
    <t>МАТ.СВЕТ.АВАР.059</t>
  </si>
  <si>
    <t>Longa 61 35W-4000K CRI 90 MP M1200 Susp WHI Emerg- Светильник</t>
  </si>
  <si>
    <t>2205970_ WHI Emg</t>
  </si>
  <si>
    <t>МАТ.СВЕТ.АВАР.059 — Longa 61 35W-4000K CRI 90 MP M1200 Susp WHI Emerg- Светильник</t>
  </si>
  <si>
    <t>МАТ.СВЕТ.АВАР.060</t>
  </si>
  <si>
    <t>Longa 61 50W-4000K CRI 90 MP 2xL24 270mA M1200 Susp BLK Emerg - Светильник</t>
  </si>
  <si>
    <t>2205973_ BLK  Emg</t>
  </si>
  <si>
    <t>МАТ.СВЕТ.АВАР.060 — Longa 61 50W-4000K CRI 90 MP 2xL24 270mA M1200 Susp BLK Emerg - Светильник</t>
  </si>
  <si>
    <t>МАТ.СВЕТ.АВАР.061</t>
  </si>
  <si>
    <t>Longa 61 50W-4000K CRI 90 MP 2xL24 270mA M1200 Susp WHI Emerg - Светильник</t>
  </si>
  <si>
    <t>2205973_ WHI Emg</t>
  </si>
  <si>
    <t>МАТ.СВЕТ.АВАР.061 — Longa 61 50W-4000K CRI 90 MP 2xL24 270mA M1200 Susp WHI Emerg - Светильник</t>
  </si>
  <si>
    <t>МАТ.СВЕТ.АВАР.062</t>
  </si>
  <si>
    <t>MICA D190 14W-4000K CRI 90 Recess MP ECO BLK Emerg - Светильник</t>
  </si>
  <si>
    <t>2206137_ BLK Emg</t>
  </si>
  <si>
    <t>МАТ.СВЕТ.АВАР.062 — MICA D190 14W-4000K CRI 90 Recess MP ECO BLK Emerg - Светильник</t>
  </si>
  <si>
    <t>МАТ.СВЕТ.АВАР.063</t>
  </si>
  <si>
    <t>MICA D190 14W-4000K CRI 90 Recess MP ECO WHI Emerg - Светильник</t>
  </si>
  <si>
    <t>2206137_ WHI Emg</t>
  </si>
  <si>
    <t>МАТ.СВЕТ.АВАР.063 — MICA D190 14W-4000K CRI 90 Recess MP ECO WHI Emerg - Светильник</t>
  </si>
  <si>
    <t>МАТ.СВЕТ.АВАР.064</t>
  </si>
  <si>
    <t>MICA ON D330 27W-4000K CRI 90 Ceil MP ECO BLK Emerg IP54 - Светильник. Аварийный блок выносной</t>
  </si>
  <si>
    <t>2206277_IP 54 BLK Emg</t>
  </si>
  <si>
    <t>МАТ.СВЕТ.АВАР.064 — MICA ON D330 27W-4000K CRI 90 Ceil MP ECO BLK Emerg IP54 - Светильник. Аварийный блок выносной</t>
  </si>
  <si>
    <t>МАТ.СВЕТ.АВАР.065</t>
  </si>
  <si>
    <t>MICA ON D330 27W-4000K CRI 90 Ceil MP ECO WHI Emerg IP54 - Светильник. Аварийный блок выносной</t>
  </si>
  <si>
    <t>2206277_IP 54 WHI  Emg</t>
  </si>
  <si>
    <t>МАТ.СВЕТ.АВАР.065 — MICA ON D330 27W-4000K CRI 90 Ceil MP ECO WHI Emerg IP54 - Светильник. Аварийный блок выносной</t>
  </si>
  <si>
    <t>МАТ.СВЕТ.АВАР.066</t>
  </si>
  <si>
    <t>MICA System D330 27W-4000K CRI 90 MP ECO BLK Emerg - Светильник</t>
  </si>
  <si>
    <t>2206251 BLK Emg</t>
  </si>
  <si>
    <t>МАТ.СВЕТ.АВАР.066 — MICA System D330 27W-4000K CRI 90 MP ECO BLK Emerg - Светильник</t>
  </si>
  <si>
    <t>МАТ.СВЕТ.АВАР.067</t>
  </si>
  <si>
    <t>Nuby 600x600 LongPrism T15-24 39W-4000K CRI 90 M600 Recess Emerg - Светильник</t>
  </si>
  <si>
    <t>2206306_ WHI Emg</t>
  </si>
  <si>
    <t>МАТ.СВЕТ.АВАР.067 — Nuby 600x600 LongPrism T15-24 39W-4000K CRI 90 M600 Recess Emerg - Светильник</t>
  </si>
  <si>
    <t>МАТ.СВЕТ.АВАР.068</t>
  </si>
  <si>
    <t>Quark AIR HE D45 MP 8W-4000K CRI 90 H110 Susp BLK Emerg - Светильник</t>
  </si>
  <si>
    <t>2503425_ BLK Emg</t>
  </si>
  <si>
    <t>МАТ.СВЕТ.АВАР.068 — Quark AIR HE D45 MP 8W-4000K CRI 90 H110 Susp BLK Emerg - Светильник</t>
  </si>
  <si>
    <t>МАТ.СВЕТ.АВАР.069</t>
  </si>
  <si>
    <t>Quark AIR HE MP D70 12W-4000K CRI 90 H210 Susp BLK Emerg- Светильник</t>
  </si>
  <si>
    <t>2201293_ BLK  Emg</t>
  </si>
  <si>
    <t>МАТ.СВЕТ.АВАР.069 — Quark AIR HE MP D70 12W-4000K CRI 90 H210 Susp BLK Emerg- Светильник</t>
  </si>
  <si>
    <t>МАТ.СВЕТ.АВАР.070</t>
  </si>
  <si>
    <t>Quark AIR HE MP D70 12W-4000K CRI 90 H210 Susp WHI Emerg- Светильник</t>
  </si>
  <si>
    <t>2201293_ WHI Emg</t>
  </si>
  <si>
    <t>МАТ.СВЕТ.АВАР.070 — Quark AIR HE MP D70 12W-4000K CRI 90 H210 Susp WHI Emerg- Светильник</t>
  </si>
  <si>
    <t>МАТ.СВЕТ.АВАР.071</t>
  </si>
  <si>
    <t>Quark AIR IT MP D70 12W-4000K CRI 90 H210 Susp BLK Emerg - Светильник</t>
  </si>
  <si>
    <t>2201857_ BLK Emg</t>
  </si>
  <si>
    <t>МАТ.СВЕТ.АВАР.071 — Quark AIR IT MP D70 12W-4000K CRI 90 H210 Susp BLK Emerg - Светильник</t>
  </si>
  <si>
    <t>МАТ.СВЕТ.АВАР.072</t>
  </si>
  <si>
    <t>Quark AIR IT MP D70 12W-4000K CRI 90 H210 Susp WHI Emerg - Светильник</t>
  </si>
  <si>
    <t>2201857_ WHI Emg</t>
  </si>
  <si>
    <t>МАТ.СВЕТ.АВАР.072 — Quark AIR IT MP D70 12W-4000K CRI 90 H210 Susp WHI Emerg - Светильник</t>
  </si>
  <si>
    <t>МАТ.СВЕТ.АВАР.073</t>
  </si>
  <si>
    <t>Quark AIR IT Ref 45` D70 6W-4000K CRI 90 H210 Susp BLK Emerg - Светильник</t>
  </si>
  <si>
    <t>2407161_ BLK Emg</t>
  </si>
  <si>
    <t>МАТ.СВЕТ.АВАР.073 — Quark AIR IT Ref 45` D70 6W-4000K CRI 90 H210 Susp BLK Emerg - Светильник</t>
  </si>
  <si>
    <t>МАТ.СВЕТ.АВАР.074</t>
  </si>
  <si>
    <t>Quark AIR IT Ref 45` D70 6W-4000K CRI 90 H210 Susp WHI Emerg - Светильник</t>
  </si>
  <si>
    <t>2407161_ WHI Emg</t>
  </si>
  <si>
    <t>МАТ.СВЕТ.АВАР.074 — Quark AIR IT Ref 45` D70 6W-4000K CRI 90 H210 Susp WHI Emerg - Светильник</t>
  </si>
  <si>
    <t>МАТ.СВЕТ.АВАР.075</t>
  </si>
  <si>
    <t>Quark AIR IT Ref 45` D70 8W-4000K CRI 90 H210 Susp BLK Emerg - Светильник</t>
  </si>
  <si>
    <t>2406751_ BLK Emg</t>
  </si>
  <si>
    <t>МАТ.СВЕТ.АВАР.075 — Quark AIR IT Ref 45` D70 8W-4000K CRI 90 H210 Susp BLK Emerg - Светильник</t>
  </si>
  <si>
    <t>МАТ.СВЕТ.АВАР.076</t>
  </si>
  <si>
    <t>Quark AIR IT Ref 45` D70 8W-4000K CRI 90 H210 Susp WHI Emerg - Светильник</t>
  </si>
  <si>
    <t>2406751_ WHI Emg</t>
  </si>
  <si>
    <t>МАТ.СВЕТ.АВАР.076 — Quark AIR IT Ref 45` D70 8W-4000K CRI 90 H210 Susp WHI Emerg - Светильник</t>
  </si>
  <si>
    <t>МАТ.СВЕТ.АВАР.077</t>
  </si>
  <si>
    <t>Quark AIR IT Ref 60` D70 6W-4000K CRI 90 H210 Susp BLK Emerg - Светильник</t>
  </si>
  <si>
    <t>2407155_ BLK Emg</t>
  </si>
  <si>
    <t>МАТ.СВЕТ.АВАР.077 — Quark AIR IT Ref 60` D70 6W-4000K CRI 90 H210 Susp BLK Emerg - Светильник</t>
  </si>
  <si>
    <t>МАТ.СВЕТ.АВАР.078</t>
  </si>
  <si>
    <t>Quark AIR IT Ref 60` D70 6W-4000K CRI 90 H210 Susp WHI Emerg - Светильник</t>
  </si>
  <si>
    <t>2407155_ WHI Emg</t>
  </si>
  <si>
    <t>МАТ.СВЕТ.АВАР.078 — Quark AIR IT Ref 60` D70 6W-4000K CRI 90 H210 Susp WHI Emerg - Светильник</t>
  </si>
  <si>
    <t>МАТ.СВЕТ.АВАР.079</t>
  </si>
  <si>
    <t>Quark AIR IT Ref 60` D70 8W-4000K CRI 90 H210 Susp BLK Emerg - Светильник</t>
  </si>
  <si>
    <t>2406762_ BLK Emg</t>
  </si>
  <si>
    <t>МАТ.СВЕТ.АВАР.079 — Quark AIR IT Ref 60` D70 8W-4000K CRI 90 H210 Susp BLK Emerg - Светильник</t>
  </si>
  <si>
    <t>МАТ.СВЕТ.АВАР.080</t>
  </si>
  <si>
    <t>Quark AIR IT Ref 60` D70 8W-4000K CRI 90 H210 Susp WHI Emerg - Светильник</t>
  </si>
  <si>
    <t>2406762_ WHI Emg</t>
  </si>
  <si>
    <t>МАТ.СВЕТ.АВАР.080 — Quark AIR IT Ref 60` D70 8W-4000K CRI 90 H210 Susp WHI Emerg - Светильник</t>
  </si>
  <si>
    <t>МАТ.СВЕТ.АВАР.081</t>
  </si>
  <si>
    <t>Quark IN HE D70 MP 8W-4000K CRI 90 Recess BLK Emerg - Светильник</t>
  </si>
  <si>
    <t>2202126_ BLK Emg</t>
  </si>
  <si>
    <t>МАТ.СВЕТ.АВАР.081 — Quark IN HE D70 MP 8W-4000K CRI 90 Recess BLK Emerg - Светильник</t>
  </si>
  <si>
    <t>МАТ.СВЕТ.АВАР.082</t>
  </si>
  <si>
    <t>Quark IN HE D70 MP 8W-4000K CRI 90 Recess WHI Emerg - Светильник</t>
  </si>
  <si>
    <t>2202126_ WHI Emg</t>
  </si>
  <si>
    <t>МАТ.СВЕТ.АВАР.082 — Quark IN HE D70 MP 8W-4000K CRI 90 Recess WHI Emerg - Светильник</t>
  </si>
  <si>
    <t>МАТ.СВЕТ.АВАР.083</t>
  </si>
  <si>
    <t>Quark IN IT D70 REF 45` 6W-4000K CRI 90 Recess BLK Emerg - Светильник</t>
  </si>
  <si>
    <t>2407247_ BLK Emg</t>
  </si>
  <si>
    <t>МАТ.СВЕТ.АВАР.083 — Quark IN IT D70 REF 45` 6W-4000K CRI 90 Recess BLK Emerg - Светильник</t>
  </si>
  <si>
    <t>МАТ.СВЕТ.АВАР.084</t>
  </si>
  <si>
    <t>Quark IN IT D70 REF 45` 6W-4000K CRI 90 Recess WHI Emerg - Светильник</t>
  </si>
  <si>
    <t>2407247_ WHI Emg</t>
  </si>
  <si>
    <t>МАТ.СВЕТ.АВАР.084 — Quark IN IT D70 REF 45` 6W-4000K CRI 90 Recess WHI Emerg - Светильник</t>
  </si>
  <si>
    <t>МАТ.СВЕТ.АВАР.085</t>
  </si>
  <si>
    <t>Quark IN IT D70 REF 60` 12W-4000K CRI 90 Recess BLK Emerg - Светильник</t>
  </si>
  <si>
    <t>2400039_ BLK Emg</t>
  </si>
  <si>
    <t>МАТ.СВЕТ.АВАР.085 — Quark IN IT D70 REF 60` 12W-4000K CRI 90 Recess BLK Emerg - Светильник</t>
  </si>
  <si>
    <t>МАТ.СВЕТ.АВАР.086</t>
  </si>
  <si>
    <t>Quark IN IT D70 REF 60` 12W-4000K CRI 90 Recess WHI Emerg - Светильник</t>
  </si>
  <si>
    <t>2400039_ WHI Emg</t>
  </si>
  <si>
    <t>МАТ.СВЕТ.АВАР.086 — Quark IN IT D70 REF 60` 12W-4000K CRI 90 Recess WHI Emerg - Светильник</t>
  </si>
  <si>
    <t>МАТ.СВЕТ.АВАР.087</t>
  </si>
  <si>
    <t>Quark IN IT D70 REF 60` 8W-4000K CRI 90 Recess BLK Emerg - Светильник</t>
  </si>
  <si>
    <t>2400033_ BLK Emg</t>
  </si>
  <si>
    <t>МАТ.СВЕТ.АВАР.087 — Quark IN IT D70 REF 60` 8W-4000K CRI 90 Recess BLK Emerg - Светильник</t>
  </si>
  <si>
    <t>МАТ.СВЕТ.АВАР.088</t>
  </si>
  <si>
    <t>Quark IN IT D70 REF 60` 8W-4000K CRI 90 Recess WHI Emerg - Светильник</t>
  </si>
  <si>
    <t>2400033_ WHI Emg</t>
  </si>
  <si>
    <t>МАТ.СВЕТ.АВАР.088 — Quark IN IT D70 REF 60` 8W-4000K CRI 90 Recess WHI Emerg - Светильник</t>
  </si>
  <si>
    <t>МАТ.СВЕТ.АВАР.089</t>
  </si>
  <si>
    <t>Quark ON IT D70 45` 8W-4000K CRI 90 H210 Ceil RAL3028 Emerg - Светильник</t>
  </si>
  <si>
    <t>2308932 RAL3028 Emg</t>
  </si>
  <si>
    <t>МАТ.СВЕТ.АВАР.089 — Quark ON IT D70 45` 8W-4000K CRI 90 H210 Ceil RAL3028 Emerg - Светильник</t>
  </si>
  <si>
    <t>МАТ.СВЕТ.АВАР.090</t>
  </si>
  <si>
    <t>Ray IN D750 69W-4000K CRI 90 Susp BLK Emerg - Светильник</t>
  </si>
  <si>
    <t>2206334_ BLK Emg</t>
  </si>
  <si>
    <t>МАТ.СВЕТ.АВАР.090 — Ray IN D750 69W-4000K CRI 90 Susp BLK Emerg - Светильник</t>
  </si>
  <si>
    <t>МАТ.СВЕТ.АВАР.091</t>
  </si>
  <si>
    <t>Ray IN D750 69W-4000K CRI 90 Susp WHI Emerg - Светильник</t>
  </si>
  <si>
    <t>2206334_ WHI Emg</t>
  </si>
  <si>
    <t>МАТ.СВЕТ.АВАР.091 — Ray IN D750 69W-4000K CRI 90 Susp WHI Emerg - Светильник</t>
  </si>
  <si>
    <t>МАТ.СВЕТ.АВАР.092</t>
  </si>
  <si>
    <t>Rota D1000 MP ECO 42W-4000K CRI 90 Susp BLK Emerg- Светильник</t>
  </si>
  <si>
    <t>2206905_ BLK Emg</t>
  </si>
  <si>
    <t>МАТ.СВЕТ.АВАР.092 — Rota D1000 MP ECO 42W-4000K CRI 90 Susp BLK Emerg- Светильник</t>
  </si>
  <si>
    <t>МАТ.СВЕТ.АВАР.093</t>
  </si>
  <si>
    <t>Rota D1000 MP ECO 42W-4000K CRI 90 Susp WHI Emerg- Светильник</t>
  </si>
  <si>
    <t>2206905_ WHI Emg</t>
  </si>
  <si>
    <t>МАТ.СВЕТ.АВАР.093 — Rota D1000 MP ECO 42W-4000K CRI 90 Susp WHI Emerg- Светильник</t>
  </si>
  <si>
    <t>МАТ.СВЕТ.АВАР.094</t>
  </si>
  <si>
    <t>Rota D1000 MP ECO 54W-4000K CRI 90 L24 270mA Susp BLK Emerg- Светильник</t>
  </si>
  <si>
    <t>2206911_ BLK Emg</t>
  </si>
  <si>
    <t>МАТ.СВЕТ.АВАР.094 — Rota D1000 MP ECO 54W-4000K CRI 90 L24 270mA Susp BLK Emerg- Светильник</t>
  </si>
  <si>
    <t>МАТ.СВЕТ.АВАР.095</t>
  </si>
  <si>
    <t>Rota D1000 MP ECO 54W-4000K CRI 90 L24 270mA Susp WHI Emerg- Светильник</t>
  </si>
  <si>
    <t>2206911_ WHI Emerg</t>
  </si>
  <si>
    <t>МАТ.СВЕТ.АВАР.095 — Rota D1000 MP ECO 54W-4000K CRI 90 L24 270mA Susp WHI Emerg- Светильник</t>
  </si>
  <si>
    <t>МАТ.СВЕТ.АВАР.096</t>
  </si>
  <si>
    <t>Rota D1000 MP ECO 54W-4000K CRI 90 L24 Susp BLK Emerg - Светильник</t>
  </si>
  <si>
    <t>2400467_ BLK Emg</t>
  </si>
  <si>
    <t>МАТ.СВЕТ.АВАР.096 — Rota D1000 MP ECO 54W-4000K CRI 90 L24 Susp BLK Emerg - Светильник</t>
  </si>
  <si>
    <t>МАТ.СВЕТ.АВАР.097</t>
  </si>
  <si>
    <t>Rota D1000 MP ECO 54W-4000K CRI 90 L24 Susp WHI Emerg - Светильник</t>
  </si>
  <si>
    <t>2400467_ WHI Emg</t>
  </si>
  <si>
    <t>МАТ.СВЕТ.АВАР.097 — Rota D1000 MP ECO 54W-4000K CRI 90 L24 Susp WHI Emerg - Светильник</t>
  </si>
  <si>
    <t>МАТ.СВЕТ.АВАР.098</t>
  </si>
  <si>
    <t>Rota Egg DI MP ECO 28W-4000K CRI 90 270mA Susp BLK Emerg- Светильник</t>
  </si>
  <si>
    <t>2208098_ BLK Emg</t>
  </si>
  <si>
    <t>МАТ.СВЕТ.АВАР.098 — Rota Egg DI MP ECO 28W-4000K CRI 90 270mA Susp BLK Emerg- Светильник</t>
  </si>
  <si>
    <t>МАТ.СВЕТ.АВАР.099</t>
  </si>
  <si>
    <t>Rota Egg DI MP ECO 28W-4000K CRI 90 270mA Susp WHI Emerg- Светильник</t>
  </si>
  <si>
    <t>2208098_ WHI Emg</t>
  </si>
  <si>
    <t>МАТ.СВЕТ.АВАР.099 — Rota Egg DI MP ECO 28W-4000K CRI 90 270mA Susp WHI Emerg- Светильник</t>
  </si>
  <si>
    <t>МАТ.СВЕТ.АВАР.100</t>
  </si>
  <si>
    <t>Rota Egg DI MP ECO 40W-4000K CRI 90 Susp BLK Emerg - Светильник</t>
  </si>
  <si>
    <t>2207549_ BLK Emg</t>
  </si>
  <si>
    <t>МАТ.СВЕТ.АВАР.100 — Rota Egg DI MP ECO 40W-4000K CRI 90 Susp BLK Emerg - Светильник</t>
  </si>
  <si>
    <t>МАТ.СВЕТ.АВАР.101</t>
  </si>
  <si>
    <t>Rota Egg DI MP ECO 40W-4000K CRI 90 Susp WHI Emerg - Светильник</t>
  </si>
  <si>
    <t>2207549_ WHI Emg</t>
  </si>
  <si>
    <t>МАТ.СВЕТ.АВАР.101 — Rota Egg DI MP ECO 40W-4000K CRI 90 Susp WHI Emerg - Светильник</t>
  </si>
  <si>
    <t>МАТ.СВЕТ.АВАР.102</t>
  </si>
  <si>
    <t>Rota Egg DI MP ECO 54W-4000K CRI 90 L24 270mA Susp BLK Emerg- Светильник</t>
  </si>
  <si>
    <t>2207550_ BLK Emg</t>
  </si>
  <si>
    <t>МАТ.СВЕТ.АВАР.102 — Rota Egg DI MP ECO 54W-4000K CRI 90 L24 270mA Susp BLK Emerg- Светильник</t>
  </si>
  <si>
    <t>МАТ.СВЕТ.АВАР.103</t>
  </si>
  <si>
    <t>Rota Egg DI MP ECO 54W-4000K CRI 90 L24 270mA Susp WHI Emerg- Светильник</t>
  </si>
  <si>
    <t>2207550_ WHI Emg</t>
  </si>
  <si>
    <t>МАТ.СВЕТ.АВАР.103 — Rota Egg DI MP ECO 54W-4000K CRI 90 L24 270mA Susp WHI Emerg- Светильник</t>
  </si>
  <si>
    <t>МАТ.СВЕТ.АВАР.104</t>
  </si>
  <si>
    <t>Rota Egg DI MP ECO 77W-4000K CRI 90 L24 Susp BLK Emerg - Светильник</t>
  </si>
  <si>
    <t>2400466_ BLK Emg</t>
  </si>
  <si>
    <t>МАТ.СВЕТ.АВАР.104 — Rota Egg DI MP ECO 77W-4000K CRI 90 L24 Susp BLK Emerg - Светильник</t>
  </si>
  <si>
    <t>МАТ.СВЕТ.АВАР.105</t>
  </si>
  <si>
    <t>Rota Egg DI MP ECO 77W-4000K CRI 90 L24 Susp WHI Emerg - Светильник</t>
  </si>
  <si>
    <t>2400466_ WHI Emg</t>
  </si>
  <si>
    <t>МАТ.СВЕТ.АВАР.105 — Rota Egg DI MP ECO 77W-4000K CRI 90 L24 Susp WHI Emerg - Светильник</t>
  </si>
  <si>
    <t>МАТ.СВЕТ.АВАР.106</t>
  </si>
  <si>
    <t>Rota Triangle DI MP ECO 42W-4000K CRI 90 Susp BLK Emerg - Светильник</t>
  </si>
  <si>
    <t>2207574_ BLK Emg</t>
  </si>
  <si>
    <t>МАТ.СВЕТ.АВАР.106 — Rota Triangle DI MP ECO 42W-4000K CRI 90 Susp BLK Emerg - Светильник</t>
  </si>
  <si>
    <t>МАТ.СВЕТ.АВАР.107</t>
  </si>
  <si>
    <t>Rota Triangle DI MP ECO 42W-4000K CRI 90 Susp WHI Emerg - Светильник</t>
  </si>
  <si>
    <t>2207574_ WHI Emg</t>
  </si>
  <si>
    <t>МАТ.СВЕТ.АВАР.107 — Rota Triangle DI MP ECO 42W-4000K CRI 90 Susp WHI Emerg - Светильник</t>
  </si>
  <si>
    <t>МАТ.СВЕТ.АВАР.108</t>
  </si>
  <si>
    <t>Rota Triangle DI MP ECO 54W-4000K CRI 90 L24 270mA Susp BLK Emerg- Светильник</t>
  </si>
  <si>
    <t>2207575_ BLK  Emg</t>
  </si>
  <si>
    <t>МАТ.СВЕТ.АВАР.108 — Rota Triangle DI MP ECO 54W-4000K CRI 90 L24 270mA Susp BLK Emerg- Светильник</t>
  </si>
  <si>
    <t>МАТ.СВЕТ.АВАР.109</t>
  </si>
  <si>
    <t>Rota Triangle DI MP ECO 54W-4000K CRI 90 L24 270mA Susp WHI Emerg- Светильник</t>
  </si>
  <si>
    <t>2207575_ WHI  Emg</t>
  </si>
  <si>
    <t>МАТ.СВЕТ.АВАР.109 — Rota Triangle DI MP ECO 54W-4000K CRI 90 L24 270mA Susp WHI Emerg- Светильник</t>
  </si>
  <si>
    <t>МАТ.СВЕТ.АВАР.110</t>
  </si>
  <si>
    <t>Zest AREA BOX Q 7W/2W-4000K CRI 90 1HNM Ceil BLK RAL7021 - Аварийный светильник</t>
  </si>
  <si>
    <t>1401194_ BLK RAL7021</t>
  </si>
  <si>
    <t>МАТ.СВЕТ.АВАР.110 — Zest AREA BOX Q 7W/2W-4000K CRI 90 1HNM Ceil BLK RAL7021 - Аварийный светильник</t>
  </si>
  <si>
    <t>МАТ.СПЛИТ.001</t>
  </si>
  <si>
    <t>Канальный 18 AD50S2LM1FA/1U50S1LM1FA</t>
  </si>
  <si>
    <t>МАТ.СПЛИТ.001 — Канальный 18 AD50S2LM1FA/1U50S1LM1FA</t>
  </si>
  <si>
    <t>МАТ.СПЛИТ.002</t>
  </si>
  <si>
    <t>Канальный 18 MDT2I-18HWFN8 / MDOU-18HFN8</t>
  </si>
  <si>
    <t>МАТ.СПЛИТ.002 — Канальный 18 MDT2I-18HWFN8 / MDOU-18HFN8</t>
  </si>
  <si>
    <t>МАТ.СПЛИТ.003</t>
  </si>
  <si>
    <t>Канальный 24 AD71S2LM1FA/1U71S1LR1FA</t>
  </si>
  <si>
    <t>МАТ.СПЛИТ.003 — Канальный 24 AD71S2LM1FA/1U71S1LR1FA</t>
  </si>
  <si>
    <t>МАТ.СПЛИТ.004</t>
  </si>
  <si>
    <t>Канальный 24 MDT2I-24HWFN8 / MDOUN-24HFN8</t>
  </si>
  <si>
    <t>МАТ.СПЛИТ.004 — Канальный 24 MDT2I-24HWFN8 / MDOUN-24HFN8</t>
  </si>
  <si>
    <t>МАТ.СПЛИТ.005</t>
  </si>
  <si>
    <t>Канальный 24 MDTJ2-24HWN1 / MDOU3-24HN1-L</t>
  </si>
  <si>
    <t>МАТ.СПЛИТ.005 — Канальный 24 MDTJ2-24HWN1 / MDOU3-24HN1-L</t>
  </si>
  <si>
    <t>МАТ.СПЛИТ.006</t>
  </si>
  <si>
    <t>Канальный 36 AD105S2LM1FA/1U105S1LS1FA</t>
  </si>
  <si>
    <t>МАТ.СПЛИТ.006 — Канальный 36 AD105S2LM1FA/1U105S1LS1FA</t>
  </si>
  <si>
    <t>МАТ.СПЛИТ.007</t>
  </si>
  <si>
    <t>Канальный 36 MDT2I-36HWFN8 / MDOU-36HFN8</t>
  </si>
  <si>
    <t>МАТ.СПЛИТ.007 — Канальный 36 MDT2I-36HWFN8 / MDOU-36HFN8</t>
  </si>
  <si>
    <t>МАТ.СПЛИТ.008</t>
  </si>
  <si>
    <t>Канальный 36 MDTJ2-36HWN1 / MDOU3-36HN1-L</t>
  </si>
  <si>
    <t>МАТ.СПЛИТ.008 — Канальный 36 MDTJ2-36HWN1 / MDOU3-36HN1-L</t>
  </si>
  <si>
    <t>МАТ.СПЛИТ.009</t>
  </si>
  <si>
    <t>Канальный 48 AD140S2LM1FA/1U140S1LN1FB</t>
  </si>
  <si>
    <t>МАТ.СПЛИТ.009 — Канальный 48 AD140S2LM1FA/1U140S1LN1FB</t>
  </si>
  <si>
    <t>МАТ.СПЛИТ.010</t>
  </si>
  <si>
    <t>Канальный 48 MDT2I-48HWFN8 / MDOUN-48HFN8</t>
  </si>
  <si>
    <t>МАТ.СПЛИТ.010 — Канальный 48 MDT2I-48HWFN8 / MDOUN-48HFN8</t>
  </si>
  <si>
    <t>МАТ.СПЛИТ.011</t>
  </si>
  <si>
    <t>Канальный 48 MDTJ2-48HWN1 / MDOU3-48HN1-L</t>
  </si>
  <si>
    <t>МАТ.СПЛИТ.011 — Канальный 48 MDTJ2-48HWN1 / MDOU3-48HN1-L</t>
  </si>
  <si>
    <t>МАТ.СПЛИТ.012</t>
  </si>
  <si>
    <t>Канальный 60 AD160S2LM1FA/1U160S1LN1FB</t>
  </si>
  <si>
    <t>МАТ.СПЛИТ.012 — Канальный 60 AD160S2LM1FA/1U160S1LN1FB</t>
  </si>
  <si>
    <t>МАТ.СПЛИТ.013</t>
  </si>
  <si>
    <t>Канальный 60 MDT2I-60HWFN8 / MDOUN-60HFN8</t>
  </si>
  <si>
    <t>МАТ.СПЛИТ.013 — Канальный 60 MDT2I-60HWFN8 / MDOUN-60HFN8</t>
  </si>
  <si>
    <t>МАТ.СПЛИТ.014</t>
  </si>
  <si>
    <t>Канальный 60 MDTJ2-60HWN1 / MDOU3-60HN1-L</t>
  </si>
  <si>
    <t>МАТ.СПЛИТ.014 — Канальный 60 MDTJ2-60HWN1 / MDOU3-60HN1-L</t>
  </si>
  <si>
    <t>МАТ.СПЛИТ.015</t>
  </si>
  <si>
    <t>Кассетный 12 AB35S2SC1FA/1U35S2SM4FA/PB-700KB</t>
  </si>
  <si>
    <t>МАТ.СПЛИТ.015 — Кассетный 12 AB35S2SC1FA/1U35S2SM4FA/PB-700KB</t>
  </si>
  <si>
    <t>МАТ.СПЛИТ.016</t>
  </si>
  <si>
    <t>Кассетный 12 MDCA6-12HRN1 / T-MBQ4-03B / MDOU3-12HN1-L</t>
  </si>
  <si>
    <t>МАТ.СПЛИТ.016 — Кассетный 12 MDCA6-12HRN1 / T-MBQ4-03B / MDOU3-12HN1-L</t>
  </si>
  <si>
    <t>МАТ.СПЛИТ.017</t>
  </si>
  <si>
    <t>Кассетный 12 MDCAC4I-12HRFN8 / T-MBQ4-03BD / MDOAG-12HFN8</t>
  </si>
  <si>
    <t>МАТ.СПЛИТ.017 — Кассетный 12 MDCAC4I-12HRFN8 / T-MBQ4-03BD / MDOAG-12HFN8</t>
  </si>
  <si>
    <t>МАТ.СПЛИТ.018</t>
  </si>
  <si>
    <t>Кассетный 18 AB50S2SC1FA/1U50S2SJ3FA/PB-700KB</t>
  </si>
  <si>
    <t>МАТ.СПЛИТ.018 — Кассетный 18 AB50S2SC1FA/1U50S2SJ3FA/PB-700KB</t>
  </si>
  <si>
    <t>МАТ.СПЛИТ.019</t>
  </si>
  <si>
    <t>Кассетный 18 MDCA6-18HRN1 / T-MBQ4-03B / MDOU3-18HN1-L</t>
  </si>
  <si>
    <t>МАТ.СПЛИТ.019 — Кассетный 18 MDCA6-18HRN1 / T-MBQ4-03B / MDOU3-18HN1-L</t>
  </si>
  <si>
    <t>МАТ.СПЛИТ.020</t>
  </si>
  <si>
    <t>Кассетный 18 MDCAC4I-18HRFN8 / T-MBQ4-03BD / MDOAG-18HFN8</t>
  </si>
  <si>
    <t>МАТ.СПЛИТ.020 — Кассетный 18 MDCAC4I-18HRFN8 / T-MBQ4-03BD / MDOAG-18HFN8</t>
  </si>
  <si>
    <t>МАТ.СПЛИТ.021</t>
  </si>
  <si>
    <t>Кассетный 24 AB71S2LR2FA/1U71S1LR2FA/PB-950QB(P)</t>
  </si>
  <si>
    <t>МАТ.СПЛИТ.021 — Кассетный 24 AB71S2LR2FA/1U71S1LR2FA/PB-950QB(P)</t>
  </si>
  <si>
    <t>МАТ.СПЛИТ.022</t>
  </si>
  <si>
    <t>Кассетный 24 MDCD-24HRFN8 / T-MBQ4-04BD / MDOUN-24HFN8</t>
  </si>
  <si>
    <t>МАТ.СПЛИТ.022 — Кассетный 24 MDCD-24HRFN8 / T-MBQ4-04BD / MDOUN-24HFN8</t>
  </si>
  <si>
    <t>МАТ.СПЛИТ.023</t>
  </si>
  <si>
    <t>Кассетный 24 MDCF-24HRN1 / T-MBQ4-04B / MDOU3-24HN1-L</t>
  </si>
  <si>
    <t>МАТ.СПЛИТ.023 — Кассетный 24 MDCF-24HRN1 / T-MBQ4-04B / MDOU3-24HN1-L</t>
  </si>
  <si>
    <t>МАТ.СПЛИТ.024</t>
  </si>
  <si>
    <t>Кассетный 30 AB71S2LR2FA/1U71S1LR2FA/PB-950QB(P)</t>
  </si>
  <si>
    <t>МАТ.СПЛИТ.024 — Кассетный 30 AB71S2LR2FA/1U71S1LR2FA/PB-950QB(P)</t>
  </si>
  <si>
    <t>МАТ.СПЛИТ.025</t>
  </si>
  <si>
    <t>Кассетный 30 MDCD-24HRFN8 / T-MBQ4-04BD / MDOUN-24HFN8</t>
  </si>
  <si>
    <t>МАТ.СПЛИТ.025 — Кассетный 30 MDCD-24HRFN8 / T-MBQ4-04BD / MDOUN-24HFN8</t>
  </si>
  <si>
    <t>МАТ.СПЛИТ.026</t>
  </si>
  <si>
    <t>Кассетный 30 MDCF-24HRN1 / T-MBQ4-04B / MDOU3-24HN1-L</t>
  </si>
  <si>
    <t>МАТ.СПЛИТ.026 — Кассетный 30 MDCF-24HRN1 / T-MBQ4-04B / MDOU3-24HN1-L</t>
  </si>
  <si>
    <t>МАТ.СПЛИТ.027</t>
  </si>
  <si>
    <t>Кассетный 36 AB105S2LR2FA/1U105S1LS2FB/PB-950QB(P)</t>
  </si>
  <si>
    <t>МАТ.СПЛИТ.027 — Кассетный 36 AB105S2LR2FA/1U105S1LS2FB/PB-950QB(P)</t>
  </si>
  <si>
    <t>МАТ.СПЛИТ.028</t>
  </si>
  <si>
    <t>Кассетный 36 MDCD-36HRFN8 / T-MBQ4-04BD / MDOU-36HFN8</t>
  </si>
  <si>
    <t>МАТ.СПЛИТ.028 — Кассетный 36 MDCD-36HRFN8 / T-MBQ4-04BD / MDOU-36HFN8</t>
  </si>
  <si>
    <t>МАТ.СПЛИТ.029</t>
  </si>
  <si>
    <t>Кассетный 36 MDCF2-36HRN1 / T-MBQ4-04B / MDOU3-36HN1-L</t>
  </si>
  <si>
    <t>МАТ.СПЛИТ.029 — Кассетный 36 MDCF2-36HRN1 / T-MBQ4-04B / MDOU3-36HN1-L</t>
  </si>
  <si>
    <t>МАТ.СПЛИТ.030</t>
  </si>
  <si>
    <t>Кассетный 48 AB140S2LR2FA/1U140S2LN2FB/PB-950QB(P)</t>
  </si>
  <si>
    <t>МАТ.СПЛИТ.030 — Кассетный 48 AB140S2LR2FA/1U140S2LN2FB/PB-950QB(P)</t>
  </si>
  <si>
    <t>МАТ.СПЛИТ.031</t>
  </si>
  <si>
    <t>Кассетный 48 MDCD-48HRFN8 / T-MBQ4-04BD / MDOUN-48HFN8</t>
  </si>
  <si>
    <t>МАТ.СПЛИТ.031 — Кассетный 48 MDCD-48HRFN8 / T-MBQ4-04BD / MDOUN-48HFN8</t>
  </si>
  <si>
    <t>МАТ.СПЛИТ.032</t>
  </si>
  <si>
    <t>Кассетный 48 MDCF-48HRN1 / T-MBQ4-04B / MDOU3-48HN1-L</t>
  </si>
  <si>
    <t>МАТ.СПЛИТ.032 — Кассетный 48 MDCF-48HRN1 / T-MBQ4-04B / MDOU3-48HN1-L</t>
  </si>
  <si>
    <t>МАТ.СПЛИТ.033</t>
  </si>
  <si>
    <t>Кассетный 54 AB160S2LR2FA/1U160S2LN2FB/PB-950QB(P)</t>
  </si>
  <si>
    <t>МАТ.СПЛИТ.033 — Кассетный 54 AB160S2LR2FA/1U160S2LN2FB/PB-950QB(P)</t>
  </si>
  <si>
    <t>МАТ.СПЛИТ.034</t>
  </si>
  <si>
    <t>Кассетный 54 MDCD-60HRFN8 / T-MBQ4-04BD / MDOUN-60HFN8</t>
  </si>
  <si>
    <t>МАТ.СПЛИТ.034 — Кассетный 54 MDCD-60HRFN8 / T-MBQ4-04BD / MDOUN-60HFN8</t>
  </si>
  <si>
    <t>МАТ.СПЛИТ.035</t>
  </si>
  <si>
    <t>Кассетный 54 MDCF2-60HRN1 / T-MBQ4-04B / MDOU3-60HN1-L</t>
  </si>
  <si>
    <t>МАТ.СПЛИТ.035 — Кассетный 54 MDCF2-60HRN1 / T-MBQ4-04B / MDOU3-60HN1-L</t>
  </si>
  <si>
    <t>МАТ.СПЛИТ.036</t>
  </si>
  <si>
    <t>Мульти-сплит внешн. блок 2U50S2SM1FA-3</t>
  </si>
  <si>
    <t>МАТ.СПЛИТ.036 — Мульти-сплит внешн. блок 2U50S2SM1FA-3</t>
  </si>
  <si>
    <t>МАТ.СПЛИТ.037</t>
  </si>
  <si>
    <t>Мульти-сплит внешн. блок 3U55S2SR5FA</t>
  </si>
  <si>
    <t>МАТ.СПЛИТ.037 — Мульти-сплит внешн. блок 3U55S2SR5FA</t>
  </si>
  <si>
    <t>МАТ.СПЛИТ.038</t>
  </si>
  <si>
    <t>Мульти-сплит внешн. блок 4U75S2SR5FA</t>
  </si>
  <si>
    <t>МАТ.СПЛИТ.038 — Мульти-сплит внешн. блок 4U75S2SR5FA</t>
  </si>
  <si>
    <t>МАТ.СПЛИТ.039</t>
  </si>
  <si>
    <t>Мульти-сплит внешн. блок 5U105S2SS5FA</t>
  </si>
  <si>
    <t>МАТ.СПЛИТ.039 — Мульти-сплит внешн. блок 5U105S2SS5FA</t>
  </si>
  <si>
    <t>МАТ.СПЛИТ.040</t>
  </si>
  <si>
    <t>Мульти-сплит внешн. блок 5U125S2SN1FA</t>
  </si>
  <si>
    <t>МАТ.СПЛИТ.040 — Мульти-сплит внешн. блок 5U125S2SN1FA</t>
  </si>
  <si>
    <t>МАТ.СПЛИТ.041</t>
  </si>
  <si>
    <t>Мульти-сплит внешн. блок 5U90S2SS5FA</t>
  </si>
  <si>
    <t>МАТ.СПЛИТ.041 — Мульти-сплит внешн. блок 5U90S2SS5FA</t>
  </si>
  <si>
    <t>МАТ.СПЛИТ.042</t>
  </si>
  <si>
    <t>Мульти-сплит внешн. блок MD2O-18HFN8</t>
  </si>
  <si>
    <t>МАТ.СПЛИТ.042 — Мульти-сплит внешн. блок MD2O-18HFN8</t>
  </si>
  <si>
    <t>МАТ.СПЛИТ.043</t>
  </si>
  <si>
    <t>Мульти-сплит внешн. блок MD3O-21HFN8</t>
  </si>
  <si>
    <t>МАТ.СПЛИТ.043 — Мульти-сплит внешн. блок MD3O-21HFN8</t>
  </si>
  <si>
    <t>МАТ.СПЛИТ.044</t>
  </si>
  <si>
    <t>Мульти-сплит внешн. блок MD4O-28HFN8</t>
  </si>
  <si>
    <t>МАТ.СПЛИТ.044 — Мульти-сплит внешн. блок MD4O-28HFN8</t>
  </si>
  <si>
    <t>МАТ.СПЛИТ.045</t>
  </si>
  <si>
    <t>Мульти-сплит внешн. блок MD4O-36HFN8</t>
  </si>
  <si>
    <t>МАТ.СПЛИТ.045 — Мульти-сплит внешн. блок MD4O-36HFN8</t>
  </si>
  <si>
    <t>МАТ.СПЛИТ.046</t>
  </si>
  <si>
    <t>Мульти-сплит внешн. блок MD5OB-42HFN8</t>
  </si>
  <si>
    <t>МАТ.СПЛИТ.046 — Мульти-сплит внешн. блок MD5OB-42HFN8</t>
  </si>
  <si>
    <t>МАТ.СПЛИТ.047</t>
  </si>
  <si>
    <t>Мульти-сплит канальный внутр. блок AD25S2SS1FA</t>
  </si>
  <si>
    <t>МАТ.СПЛИТ.047 — Мульти-сплит канальный внутр. блок AD25S2SS1FA</t>
  </si>
  <si>
    <t>МАТ.СПЛИТ.048</t>
  </si>
  <si>
    <t>Мульти-сплит канальный внутр. блок AD35S2SS1FA</t>
  </si>
  <si>
    <t>МАТ.СПЛИТ.048 — Мульти-сплит канальный внутр. блок AD35S2SS1FA</t>
  </si>
  <si>
    <t>МАТ.СПЛИТ.049</t>
  </si>
  <si>
    <t>Мульти-сплит канальный внутр. блок AD50S2SS1FA</t>
  </si>
  <si>
    <t>МАТ.СПЛИТ.049 — Мульти-сплит канальный внутр. блок AD50S2SS1FA</t>
  </si>
  <si>
    <t>МАТ.СПЛИТ.050</t>
  </si>
  <si>
    <t>Мульти-сплит канальный внутр. блок AD71S2SS1FA</t>
  </si>
  <si>
    <t>МАТ.СПЛИТ.050 — Мульти-сплит канальный внутр. блок AD71S2SS1FA</t>
  </si>
  <si>
    <t>МАТ.СПЛИТ.051</t>
  </si>
  <si>
    <t>Мульти-сплит канальный внутр. блок MDT2II-09HWFN8</t>
  </si>
  <si>
    <t>МАТ.СПЛИТ.051 — Мульти-сплит канальный внутр. блок MDT2II-09HWFN8</t>
  </si>
  <si>
    <t>МАТ.СПЛИТ.052</t>
  </si>
  <si>
    <t>Мульти-сплит канальный внутр. блок MDT2II-12HWFN8</t>
  </si>
  <si>
    <t>МАТ.СПЛИТ.052 — Мульти-сплит канальный внутр. блок MDT2II-12HWFN8</t>
  </si>
  <si>
    <t>МАТ.СПЛИТ.053</t>
  </si>
  <si>
    <t>Мульти-сплит канальный внутр. блок MDT2II-18HWFN8</t>
  </si>
  <si>
    <t>МАТ.СПЛИТ.053 — Мульти-сплит канальный внутр. блок MDT2II-18HWFN8</t>
  </si>
  <si>
    <t>МАТ.СПЛИТ.054</t>
  </si>
  <si>
    <t>Мульти-сплит канальный внутр. блок MDT2II-24HWFN8</t>
  </si>
  <si>
    <t>МАТ.СПЛИТ.054 — Мульти-сплит канальный внутр. блок MDT2II-24HWFN8</t>
  </si>
  <si>
    <t>МАТ.СПЛИТ.055</t>
  </si>
  <si>
    <t>Мульти-сплит кассетный внутр. блок AB25S2SC1FA/PB-700KB</t>
  </si>
  <si>
    <t>МАТ.СПЛИТ.055 — Мульти-сплит кассетный внутр. блок AB25S2SC1FA/PB-700KB</t>
  </si>
  <si>
    <t>МАТ.СПЛИТ.056</t>
  </si>
  <si>
    <t>МАТ.СПЛИТ.056 — Мульти-сплит кассетный внутр. блок AB25S2SC1FA/PB-700KB</t>
  </si>
  <si>
    <t>МАТ.СПЛИТ.057</t>
  </si>
  <si>
    <t>МАТ.СПЛИТ.057 — Мульти-сплит кассетный внутр. блок AB25S2SC1FA/PB-700KB</t>
  </si>
  <si>
    <t>МАТ.СПЛИТ.058</t>
  </si>
  <si>
    <t>Мульти-сплит кассетный внутр. блок AB35S2SC1FA/PB-700KB</t>
  </si>
  <si>
    <t>МАТ.СПЛИТ.058 — Мульти-сплит кассетный внутр. блок AB35S2SC1FA/PB-700KB</t>
  </si>
  <si>
    <t>МАТ.СПЛИТ.059</t>
  </si>
  <si>
    <t>Мульти-сплит кассетный внутр. блок AB50S2SC1FA/PB-700KB</t>
  </si>
  <si>
    <t>МАТ.СПЛИТ.059 — Мульти-сплит кассетный внутр. блок AB50S2SC1FA/PB-700KB</t>
  </si>
  <si>
    <t>МАТ.СПЛИТ.060</t>
  </si>
  <si>
    <t>Мульти-сплит кассетный внутр. блок AB71S2SG1FA/PB-950KB</t>
  </si>
  <si>
    <t>МАТ.СПЛИТ.060 — Мульти-сплит кассетный внутр. блок AB71S2SG1FA/PB-950KB</t>
  </si>
  <si>
    <t>МАТ.СПЛИТ.061</t>
  </si>
  <si>
    <t>Мульти-сплит кассетный внутр. блок MDCAC4I-07HRFN8 / T-MBQ4-03BD</t>
  </si>
  <si>
    <t>МАТ.СПЛИТ.061 — Мульти-сплит кассетный внутр. блок MDCAC4I-07HRFN8 / T-MBQ4-03BD</t>
  </si>
  <si>
    <t>МАТ.СПЛИТ.062</t>
  </si>
  <si>
    <t>МАТ.СПЛИТ.062 — Мульти-сплит кассетный внутр. блок MDCAC4I-07HRFN8 / T-MBQ4-03BD</t>
  </si>
  <si>
    <t>МАТ.СПЛИТ.063</t>
  </si>
  <si>
    <t>Мульти-сплит кассетный внутр. блок MDCAC4I-09HRFN8 / T-MBQ4-03BD</t>
  </si>
  <si>
    <t>МАТ.СПЛИТ.063 — Мульти-сплит кассетный внутр. блок MDCAC4I-09HRFN8 / T-MBQ4-03BD</t>
  </si>
  <si>
    <t>МАТ.СПЛИТ.064</t>
  </si>
  <si>
    <t>Мульти-сплит кассетный внутр. блок MDCAC4I-12HRFN8 / T-MBQ4-03BD</t>
  </si>
  <si>
    <t>МАТ.СПЛИТ.064 — Мульти-сплит кассетный внутр. блок MDCAC4I-12HRFN8 / T-MBQ4-03BD</t>
  </si>
  <si>
    <t>МАТ.СПЛИТ.065</t>
  </si>
  <si>
    <t>Мульти-сплит кассетный внутр. блок MDCAC4I-18HRFN8 / T-MBQ4-03BD</t>
  </si>
  <si>
    <t>МАТ.СПЛИТ.065 — Мульти-сплит кассетный внутр. блок MDCAC4I-18HRFN8 / T-MBQ4-03BD</t>
  </si>
  <si>
    <t>МАТ.СПЛИТ.066</t>
  </si>
  <si>
    <t>Мульти-сплит напольно-потолочный внутр. блок AC35S2SG1FA</t>
  </si>
  <si>
    <t>МАТ.СПЛИТ.066 — Мульти-сплит напольно-потолочный внутр. блок AC35S2SG1FA</t>
  </si>
  <si>
    <t>МАТ.СПЛИТ.067</t>
  </si>
  <si>
    <t>МАТ.СПЛИТ.067 — Мульти-сплит напольно-потолочный внутр. блок AC35S2SG1FA</t>
  </si>
  <si>
    <t>МАТ.СПЛИТ.068</t>
  </si>
  <si>
    <t>Мульти-сплит напольно-потолочный внутр. блок AC50S2SG1FA</t>
  </si>
  <si>
    <t>МАТ.СПЛИТ.068 — Мульти-сплит напольно-потолочный внутр. блок AC50S2SG1FA</t>
  </si>
  <si>
    <t>МАТ.СПЛИТ.069</t>
  </si>
  <si>
    <t>Мульти-сплит напольно-потолочный внутр. блок AC71S2SG1FA</t>
  </si>
  <si>
    <t>МАТ.СПЛИТ.069 — Мульти-сплит напольно-потолочный внутр. блок AC71S2SG1FA</t>
  </si>
  <si>
    <t>МАТ.СПЛИТ.070</t>
  </si>
  <si>
    <t>Мульти-сплит настенный внутр. блок AS20PS1HRA-M</t>
  </si>
  <si>
    <t>МАТ.СПЛИТ.070 — Мульти-сплит настенный внутр. блок AS20PS1HRA-M</t>
  </si>
  <si>
    <t>МАТ.СПЛИТ.071</t>
  </si>
  <si>
    <t>МАТ.СПЛИТ.071 — Мульти-сплит настенный внутр. блок AS20PS1HRA-M</t>
  </si>
  <si>
    <t>МАТ.СПЛИТ.072</t>
  </si>
  <si>
    <t>Мульти-сплит настенный внутр. блок AS25PS1HRA-M</t>
  </si>
  <si>
    <t>МАТ.СПЛИТ.072 — Мульти-сплит настенный внутр. блок AS25PS1HRA-M</t>
  </si>
  <si>
    <t>МАТ.СПЛИТ.073</t>
  </si>
  <si>
    <t>Мульти-сплит настенный внутр. блок AS35PS1HRA-M</t>
  </si>
  <si>
    <t>МАТ.СПЛИТ.073 — Мульти-сплит настенный внутр. блок AS35PS1HRA-M</t>
  </si>
  <si>
    <t>МАТ.СПЛИТ.074</t>
  </si>
  <si>
    <t>Мульти-сплит настенный внутр. блок AS50PS1HRA-M</t>
  </si>
  <si>
    <t>МАТ.СПЛИТ.074 — Мульти-сплит настенный внутр. блок AS50PS1HRA-M</t>
  </si>
  <si>
    <t>МАТ.СПЛИТ.075</t>
  </si>
  <si>
    <t>Мульти-сплит настенный внутр. блок AS70PS1HRA-M</t>
  </si>
  <si>
    <t>МАТ.СПЛИТ.075 — Мульти-сплит настенный внутр. блок AS70PS1HRA-M</t>
  </si>
  <si>
    <t>МАТ.СПЛИТ.076</t>
  </si>
  <si>
    <t>Мульти-сплит настенный внутр. блок MDSAJ-07HRFN8</t>
  </si>
  <si>
    <t>МАТ.СПЛИТ.076 — Мульти-сплит настенный внутр. блок MDSAJ-07HRFN8</t>
  </si>
  <si>
    <t>МАТ.СПЛИТ.077</t>
  </si>
  <si>
    <t>Мульти-сплит настенный внутр. блок MDSAJ-09HRFN8</t>
  </si>
  <si>
    <t>МАТ.СПЛИТ.077 — Мульти-сплит настенный внутр. блок MDSAJ-09HRFN8</t>
  </si>
  <si>
    <t>МАТ.СПЛИТ.078</t>
  </si>
  <si>
    <t>Мульти-сплит настенный внутр. блок MDSAJ-12HRFN8</t>
  </si>
  <si>
    <t>МАТ.СПЛИТ.078 — Мульти-сплит настенный внутр. блок MDSAJ-12HRFN8</t>
  </si>
  <si>
    <t>МАТ.СПЛИТ.079</t>
  </si>
  <si>
    <t>Мульти-сплит настенный внутр. блок MDSAJ-18HRFN8</t>
  </si>
  <si>
    <t>МАТ.СПЛИТ.079 — Мульти-сплит настенный внутр. блок MDSAJ-18HRFN8</t>
  </si>
  <si>
    <t>МАТ.СПЛИТ.080</t>
  </si>
  <si>
    <t>Мульти-сплит настенный внутр. блок MDSAJ-24HRFN8</t>
  </si>
  <si>
    <t>МАТ.СПЛИТ.080 — Мульти-сплит настенный внутр. блок MDSAJ-24HRFN8</t>
  </si>
  <si>
    <t>МАТ.СПЛИТ.081</t>
  </si>
  <si>
    <t>МАТ.СПЛИТ.081 — Мульти-сплит настенный внутр. блок MDSAJ-24HRFN8</t>
  </si>
  <si>
    <t>МАТ.СПЛИТ.082</t>
  </si>
  <si>
    <t>Напольно - потолочный 18 AC50S1LG2FA/1U50S1LM2FA</t>
  </si>
  <si>
    <t>МАТ.СПЛИТ.082 — Напольно - потолочный 18 AC50S1LG2FA/1U50S1LM2FA</t>
  </si>
  <si>
    <t>МАТ.СПЛИТ.083</t>
  </si>
  <si>
    <t>Напольно - потолочный 18 MDUE-18HRFN8 / MDOU-18HFN8</t>
  </si>
  <si>
    <t>МАТ.СПЛИТ.083 — Напольно - потолочный 18 MDUE-18HRFN8 / MDOU-18HFN8</t>
  </si>
  <si>
    <t>МАТ.СПЛИТ.084</t>
  </si>
  <si>
    <t>Напольно - потолочный 24 AC71S1LG2FA/1U71S1LR2FA</t>
  </si>
  <si>
    <t>МАТ.СПЛИТ.084 — Напольно - потолочный 24 AC71S1LG2FA/1U71S1LR2FA</t>
  </si>
  <si>
    <t>МАТ.СПЛИТ.085</t>
  </si>
  <si>
    <t>Напольно - потолочный 24 MDUE-24HRFN8 / MDOUN-24HFN8</t>
  </si>
  <si>
    <t>МАТ.СПЛИТ.085 — Напольно - потолочный 24 MDUE-24HRFN8 / MDOUN-24HFN8</t>
  </si>
  <si>
    <t>МАТ.СПЛИТ.086</t>
  </si>
  <si>
    <t>Напольно - потолочный 24 MDUE-24HRN1 / MDOU3-24HN1-L</t>
  </si>
  <si>
    <t>МАТ.СПЛИТ.086 — Напольно - потолочный 24 MDUE-24HRN1 / MDOU3-24HN1-L</t>
  </si>
  <si>
    <t>МАТ.СПЛИТ.087</t>
  </si>
  <si>
    <t>Напольно - потолочный 36 AC105S2LH2FA/1U105S1LS2FB</t>
  </si>
  <si>
    <t>МАТ.СПЛИТ.087 — Напольно - потолочный 36 AC105S2LH2FA/1U105S1LS2FB</t>
  </si>
  <si>
    <t>МАТ.СПЛИТ.088</t>
  </si>
  <si>
    <t>Напольно - потолочный 36 MDUE-36HRFN8 / MDOU-36HFN8</t>
  </si>
  <si>
    <t>МАТ.СПЛИТ.088 — Напольно - потолочный 36 MDUE-36HRFN8 / MDOU-36HFN8</t>
  </si>
  <si>
    <t>МАТ.СПЛИТ.089</t>
  </si>
  <si>
    <t>Напольно - потолочный 36 MDUE2-36HRN1 / MDOU3-36HN1-L</t>
  </si>
  <si>
    <t>МАТ.СПЛИТ.089 — Напольно - потолочный 36 MDUE2-36HRN1 / MDOU3-36HN1-L</t>
  </si>
  <si>
    <t>МАТ.СПЛИТ.090</t>
  </si>
  <si>
    <t>Напольно - потолочный 48 AC140S2LK2FA/1U140S2LN2FB</t>
  </si>
  <si>
    <t>МАТ.СПЛИТ.090 — Напольно - потолочный 48 AC140S2LK2FA/1U140S2LN2FB</t>
  </si>
  <si>
    <t>МАТ.СПЛИТ.091</t>
  </si>
  <si>
    <t>Напольно - потолочный 48 MDUE-48HRFN8 / MDOUN-48HFN8</t>
  </si>
  <si>
    <t>МАТ.СПЛИТ.091 — Напольно - потолочный 48 MDUE-48HRFN8 / MDOUN-48HFN8</t>
  </si>
  <si>
    <t>МАТ.СПЛИТ.092</t>
  </si>
  <si>
    <t>Напольно - потолочный 48 MDUE-48HRN1 / MDOU3-48HN1-L</t>
  </si>
  <si>
    <t>МАТ.СПЛИТ.092 — Напольно - потолочный 48 MDUE-48HRN1 / MDOU3-48HN1-L</t>
  </si>
  <si>
    <t>МАТ.СПЛИТ.093</t>
  </si>
  <si>
    <t>Напольно - потолочный 60 AC160S2LK2FA/1U160S2LN2FB</t>
  </si>
  <si>
    <t>МАТ.СПЛИТ.093 — Напольно - потолочный 60 AC160S2LK2FA/1U160S2LN2FB</t>
  </si>
  <si>
    <t>МАТ.СПЛИТ.094</t>
  </si>
  <si>
    <t>Напольно - потолочный 60 MDUE-60HRFN8 / MDOUN-60HFN8</t>
  </si>
  <si>
    <t>МАТ.СПЛИТ.094 — Напольно - потолочный 60 MDUE-60HRFN8 / MDOUN-60HFN8</t>
  </si>
  <si>
    <t>МАТ.СПЛИТ.095</t>
  </si>
  <si>
    <t>Напольно - потолочный 60 MDUE-60HRN1 / MDOU3-60HN1-L</t>
  </si>
  <si>
    <t>МАТ.СПЛИТ.095 — Напольно - потолочный 60 MDUE-60HRN1 / MDOU3-60HN1-L</t>
  </si>
  <si>
    <t>МАТ.СПЛИТ.096</t>
  </si>
  <si>
    <t>Настенный 12 AS35HQJ2HRA-W/1U35HQJ2FRA</t>
  </si>
  <si>
    <t>МАТ.СПЛИТ.096 — Настенный 12 AS35HQJ2HRA-W/1U35HQJ2FRA</t>
  </si>
  <si>
    <t>МАТ.СПЛИТ.097</t>
  </si>
  <si>
    <t>Настенный 12 HSU-12HSL103/R3-W(IN)/HSU-12HSL103/R3(OUT)</t>
  </si>
  <si>
    <t>МАТ.СПЛИТ.097 — Настенный 12 HSU-12HSL103/R3-W(IN)/HSU-12HSL103/R3(OUT)</t>
  </si>
  <si>
    <t>МАТ.СПЛИТ.098</t>
  </si>
  <si>
    <t>Настенный 12 MDSAJ-12HRN8 / MDOAJ-12HN8</t>
  </si>
  <si>
    <t>МАТ.СПЛИТ.098 — Настенный 12 MDSAJ-12HRN8 / MDOAJ-12HN8</t>
  </si>
  <si>
    <t>МАТ.СПЛИТ.099</t>
  </si>
  <si>
    <t>Настенный 12 MDSI-12HRDN8 (WF) / MDOI-12HDN8</t>
  </si>
  <si>
    <t>МАТ.СПЛИТ.099 — Настенный 12 MDSI-12HRDN8 (WF) / MDOI-12HDN8</t>
  </si>
  <si>
    <t>МАТ.СПЛИТ.100</t>
  </si>
  <si>
    <t>Настенный 18 AS50HQJ2HRA-W/1U50HQJ2FRA</t>
  </si>
  <si>
    <t>МАТ.СПЛИТ.100 — Настенный 18 AS50HQJ2HRA-W/1U50HQJ2FRA</t>
  </si>
  <si>
    <t>МАТ.СПЛИТ.101</t>
  </si>
  <si>
    <t>Настенный 18 HSU-18HSL103/R3-W(IN)/HSU-18HSL103/R3(OUT)</t>
  </si>
  <si>
    <t>МАТ.СПЛИТ.101 — Настенный 18 HSU-18HSL103/R3-W(IN)/HSU-18HSL103/R3(OUT)</t>
  </si>
  <si>
    <t>МАТ.СПЛИТ.102</t>
  </si>
  <si>
    <t>Настенный 18 MDSAJ-18HRN8 / MDOAJ-18HN8</t>
  </si>
  <si>
    <t>МАТ.СПЛИТ.102 — Настенный 18 MDSAJ-18HRN8 / MDOAJ-18HN8</t>
  </si>
  <si>
    <t>МАТ.СПЛИТ.103</t>
  </si>
  <si>
    <t>Настенный 18 MDSI2-18HRFN8 / MDOI2-18HFN8</t>
  </si>
  <si>
    <t>МАТ.СПЛИТ.103 — Настенный 18 MDSI2-18HRFN8 / MDOI2-18HFN8</t>
  </si>
  <si>
    <t>МАТ.СПЛИТ.104</t>
  </si>
  <si>
    <t>Настенный 24 AS70HQJ2HRA-W/1U70HQJ2FRA</t>
  </si>
  <si>
    <t>МАТ.СПЛИТ.104 — Настенный 24 AS70HQJ2HRA-W/1U70HQJ2FRA</t>
  </si>
  <si>
    <t>МАТ.СПЛИТ.105</t>
  </si>
  <si>
    <t>Настенный 24 AS70S2SF3FA-W/1U70S2SJ2FA</t>
  </si>
  <si>
    <t>МАТ.СПЛИТ.105 — Настенный 24 AS70S2SF3FA-W/1U70S2SJ2FA</t>
  </si>
  <si>
    <t>МАТ.СПЛИТ.106</t>
  </si>
  <si>
    <t>Настенный 24 HSU-24HSL103/R3-W(IN)/HSU-24HSL103/R3(OUT)</t>
  </si>
  <si>
    <t>МАТ.СПЛИТ.106 — Настенный 24 HSU-24HSL103/R3-W(IN)/HSU-24HSL103/R3(OUT)</t>
  </si>
  <si>
    <t>МАТ.СПЛИТ.107</t>
  </si>
  <si>
    <t>Настенный 24 MDSAJ-24HRN8 / MDOAJ-24HN8</t>
  </si>
  <si>
    <t>МАТ.СПЛИТ.107 — Настенный 24 MDSAJ-24HRN8 / MDOAJ-24HN8</t>
  </si>
  <si>
    <t>МАТ.СПЛИТ.108</t>
  </si>
  <si>
    <t>Настенный 24 MDSI2-24HRFN8 / MDOI2-24HFN8</t>
  </si>
  <si>
    <t>МАТ.СПЛИТ.108 — Настенный 24 MDSI2-24HRFN8 / MDOI2-24HFN8</t>
  </si>
  <si>
    <t>МАТ.СПЛИТ.109</t>
  </si>
  <si>
    <t>Настенный 7 AS20HQJ2HRA-W/1U20HQJ2FRA</t>
  </si>
  <si>
    <t>МАТ.СПЛИТ.109 — Настенный 7 AS20HQJ2HRA-W/1U20HQJ2FRA</t>
  </si>
  <si>
    <t>МАТ.СПЛИТ.110</t>
  </si>
  <si>
    <t>Настенный 7 HSU-07HSL103/R3-W(IN)/HSU-07HSL103/R3(OUT)</t>
  </si>
  <si>
    <t>МАТ.СПЛИТ.110 — Настенный 7 HSU-07HSL103/R3-W(IN)/HSU-07HSL103/R3(OUT)</t>
  </si>
  <si>
    <t>МАТ.СПЛИТ.111</t>
  </si>
  <si>
    <t>Настенный 7 MDSAJ-07HRN8 / MDOAJ-07HN8</t>
  </si>
  <si>
    <t>МАТ.СПЛИТ.111 — Настенный 7 MDSAJ-07HRN8 / MDOAJ-07HN8</t>
  </si>
  <si>
    <t>МАТ.СПЛИТ.112</t>
  </si>
  <si>
    <t>Настенный 7 MDSI-07HRDN8 (WF) / MDOI-07HDN8</t>
  </si>
  <si>
    <t>МАТ.СПЛИТ.112 — Настенный 7 MDSI-07HRDN8 (WF) / MDOI-07HDN8</t>
  </si>
  <si>
    <t>МАТ.СПЛИТ.113</t>
  </si>
  <si>
    <t>Настенный 9 AS25HQJ2HRA-W/1U25HQJ2FRA</t>
  </si>
  <si>
    <t>МАТ.СПЛИТ.113 — Настенный 9 AS25HQJ2HRA-W/1U25HQJ2FRA</t>
  </si>
  <si>
    <t>МАТ.СПЛИТ.114</t>
  </si>
  <si>
    <t>Настенный 9 HSU-09HSL103/R3-W(IN)/HSU-09HSL103/R3(OUT)</t>
  </si>
  <si>
    <t>МАТ.СПЛИТ.114 — Настенный 9 HSU-09HSL103/R3-W(IN)/HSU-09HSL103/R3(OUT)</t>
  </si>
  <si>
    <t>МАТ.СПЛИТ.115</t>
  </si>
  <si>
    <t>Настенный 9 MDSAJ-09HRN8 / MDOAJ-09HN8</t>
  </si>
  <si>
    <t>МАТ.СПЛИТ.115 — Настенный 9 MDSAJ-09HRN8 / MDOAJ-09HN8</t>
  </si>
  <si>
    <t>МАТ.СПЛИТ.116</t>
  </si>
  <si>
    <t>Настенный 9 MDSI-09HRDN8 (WF) / MDOI-09HDN8</t>
  </si>
  <si>
    <t>МАТ.СПЛИТ.116 — Настенный 9 MDSI-09HRDN8 (WF) / MDOI-09HDN8</t>
  </si>
  <si>
    <t>МАТ.СТЕН.ПЛ.001</t>
  </si>
  <si>
    <t>Керамическая плитка 200*500 Amsterdam graphite " Ctramica Konskie"</t>
  </si>
  <si>
    <t>МАТ.СТЕН.ПЛ.001 — Керамическая плитка 200*500 Amsterdam graphite " Ctramica Konskie"</t>
  </si>
  <si>
    <t>МАТ.СТЕН.ПЛ.002</t>
  </si>
  <si>
    <t>Плитка Frida gray 30х60</t>
  </si>
  <si>
    <t>00-00-5-18-01-06-3325</t>
  </si>
  <si>
    <t>МАТ.СТЕН.ПЛ.002 — Плитка Frida gray 30х60</t>
  </si>
  <si>
    <t>МАТ.СТЕН.ПЛ.003</t>
  </si>
  <si>
    <t>Плитка Mountain silver 25х50</t>
  </si>
  <si>
    <t>00-00-5-10-01-06-2835</t>
  </si>
  <si>
    <t>МАТ.СТЕН.ПЛ.003 — Плитка Mountain silver 25х50</t>
  </si>
  <si>
    <t>МАТ.СТП.РАК.001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</si>
  <si>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</si>
  <si>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</si>
  <si>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Splendy</t>
  </si>
  <si>
    <t>Сантехника (УЦЗ)</t>
  </si>
  <si>
    <t>МАТ.СТП.РАК.001 — AA213N380RBM Держатель верхнего душа, Splendy, вид-настенный, вынос, мм-380, круглый отражатель, материал-латунь, цвет-черный матовый</t>
  </si>
  <si>
    <t>МАТ.СТП.РАК.002</t>
  </si>
  <si>
    <t>CN6014 Умывальник Ceramicanova чаша накладная круглая Element 435*435*135мм</t>
  </si>
  <si>
    <t>CN6014</t>
  </si>
  <si>
    <t>Ceramicanova</t>
  </si>
  <si>
    <t>МАТ.СТП.РАК.002 — CN6014 Умывальник Ceramicanova чаша накладная круглая Element 435*435*135мм</t>
  </si>
  <si>
    <t>МАТ.СТП.РАК.003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</si>
  <si>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</si>
  <si>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FR212X300R1BM</t>
  </si>
  <si>
    <t>МАТ.СТП.РАК.003 — 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</si>
  <si>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МАТ.СТП.РАК.004</t>
  </si>
  <si>
    <t>HB66 Донный клапан для раковины Haiba без перелива, хром</t>
  </si>
  <si>
    <t>HB66</t>
  </si>
  <si>
    <t>Haiba</t>
  </si>
  <si>
    <t>МАТ.СТП.РАК.004 — HB66 Донный клапан для раковины Haiba без перелива, хром</t>
  </si>
  <si>
    <t>МАТ.СТП.РАК.005</t>
  </si>
  <si>
    <t>Ванна моечная моповая КОБОР ВМБ/1-50/50</t>
  </si>
  <si>
    <t>ВМБ/1-50/50</t>
  </si>
  <si>
    <t>КОБОР</t>
  </si>
  <si>
    <t>МАТ.СТП.РАК.005 — Ванна моечная моповая КОБОР ВМБ/1-50/50</t>
  </si>
  <si>
    <t>МАТ.СТП.РАК.006</t>
  </si>
  <si>
    <t>Донный клапан для раковины Splendy AA3071NORMBM без перелива, матовый черный</t>
  </si>
  <si>
    <t>AA3071NORMBM</t>
  </si>
  <si>
    <t>МАТ.СТП.РАК.006 — Донный клапан для раковины Splendy AA3071NORMBM без перелива, матовый черный</t>
  </si>
  <si>
    <t>МАТ.СТП.РАК.007</t>
  </si>
  <si>
    <t>Душевая дверь в нишу Allen Brau Приорити (Priority) 3.31003.BBA 90</t>
  </si>
  <si>
    <t>3.31003.BBA</t>
  </si>
  <si>
    <t>Allen Brau</t>
  </si>
  <si>
    <t>МАТ.СТП.РАК.007 — Душевая дверь в нишу Allen Brau Приорити (Priority) 3.31003.BBA 90</t>
  </si>
  <si>
    <t>МАТ.СТП.РАК.008</t>
  </si>
  <si>
    <t>Душевая дверь в нишу River SUEZ 80 МТ 10000000740</t>
  </si>
  <si>
    <t>10000000740</t>
  </si>
  <si>
    <t>River</t>
  </si>
  <si>
    <t>МАТ.СТП.РАК.008 — Душевая дверь в нишу River SUEZ 80 МТ 10000000740</t>
  </si>
  <si>
    <t>МАТ.СТП.РАК.009</t>
  </si>
  <si>
    <t>Зеркало с встроенным светильником и сенсорным выключателем 12W, 220-240V, 600x30</t>
  </si>
  <si>
    <t>SPC-RNG-600-LED-TCH</t>
  </si>
  <si>
    <t>belbagno</t>
  </si>
  <si>
    <t>МАТ.СТП.РАК.009 — Зеркало с встроенным светильником и сенсорным выключателем 12W, 220-240V, 600x30</t>
  </si>
  <si>
    <t>МАТ.СТП.РАК.010</t>
  </si>
  <si>
    <t>Мойка для кухни Granula 4445U графит матовый, 44х45 см, квадратная</t>
  </si>
  <si>
    <t>Granula</t>
  </si>
  <si>
    <t>МАТ.СТП.РАК.010 — Мойка для кухни Granula 4445U графит матовый, 44х45 см, квадратная</t>
  </si>
  <si>
    <t>МАТ.СТП.РАК.011</t>
  </si>
  <si>
    <t>Поручень AQUATEK AQ4996CR латунь, хром, настенный 650 мм</t>
  </si>
  <si>
    <t>AQ4996CR</t>
  </si>
  <si>
    <t>AQUATEK</t>
  </si>
  <si>
    <t>МАТ.СТП.РАК.011 — Поручень AQUATEK AQ4996CR латунь, хром, настенный 650 мм</t>
  </si>
  <si>
    <t>МАТ.СТП.РАК.012</t>
  </si>
  <si>
    <t>Раковина Creavit Next NX242-00CB00E-0000 белая (Ширина: 500 мм, Высота: 130 мм, Глубина: 400 мм)</t>
  </si>
  <si>
    <t>NX242-00CB00E-0000</t>
  </si>
  <si>
    <t>Creavit</t>
  </si>
  <si>
    <t>МАТ.СТП.РАК.012 — Раковина Creavit Next NX242-00CB00E-0000 белая (Ширина: 500 мм, Высота: 130 мм, Глубина: 400 мм)</t>
  </si>
  <si>
    <t>МАТ.СТП.РАК.013</t>
  </si>
  <si>
    <t>Раковина SantiLine SL-2005</t>
  </si>
  <si>
    <t>SL-2005</t>
  </si>
  <si>
    <t>SantiLine</t>
  </si>
  <si>
    <t>МАТ.СТП.РАК.013 — Раковина SantiLine SL-2005</t>
  </si>
  <si>
    <t>МАТ.СТП.СМЕС.001</t>
  </si>
  <si>
    <t>AQ2060MB ВЕГА душевая система AQUATEK (смеситель для душа) 3jet 250мм, матовый черный</t>
  </si>
  <si>
    <t>AQ2060MB</t>
  </si>
  <si>
    <t>МАТ.СТП.СМЕС.001 — AQ2060MB ВЕГА душевая система AQUATEK (смеситель для душа) 3jet 250мм, матовый черный</t>
  </si>
  <si>
    <t>МАТ.СТП.СМЕС.002</t>
  </si>
  <si>
    <t>HB80 Сифон для раковины Haiba хром</t>
  </si>
  <si>
    <t>HB80</t>
  </si>
  <si>
    <t>МАТ.СТП.СМЕС.002 — HB80 Сифон для раковины Haiba хром</t>
  </si>
  <si>
    <t>МАТ.СТП.СМЕС.003</t>
  </si>
  <si>
    <t xml:space="preserve">Комплект TECElinus для монтажа дренажного канала с основой для плитки “tile” и панелью “steel” 2 в 1 Комплект поставки: Дренажный канал из нержавеющей стали; Сифон DN 50, выход вбок, производительность (согласно DIN EN 1253) при уровне воды 10/20 мм </t>
  </si>
  <si>
    <t>15103079</t>
  </si>
  <si>
    <t>TECElinus</t>
  </si>
  <si>
    <t xml:space="preserve">МАТ.СТП.СМЕС.003 — Комплект TECElinus для монтажа дренажного канала с основой для плитки “tile” и панелью “steel” 2 в 1 Комплект поставки: Дренажный канал из нержавеющей стали; Сифон DN 50, выход вбок, производительность (согласно DIN EN 1253) при уровне воды 10/20 мм </t>
  </si>
  <si>
    <t>МАТ.СТП.СМЕС.004</t>
  </si>
  <si>
    <t>Сифон для раковины Viega 100674 Хром</t>
  </si>
  <si>
    <t>100674</t>
  </si>
  <si>
    <t>Viega</t>
  </si>
  <si>
    <t>МАТ.СТП.СМЕС.004 — Сифон для раковины Viega 100674 Хром</t>
  </si>
  <si>
    <t>МАТ.СТП.СМЕС.005</t>
  </si>
  <si>
    <t>Сифон для умывальника бутылочный 1 1/4"x40 с гофрой 40х40/50 выпуск с нержавеющей решёткой D=65мм АНИ Пласт C1015</t>
  </si>
  <si>
    <t>C1015</t>
  </si>
  <si>
    <t>АНИ пласт</t>
  </si>
  <si>
    <t>МАТ.СТП.СМЕС.005 — Сифон для умывальника бутылочный 1 1/4"x40 с гофрой 40х40/50 выпуск с нержавеющей решёткой D=65мм АНИ Пласт C1015</t>
  </si>
  <si>
    <t>МАТ.СТП.СМЕС.006</t>
  </si>
  <si>
    <t>Смеситель гигиенический Ideal Standart DB130AA</t>
  </si>
  <si>
    <t>DB130AA</t>
  </si>
  <si>
    <t>Ideal Standard</t>
  </si>
  <si>
    <t>МАТ.СТП.СМЕС.006 — Смеситель гигиенический Ideal Standart DB130AA</t>
  </si>
  <si>
    <t>МАТ.СТП.СМЕС.007</t>
  </si>
  <si>
    <t>Смеситель для ванны Rossinka S35-33 универсальный</t>
  </si>
  <si>
    <t>S35-33</t>
  </si>
  <si>
    <t>Rossinka</t>
  </si>
  <si>
    <t>МАТ.СТП.СМЕС.007 — Смеситель для ванны Rossinka S35-33 универсальный</t>
  </si>
  <si>
    <t>МАТ.СТП.СМЕС.008</t>
  </si>
  <si>
    <t>Смеситель для кухни Omoikiri Kanto PVD-GM с гибким изливом</t>
  </si>
  <si>
    <t>Kanto PVD-GM</t>
  </si>
  <si>
    <t>Omoikiri</t>
  </si>
  <si>
    <t>МАТ.СТП.СМЕС.008 — Смеситель для кухни Omoikiri Kanto PVD-GM с гибким изливом</t>
  </si>
  <si>
    <t>МАТ.СТП.СМЕС.009</t>
  </si>
  <si>
    <t>Смеситель для раковины IDEAL STANDARD CERALINE BC193AA однорычажный, хром</t>
  </si>
  <si>
    <t>МАТ.СТП.СМЕС.009 — Смеситель для раковины IDEAL STANDARD CERALINE BC193AA однорычажный, хром</t>
  </si>
  <si>
    <t>МАТ.СТП.СМЕС.010</t>
  </si>
  <si>
    <t>Смеситель сенсорный Swedbe Europe 6000-220</t>
  </si>
  <si>
    <t>6000-220</t>
  </si>
  <si>
    <t>Swedbe</t>
  </si>
  <si>
    <t>МАТ.СТП.СМЕС.010 — Смеситель сенсорный Swedbe Europe 6000-220</t>
  </si>
  <si>
    <t>МАТ.СТП.СМЕС.011</t>
  </si>
  <si>
    <t>Термостатический смеситель встраиваемый Splendy Passion PA204U2T3BM С ВНУТРЕННЕЙ ЧАСТЬЮ, черный матовый</t>
  </si>
  <si>
    <t>PA204U2T3BM</t>
  </si>
  <si>
    <t>МАТ.СТП.СМЕС.011 — Термостатический смеситель встраиваемый Splendy Passion PA204U2T3BM С ВНУТРЕННЕЙ ЧАСТЬЮ, черный матовый</t>
  </si>
  <si>
    <t>МАТ.СТП.СМЕС.012</t>
  </si>
  <si>
    <t>смеситель с гигиеническим душем Allen Brau Priority 5.31A29-31 (с внутренней частью), цвет черный матовый</t>
  </si>
  <si>
    <t>5.31A29-31</t>
  </si>
  <si>
    <t>МАТ.СТП.СМЕС.012 — смеситель с гигиеническим душем Allen Brau Priority 5.31A29-31 (с внутренней частью), цвет черный матовый</t>
  </si>
  <si>
    <t>МАТ.СТП.СМЕС.013</t>
  </si>
  <si>
    <t>торговая сеть, смеситель для раковины Allen Brau Priority 5.31001-31, цвет черный матовый</t>
  </si>
  <si>
    <t>5.31001-31</t>
  </si>
  <si>
    <t>МАТ.СТП.СМЕС.013 — торговая сеть, смеситель для раковины Allen Brau Priority 5.31001-31, цвет черный матовый</t>
  </si>
  <si>
    <t>МАТ.СТП.УНИТ.001</t>
  </si>
  <si>
    <t>E253701 i.life Писсуар Ideal Standard, задняя подводка, с крепежами и фитингами в комплекте. Безободковая чаша без</t>
  </si>
  <si>
    <t>E253701</t>
  </si>
  <si>
    <t>МАТ.СТП.УНИТ.001 — E253701 i.life Писсуар Ideal Standard, задняя подводка, с крепежами и фитингами в комплекте. Безободковая чаша без</t>
  </si>
  <si>
    <t>МАТ.СТП.УНИТ.002</t>
  </si>
  <si>
    <t>ES3300 CREAVIT Кран для писсуара сенсорный</t>
  </si>
  <si>
    <t>ES3300</t>
  </si>
  <si>
    <t>CREAVIT</t>
  </si>
  <si>
    <t>МАТ.СТП.УНИТ.002 — ES3300 CREAVIT Кран для писсуара сенсорный</t>
  </si>
  <si>
    <t>МАТ.СТП.УНИТ.003</t>
  </si>
  <si>
    <t>LEMARK Смывное устройство для писсуара, сенсорное, встраиваемое</t>
  </si>
  <si>
    <t>LM4657CE</t>
  </si>
  <si>
    <t>LEMARK</t>
  </si>
  <si>
    <t>МАТ.СТП.УНИТ.003 — LEMARK Смывное устройство для писсуара, сенсорное, встраиваемое</t>
  </si>
  <si>
    <t>МАТ.СТП.УНИТ.004</t>
  </si>
  <si>
    <t>Инсталляция для подвесного унитаза Aquatek Standart 37 INS-0000017, кнопка Акватек KDI-0000016 хром</t>
  </si>
  <si>
    <t>366527</t>
  </si>
  <si>
    <t>Aquatek</t>
  </si>
  <si>
    <t>МАТ.СТП.УНИТ.004 — Инсталляция для подвесного унитаза Aquatek Standart 37 INS-0000017, кнопка Акватек KDI-0000016 хром</t>
  </si>
  <si>
    <t>МАТ.СТП.УНИТ.005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</si>
  <si>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INS-0000017 Aquatek Инсталляция для подвесного унитаза узкая Aquatek Standart 37, 1130*370*150 мм, +зву</t>
  </si>
  <si>
    <t>МАТ.СТП.УНИТ.005 — Комплект AQ1905-MB ВЕГА Унитаз подвесной безободковый 525*360*320мм, тонкое сиденье с механизмом плавного закрывания, крепеж, цвет матовый черный, INS-0000017 Aquatek Инсталляция для подвесного унитаза узкая Aquatek Standart 37, 1130*370*150 мм, +зву</t>
  </si>
  <si>
    <t>МАТ.СТП.УНИТ.006</t>
  </si>
  <si>
    <t>Поручень для инсталляции Aquatek POR-0000004, хром, 800 мм</t>
  </si>
  <si>
    <t>POR-0000004</t>
  </si>
  <si>
    <t>МАТ.СТП.УНИТ.006 — Поручень для инсталляции Aquatek POR-0000004, хром, 800 мм</t>
  </si>
  <si>
    <t>МАТ.СТП.УНИТ.007</t>
  </si>
  <si>
    <t>Рама для монтажа PROSYS R016367 писсуара с задней подводкой</t>
  </si>
  <si>
    <t>R016367</t>
  </si>
  <si>
    <t>МАТ.СТП.УНИТ.007 — Рама для монтажа PROSYS R016367 писсуара с задней подводкой</t>
  </si>
  <si>
    <t>МАТ.СТП.УНИТ.008</t>
  </si>
  <si>
    <t>Унитаз подвесной SantiLine SL-5007 безободковый, с микролифтом</t>
  </si>
  <si>
    <t>SL-5007</t>
  </si>
  <si>
    <t>МАТ.СТП.УНИТ.008 — Унитаз подвесной SantiLine SL-5007 безободковый, с микролифтом</t>
  </si>
  <si>
    <t>МАТ.ФАЛЬШПОЛ.001</t>
  </si>
  <si>
    <t>Алюминиевые регулировочные пластины r 20*20*0,2мм</t>
  </si>
  <si>
    <t>Анкер Индастри</t>
  </si>
  <si>
    <t>МАТ.ФАЛЬШПОЛ.001 — Алюминиевые регулировочные пластины r 20*20*0,2мм</t>
  </si>
  <si>
    <t>МАТ.ФАЛЬШПОЛ.002</t>
  </si>
  <si>
    <t>Гаскет</t>
  </si>
  <si>
    <t>МАТ.ФАЛЬШПОЛ.002 — Гаскет</t>
  </si>
  <si>
    <t>МАТ.ФАЛЬШПОЛ.003</t>
  </si>
  <si>
    <t>Клей для стоек, 600 мл.</t>
  </si>
  <si>
    <t>МАТ.ФАЛЬШПОЛ.003 — Клей для стоек, 600 мл.</t>
  </si>
  <si>
    <t>МАТ.ФАЛЬШПОЛ.004</t>
  </si>
  <si>
    <t>Клей для фиксации резьбы, 800 грамм.</t>
  </si>
  <si>
    <t>МАТ.ФАЛЬШПОЛ.004 — Клей для фиксации резьбы, 800 грамм.</t>
  </si>
  <si>
    <t>МАТ.ФАЛЬШПОЛ.005</t>
  </si>
  <si>
    <t>Клин регулировочный</t>
  </si>
  <si>
    <t>МАТ.ФАЛЬШПОЛ.005 — Клин регулировочный</t>
  </si>
  <si>
    <t>МАТ.ФАЛЬШПОЛ.006</t>
  </si>
  <si>
    <t>Лента демпферная 5 x 15 mm (10 пог.м)</t>
  </si>
  <si>
    <t>МАТ.ФАЛЬШПОЛ.006 — Лента демпферная 5 x 15 mm (10 пог.м)</t>
  </si>
  <si>
    <t>МАТ.ФАЛЬШПОЛ.007</t>
  </si>
  <si>
    <t>Панель фальшпола 600*600*38мм, тип 38 AL/ST (сверху -оцинкованная сталь 0,5 мм, снизу - алюминиевая фольга 0,05 мм), с учетом подрезки 10%</t>
  </si>
  <si>
    <t>МАТ.ФАЛЬШПОЛ.007 — Панель фальшпола 600*600*38мм, тип 38 AL/ST (сверху -оцинкованная сталь 0,5 мм, снизу - алюминиевая фольга 0,05 мм), с учетом подрезки 10%</t>
  </si>
  <si>
    <t>МАТ.ФАЛЬШПОЛ.008</t>
  </si>
  <si>
    <t>Панель фальшпола из сульфата кальция 600*600*30,5mm (с предустановленным антистатическим покрытием) ANKER тип BRIKK N28ST/PVC Emerald Plus 5092, с учетом подрезки 10%</t>
  </si>
  <si>
    <t>МАТ.ФАЛЬШПОЛ.008 — Панель фальшпола из сульфата кальция 600*600*30,5mm (с предустановленным антистатическим покрытием) ANKER тип BRIKK N28ST/PVC Emerald Plus 5092, с учетом подрезки 10%</t>
  </si>
  <si>
    <t>МАТ.ФАЛЬШПОЛ.009</t>
  </si>
  <si>
    <t>Стойка РОК100ARL- M12, 80-120mm</t>
  </si>
  <si>
    <t>МАТ.ФАЛЬШПОЛ.009 — Стойка РОК100ARL- M12, 80-120mm</t>
  </si>
  <si>
    <t>МАТ.ЭУИ.ВЫКЛ.001</t>
  </si>
  <si>
    <t>Выключатель двухклавишный в стену, "Avanti", "Белое облако" 4400104</t>
  </si>
  <si>
    <t>DKC</t>
  </si>
  <si>
    <t>ДКС</t>
  </si>
  <si>
    <t>МАТ.ЭУИ.ВЫКЛ.001 — Выключатель двухклавишный в стену, "Avanti", "Белое облако" 4400104</t>
  </si>
  <si>
    <t>МАТ.ЭУИ.ВЫКЛ.002</t>
  </si>
  <si>
    <t>Выключатель одноклавишный в стену, "Avanti", "Белое облако" 4400103</t>
  </si>
  <si>
    <t>МАТ.ЭУИ.ВЫКЛ.002 — Выключатель одноклавишный в стену, "Avanti", "Белое облако" 4400103</t>
  </si>
  <si>
    <t>МАТ.ЭУИ.РОЗ.001</t>
  </si>
  <si>
    <t>Лючок напольный c изменяемой глубиной, 16 модулей 88316</t>
  </si>
  <si>
    <t>МАТ.ЭУИ.РОЗ.001 — Лючок напольный c изменяемой глубиной, 16 модулей 88316</t>
  </si>
  <si>
    <t>МАТ.ЭУИ.РОЗ.002</t>
  </si>
  <si>
    <t>Рамка "Avanti", "Белое облако", 1 пост (2 мод.) 4400902</t>
  </si>
  <si>
    <t>МАТ.ЭУИ.РОЗ.002 — Рамка "Avanti", "Белое облако", 1 пост (2 мод.) 4400902</t>
  </si>
  <si>
    <t>МАТ.ЭУИ.РОЗ.003</t>
  </si>
  <si>
    <t>Рамка "Avanti", "Белое облако", 2 поста (4 мод.) 4400904</t>
  </si>
  <si>
    <t>МАТ.ЭУИ.РОЗ.003 — Рамка "Avanti", "Белое облако", 2 поста (4 мод.) 4400904</t>
  </si>
  <si>
    <t>МАТ.ЭУИ.РОЗ.004</t>
  </si>
  <si>
    <t>Рамка "Avanti", "Белое облако", 3 поста (6 мод.) 4400906</t>
  </si>
  <si>
    <t>МАТ.ЭУИ.РОЗ.004 — Рамка "Avanti", "Белое облако", 3 поста (6 мод.) 4400906</t>
  </si>
  <si>
    <t>МАТ.ЭУИ.РОЗ.005</t>
  </si>
  <si>
    <t>Рамка "Avanti", "Белое облако", 4 поста (8 мод.) 4400908</t>
  </si>
  <si>
    <t>МАТ.ЭУИ.РОЗ.005 — Рамка "Avanti", "Белое облако", 4 поста (8 мод.) 4400908</t>
  </si>
  <si>
    <t>МАТ.ЭУИ.РОЗ.006</t>
  </si>
  <si>
    <t>Розетка модульная, 2P+E, с з/ш, "Avanti", "Белое облако", 2 модуля 4400002</t>
  </si>
  <si>
    <t>МАТ.ЭУИ.РОЗ.006 — Розетка модульная, 2P+E, с з/ш, "Avanti", "Белое облако", 2 модуля 4400002</t>
  </si>
  <si>
    <t>МАТ.ЭУИ.РОЗ.007</t>
  </si>
  <si>
    <t>Розетка модульная, 2P+E, с з/ш, "Avanti", "Красный квадрат", 2 модуля 4401002</t>
  </si>
  <si>
    <t>МАТ.ЭУИ.РОЗ.007 — Розетка модульная, 2P+E, с з/ш, "Avanti", "Красный квадрат", 2 модуля 4401002</t>
  </si>
  <si>
    <t>МАТ.ЭУИ.РОЗ.008</t>
  </si>
  <si>
    <t>Штепсельная розетка с заземлением в стену, 2P+E, с з/ш, "Avanti", "Белое облако" (арт. 4400003), с суппоротом и рамкой</t>
  </si>
  <si>
    <t>МАТ.ЭУИ.РОЗ.008 — Штепсельная розетка с заземлением в стену, 2P+E, с з/ш, "Avanti", "Белое облако" (арт. 4400003), с суппоротом и рамкой</t>
  </si>
  <si>
    <t>МАТ.ЭУИ.РОЗ.009</t>
  </si>
  <si>
    <t>Штепсельная розетка с заземлением в стену, 2P+E, с з/ш, "Avanti", "Красный квадрат" (арт. 4401003), с суппортом и рамкой</t>
  </si>
  <si>
    <t>МАТ.ЭУИ.РОЗ.009 — Штепсельная розетка с заземлением в стену, 2P+E, с з/ш, "Avanti", "Красный квадрат" (арт. 4401003), с суппортом и рамкой</t>
  </si>
  <si>
    <t>МАТ.ЭЩ.001</t>
  </si>
  <si>
    <t>ВРЩ микро</t>
  </si>
  <si>
    <t>System Electric / ABB</t>
  </si>
  <si>
    <t>АББ Электроинжиниринг</t>
  </si>
  <si>
    <t>МАТ.ЭЩ.001 — ВРЩ микро</t>
  </si>
  <si>
    <t>МАТ.ЭЩ.002</t>
  </si>
  <si>
    <t>ГРЩ-0080-54 (ГРЩ1)</t>
  </si>
  <si>
    <t>МАТ.ЭЩ.002 — ГРЩ-0080-54 (ГРЩ1)</t>
  </si>
  <si>
    <t>МАТ.ЭЩ.003</t>
  </si>
  <si>
    <t>ГРЩ-0080-54 (ГРЩ2+АВР)</t>
  </si>
  <si>
    <t>МАТ.ЭЩ.003 — ГРЩ-0080-54 (ГРЩ2+АВР)</t>
  </si>
  <si>
    <t>МАТ.ЭЩ.004</t>
  </si>
  <si>
    <t>ЩППУ(красный) микро</t>
  </si>
  <si>
    <t>МАТ.ЭЩ.004 — ЩППУ(красный) микро</t>
  </si>
  <si>
    <t>МАТ.ЭЩ.005</t>
  </si>
  <si>
    <t>ЩР (НАНО 1-ф)</t>
  </si>
  <si>
    <t>МАТ.ЭЩ.005 — ЩР (НАНО 1-ф)</t>
  </si>
  <si>
    <t>МАТ.ЭЩ.006</t>
  </si>
  <si>
    <t>ЩР (НАНО 3-ф)</t>
  </si>
  <si>
    <t>МАТ.ЭЩ.006 — ЩР (НАНО 3-ф)</t>
  </si>
  <si>
    <t>МАТ.ЭЩ.007</t>
  </si>
  <si>
    <t>ЩР-0025-54 (ППУ)</t>
  </si>
  <si>
    <t>МАТ.ЭЩ.007 — ЩР-0025-54 (ППУ)</t>
  </si>
  <si>
    <t>МАТ.ЭЩ.008</t>
  </si>
  <si>
    <t>ЩР-0025-54 (ЩИБП)</t>
  </si>
  <si>
    <t>МАТ.ЭЩ.008 — ЩР-0025-54 (ЩИБП)</t>
  </si>
  <si>
    <t>МАТ.ЭЩ.009</t>
  </si>
  <si>
    <t>ЩР-0025-54 (ЩСБ)</t>
  </si>
  <si>
    <t>МАТ.ЭЩ.009 — ЩР-0025-54 (ЩСБ)</t>
  </si>
  <si>
    <t>МАТ.ЭЩ.010</t>
  </si>
  <si>
    <t>ЩР-0063-54 (ЩС1)</t>
  </si>
  <si>
    <t>МАТ.ЭЩ.010 — ЩР-0063-54 (ЩС1)</t>
  </si>
  <si>
    <t>МАТ.ЭЩ.011</t>
  </si>
  <si>
    <t>ЩР-0063-54 (ЩС2)</t>
  </si>
  <si>
    <t>МАТ.ЭЩ.011 — ЩР-0063-54 (ЩС2)</t>
  </si>
  <si>
    <t>ГРУППЫ МАТЕРИАЛОВ — что означают коды</t>
  </si>
  <si>
    <t>У работы стоит код группы, у материала — тот же код. Список материала в «Сборке» показывает только материалы группы выбранной работы. Пустая группа = чистая работа.</t>
  </si>
  <si>
    <t>Код группы</t>
  </si>
  <si>
    <t>Область</t>
  </si>
  <si>
    <t>Что входит</t>
  </si>
  <si>
    <t>Пример операции</t>
  </si>
  <si>
    <t>Внутренние блоки VRF / мультисплит</t>
  </si>
  <si>
    <t>Внутренние блоки мультизональных систем + пульты, декоративные панели</t>
  </si>
  <si>
    <t>Наружные блоки VRF / ККБ</t>
  </si>
  <si>
    <t>Наружные блоки мультизональных систем, компрессорно-конденсаторные блоки</t>
  </si>
  <si>
    <t>Монтаж наружного блока / ККБ</t>
  </si>
  <si>
    <t>Арматура и фасонные части ВК / отопления</t>
  </si>
  <si>
    <t>Отопление / ВК</t>
  </si>
  <si>
    <t>Краны шаровые, вентили, фильтры, обратные клапаны, балансировочные клапаны, фланцы, отводы, гильзы</t>
  </si>
  <si>
    <t>Арматура для укрепления конструкций</t>
  </si>
  <si>
    <t>Безопасность (ККО)</t>
  </si>
  <si>
    <t>Армосетка / пруток по классу взломостойкости, анкерный крепёж</t>
  </si>
  <si>
    <t>Укрепление конструкций арматурой</t>
  </si>
  <si>
    <t>Элементы технической укреплённости</t>
  </si>
  <si>
    <t>Бронестекло, бронепанели, передаточные лотки, шлюзы инкассаторские, переговорные устройства</t>
  </si>
  <si>
    <t>Монтаж элемента технической укреплённости (броня)</t>
  </si>
  <si>
    <t>Вентиляторы</t>
  </si>
  <si>
    <t>Вентиляторы канальные, крышные, осевые, вытяжные бытовые; с регуляторами</t>
  </si>
  <si>
    <t>Воздуховоды и фасонные части</t>
  </si>
  <si>
    <t>Воздуховоды круглые и прямоугольные, отводы, переходы, врезки, гибкие воздуховоды, изоляция</t>
  </si>
  <si>
    <t>Монтаж воздуховода</t>
  </si>
  <si>
    <t>Воздухораспределители</t>
  </si>
  <si>
    <t>Решётки приточные и вытяжные, диффузоры, анемостаты, регуляторы расхода</t>
  </si>
  <si>
    <t>Комплект ГКЛ — перегородки и облицовки</t>
  </si>
  <si>
    <t>Отделка стен</t>
  </si>
  <si>
    <t>ГКЛ / ГКЛВ / ГКЛО, профиль, крепёж, лента, серпянка</t>
  </si>
  <si>
    <t>Дверные блоки (общая группа) и дверные приборы</t>
  </si>
  <si>
    <t>Двери</t>
  </si>
  <si>
    <t>Дверные блоки без чёткого подтипа, доводчики, упоры, ручки, замки</t>
  </si>
  <si>
    <t>Двери алюминиевые</t>
  </si>
  <si>
    <t>Дверные блоки в алюминиевом тёплом/холодном профиле, с заполнением</t>
  </si>
  <si>
    <t>Монтаж дверного блока алюминиевого</t>
  </si>
  <si>
    <t>Двери бронированные / взломостойкие</t>
  </si>
  <si>
    <t>Двери / безопасность</t>
  </si>
  <si>
    <t>Дверные блоки классов устойчивости к взлому, решётчатые двери запасного выхода</t>
  </si>
  <si>
    <t>Двери деревянные</t>
  </si>
  <si>
    <t>Деревянные и ламинированные дверные блоки с коробкой, добором, наличниками, фурнитурой</t>
  </si>
  <si>
    <t>Двери противопожарные</t>
  </si>
  <si>
    <t>Противопожарные дверные блоки EI-30 / EI-60, металлические и остеклённые</t>
  </si>
  <si>
    <t>Двери стеклянные</t>
  </si>
  <si>
    <t>Цельностеклянные и бескаркасные дверные блоки, стекло закалённое, фурнитура (Dorma и др.)</t>
  </si>
  <si>
    <t>Солнцезащита</t>
  </si>
  <si>
    <t>Окна</t>
  </si>
  <si>
    <t>Жалюзи вертикальные и горизонтальные, рулонные шторы, роллеты, рольставни</t>
  </si>
  <si>
    <t>Установка солнцезащиты (жалюзи / роллет)</t>
  </si>
  <si>
    <t>Тепловые и воздушные завесы</t>
  </si>
  <si>
    <t>Вентиляция / отопление</t>
  </si>
  <si>
    <t>Завесы электрические и водяные, с пультом</t>
  </si>
  <si>
    <t>Тепло- и звукоизоляция</t>
  </si>
  <si>
    <t>Отделка / инженерия</t>
  </si>
  <si>
    <t>Минвата плитная и рулонная, вспененный полиэтилен, пароизоляция</t>
  </si>
  <si>
    <t>Устройство тепло- / звукоизоляции</t>
  </si>
  <si>
    <t>Кабель и провод</t>
  </si>
  <si>
    <t>Электрика</t>
  </si>
  <si>
    <t>Силовой и слаботочный кабель, провод установочный, кабель огнестойкий (FR)</t>
  </si>
  <si>
    <t>Клапаны противопожарные / дымовые</t>
  </si>
  <si>
    <t>Клапаны огнезадерживающие, противопожарные нормально открытые/закрытые, дымовые</t>
  </si>
  <si>
    <t>Монтаж противопожарного / огнезадерживающего клапана</t>
  </si>
  <si>
    <t>Стеновые материалы кладки</t>
  </si>
  <si>
    <t>Кирпич, пеноблок, газобетон; кладочный раствор, армирование</t>
  </si>
  <si>
    <t>Кладка перегородок</t>
  </si>
  <si>
    <t>Кабель-каналы (короба)</t>
  </si>
  <si>
    <t>Кабель-каналы пластиковые и металлические, парапетные короба, напольные короба</t>
  </si>
  <si>
    <t>Краски</t>
  </si>
  <si>
    <t>Отделка стен / потолков</t>
  </si>
  <si>
    <t>Краски интерьерные, негорючие, по металлу; грунт-эмали</t>
  </si>
  <si>
    <t>Кабельные лотки</t>
  </si>
  <si>
    <t>Лотки металлические перфорированные, проволочные, лестничные; фасонные части, крышки</t>
  </si>
  <si>
    <t>Напольные лючки и коробки</t>
  </si>
  <si>
    <t>Напольные лючки и монтажные коробки на N модулей, крышки под покрытие</t>
  </si>
  <si>
    <t>Установка напольного лючка</t>
  </si>
  <si>
    <t>Элементы адаптации для МГН</t>
  </si>
  <si>
    <t>Доступная среда</t>
  </si>
  <si>
    <t>Пандусы откидные и стационарные, поручни, тактильные и визуальные знаки, кнопки вызова</t>
  </si>
  <si>
    <t>Молниезащита и заземление</t>
  </si>
  <si>
    <t>Полоса, пруток, держатели, зажимы, заземлители, коробки уравнивания потенциалов</t>
  </si>
  <si>
    <t>Монтаж элемента молниезащиты / заземления</t>
  </si>
  <si>
    <t>Обои и стеклохолст</t>
  </si>
  <si>
    <t>Обои бумажные, флизелиновые, стеклообои, стеклохолст «паутинка», клей</t>
  </si>
  <si>
    <t>ОГНЕЗ</t>
  </si>
  <si>
    <t>Составы конструктивной огнезащиты</t>
  </si>
  <si>
    <t>Пожарная безопасность</t>
  </si>
  <si>
    <t>Огнезащитные краски, штукатурки, плиты для металлоконструкций</t>
  </si>
  <si>
    <t>Оконные и светопрозрачные конструкции</t>
  </si>
  <si>
    <t>Оконные блоки ПВХ и алюминиевые, витражи, фасадное остекление, стеклопакеты</t>
  </si>
  <si>
    <t>Приточные и приточно-вытяжные установки</t>
  </si>
  <si>
    <t>Вентиляция / кондиционирование</t>
  </si>
  <si>
    <t>Компактные ПВУ, приточные установки, рекуператоры, канальные кондиционеры-доводчики; с автоматикой</t>
  </si>
  <si>
    <t>Перегородки стеклянные</t>
  </si>
  <si>
    <t>Каркасные и цельностеклянные перегородки, стекло закалённое, фурнитура, профиль</t>
  </si>
  <si>
    <t>Перегородки трансформируемые / раздвижные</t>
  </si>
  <si>
    <t>Мобильные и раздвижные перегородки на подвесе, звукоизоляционные</t>
  </si>
  <si>
    <t>Монтаж трансформируемой перегородки</t>
  </si>
  <si>
    <t>Плёнки на стекло</t>
  </si>
  <si>
    <t>Окна / безопасность</t>
  </si>
  <si>
    <t>Плёнки защитные (класс А1–А3, К4), матирующие, тонирующие, теплоотражающие</t>
  </si>
  <si>
    <t>Оклейка светопрозрачных поверхностей защитной / матирующей плёнкой</t>
  </si>
  <si>
    <t>Плинтусы</t>
  </si>
  <si>
    <t>Отделка полов</t>
  </si>
  <si>
    <t>Плинтусы ПВХ, МДФ, алюминиевые, с закладкой ковролина; стыковочные профили</t>
  </si>
  <si>
    <t>Подоконные доски</t>
  </si>
  <si>
    <t>Подоконники ПВХ, ЛДСП, каменные; торцевые заглушки</t>
  </si>
  <si>
    <t>Покрытие пола — доска / ламинат</t>
  </si>
  <si>
    <t>Паркетная и инженерная доска, ламинат, подложка</t>
  </si>
  <si>
    <t>Устройство покрытия пола из доски / ламината</t>
  </si>
  <si>
    <t>Покрытие пола — керамогранит и плитка</t>
  </si>
  <si>
    <t>Керамогранит, керамическая плитка для пола; клей, затирка, СВП, грунт</t>
  </si>
  <si>
    <t>Покрытие пола — модульное (ковролин / ПВХ / линолеум)</t>
  </si>
  <si>
    <t>Ковровая плитка, ПВХ-плитка (LVT), линолеум коммерческий; клей-фиксатор</t>
  </si>
  <si>
    <t>Покрытие пола — наливное / полимерное</t>
  </si>
  <si>
    <t>Наливные полы, полимерные и эпоксидные покрытия, топпинг, упрочнители, грунты</t>
  </si>
  <si>
    <t>Устройство наливного / полимерного пола</t>
  </si>
  <si>
    <t>Подвесные потолки</t>
  </si>
  <si>
    <t>Отделка потолков</t>
  </si>
  <si>
    <t>Потолки Армстронг, Грильято, ГКЛ, реечные, кассетные, акустические; каркас, подвесы</t>
  </si>
  <si>
    <t>Радиаторы отопления</t>
  </si>
  <si>
    <t>Радиаторы биметаллические, алюминиевые, стальные; конвекторы</t>
  </si>
  <si>
    <t>Комплектующие радиаторов</t>
  </si>
  <si>
    <t>Кронштейны, монтажные комплекты, узлы нижнего/бокового подключения, воздухоотводчики</t>
  </si>
  <si>
    <t>Светильники общего освещения</t>
  </si>
  <si>
    <t>Подвесные, встраиваемые, накладные, трековые, линейные светильники; люстры</t>
  </si>
  <si>
    <t>Светильники аварийные и эвакуационные</t>
  </si>
  <si>
    <t>Светильники с БАП, указатели «Выход», эвакуационные, противопожарные</t>
  </si>
  <si>
    <t>Сплит-системы</t>
  </si>
  <si>
    <t>Настенные, кассетные, канальные, напольно-потолочные сплит- и мультисплит-системы</t>
  </si>
  <si>
    <t>Облицовка стен — керамическая плитка</t>
  </si>
  <si>
    <t>Настенная плитка, керамогранит стеновой, бордюры; клей, затирка</t>
  </si>
  <si>
    <t>Водонагреватели</t>
  </si>
  <si>
    <t>Водоснабжение / канализация</t>
  </si>
  <si>
    <t>Водонагреватели накопительные и проточные, бойлеры</t>
  </si>
  <si>
    <t>Санприборы — раковины, умывальники, мойки</t>
  </si>
  <si>
    <t>Раковины, умывальники, мойки; в комплекте сифон, кронштейны</t>
  </si>
  <si>
    <t>Санприборы — смесители и водоразборная арматура</t>
  </si>
  <si>
    <t>Смесители, сенсорные краны, гигиенические души, смывные устройства для писсуаров</t>
  </si>
  <si>
    <t>Санприборы — унитазы, писсуары, инсталляции</t>
  </si>
  <si>
    <t>Унитазы подвесные и напольные, писсуары, инсталляции, рамы монтажные</t>
  </si>
  <si>
    <t>Трубы отопления и водоснабжения</t>
  </si>
  <si>
    <t>Труба PP-R, металлопласт, PEX, сшитый полиэтилен, сталь — с фитингами и изоляцией</t>
  </si>
  <si>
    <t>Трубы и гофра под электропроводку</t>
  </si>
  <si>
    <t>Труба ПВХ гладкая жёсткая, гофрированная (ПВХ, ПНД), металлорукав</t>
  </si>
  <si>
    <t>Фальшпол</t>
  </si>
  <si>
    <t>Панели фальшпола, стойки, гаскеты, клей</t>
  </si>
  <si>
    <t>ФРЕОН</t>
  </si>
  <si>
    <t>Фреонопроводы</t>
  </si>
  <si>
    <t>Медная труба, теплоизоляция трубопроводная, крепёж трасс</t>
  </si>
  <si>
    <t>Монтаж фреонопровода</t>
  </si>
  <si>
    <t>Шумоглушители</t>
  </si>
  <si>
    <t>Шумоглушители канальные пластинчатые и трубчатые</t>
  </si>
  <si>
    <t>Электроаппараты модульные (на DIN-рейку)</t>
  </si>
  <si>
    <t>Автоматические выключатели, УЗО, дифавтоматы (АВДТ), рубильники, реле, контакторы модульные</t>
  </si>
  <si>
    <t>Электроустановочные изделия — выключатели</t>
  </si>
  <si>
    <t>Выключатели клавишные, проходные, с ключом, кнопки, диммеры, датчики движения</t>
  </si>
  <si>
    <t>Электроустановочные изделия — розетки</t>
  </si>
  <si>
    <t>Розетки силовые, слаботочные лючки-модули, рамки, суппорты, коробки установочные</t>
  </si>
  <si>
    <t>Щиты, боксы, шкафы распределительные</t>
  </si>
  <si>
    <t>ГРЩ, этажные и групповые щиты, ППУ, боксы модульные, шкафы распределительные (корпус + начинка)</t>
  </si>
  <si>
    <t>Вид</t>
  </si>
  <si>
    <t>Раздел проекта</t>
  </si>
  <si>
    <t>База расчёта</t>
  </si>
  <si>
    <t>Цена ЕР, ₽</t>
  </si>
  <si>
    <t>Ключ (текст выбора)</t>
  </si>
  <si>
    <t>Наименование для сметы</t>
  </si>
  <si>
    <t>РД</t>
  </si>
  <si>
    <t>КР — усиление/устройство несущих конструкций</t>
  </si>
  <si>
    <t>за м² · объект 100–450 м²</t>
  </si>
  <si>
    <t>РД · КР — усиление/устройство несущих конструкций · за м² · объект 100–450 м²</t>
  </si>
  <si>
    <t>Рабочая документация: КР — усиление/устройство несущих конструкций (за м² · объект 100–450 м²)</t>
  </si>
  <si>
    <t>комплексом · объект &lt; 100 м²</t>
  </si>
  <si>
    <t>РД · КР — усиление/устройство несущих конструкций · комплексом · объект &lt; 100 м²</t>
  </si>
  <si>
    <t>Рабочая документация: КР — усиление/устройство несущих конструкций (комплексом · объект &lt; 100 м²)</t>
  </si>
  <si>
    <t>АР — архитектурные решения</t>
  </si>
  <si>
    <t>РД · АР — архитектурные решения · за м² · объект 100–450 м²</t>
  </si>
  <si>
    <t>Рабочая документация: АР — архитектурные решения (за м² · объект 100–450 м²)</t>
  </si>
  <si>
    <t>РД · АР — архитектурные решения · комплексом · объект &lt; 100 м²</t>
  </si>
  <si>
    <t>Рабочая документация: АР — архитектурные решения (комплексом · объект &lt; 100 м²)</t>
  </si>
  <si>
    <t>ЭОМ — электроснабжение и электроосвещение</t>
  </si>
  <si>
    <t>РД · ЭОМ — электроснабжение и электроосвещение · за м² · объект 100–450 м²</t>
  </si>
  <si>
    <t>Рабочая документация: ЭОМ — электроснабжение и электроосвещение (за м² · объект 100–450 м²)</t>
  </si>
  <si>
    <t>РД · ЭОМ — электроснабжение и электроосвещение · комплексом · объект &lt; 100 м²</t>
  </si>
  <si>
    <t>Рабочая документация: ЭОМ — электроснабжение и электроосвещение (комплексом · объект &lt; 100 м²)</t>
  </si>
  <si>
    <t>ОВиК-В — вентиляция</t>
  </si>
  <si>
    <t>РД · ОВиК-В — вентиляция · за м² · объект 100–450 м²</t>
  </si>
  <si>
    <t>Рабочая документация: ОВиК-В — вентиляция (за м² · объект 100–450 м²)</t>
  </si>
  <si>
    <t>РД · ОВиК-В — вентиляция · комплексом · объект &lt; 100 м²</t>
  </si>
  <si>
    <t>Рабочая документация: ОВиК-В — вентиляция (комплексом · объект &lt; 100 м²)</t>
  </si>
  <si>
    <t>ОВиК-К — кондиционирование</t>
  </si>
  <si>
    <t>РД · ОВиК-К — кондиционирование · за м² · объект 100–450 м²</t>
  </si>
  <si>
    <t>Рабочая документация: ОВиК-К — кондиционирование (за м² · объект 100–450 м²)</t>
  </si>
  <si>
    <t>РД · ОВиК-К — кондиционирование · комплексом · объект &lt; 100 м²</t>
  </si>
  <si>
    <t>Рабочая документация: ОВиК-К — кондиционирование (комплексом · объект &lt; 100 м²)</t>
  </si>
  <si>
    <t>ОВиК-О — отопление</t>
  </si>
  <si>
    <t>РД · ОВиК-О — отопление · за м² · объект 100–450 м²</t>
  </si>
  <si>
    <t>Рабочая документация: ОВиК-О — отопление (за м² · объект 100–450 м²)</t>
  </si>
  <si>
    <t>РД · ОВиК-О — отопление · комплексом · объект &lt; 100 м²</t>
  </si>
  <si>
    <t>Рабочая документация: ОВиК-О — отопление (комплексом · объект &lt; 100 м²)</t>
  </si>
  <si>
    <t>ВК — водоснабжение и канализация</t>
  </si>
  <si>
    <t>РД · ВК — водоснабжение и канализация · за м² · объект 100–450 м²</t>
  </si>
  <si>
    <t>Рабочая документация: ВК — водоснабжение и канализация (за м² · объект 100–450 м²)</t>
  </si>
  <si>
    <t>РД · ВК — водоснабжение и канализация · комплексом · объект &lt; 100 м²</t>
  </si>
  <si>
    <t>Рабочая документация: ВК — водоснабжение и канализация (комплексом · объект &lt; 100 м²)</t>
  </si>
  <si>
    <t>АУВПТ — автоматическая установка водяного пожаротушения</t>
  </si>
  <si>
    <t>РД · АУВПТ — автоматическая установка водяного пожаротушения · за м² · объект 100–450 м²</t>
  </si>
  <si>
    <t>Рабочая документация: АУВПТ — автоматическая установка водяного пожаротушения (за м² · объект 100–450 м²)</t>
  </si>
  <si>
    <t>РД · АУВПТ — автоматическая установка водяного пожаротушения · комплексом · объект &lt; 100 м²</t>
  </si>
  <si>
    <t>Рабочая документация: АУВПТ — автоматическая установка водяного пожаротушения (комплексом · объект &lt; 100 м²)</t>
  </si>
  <si>
    <t>ВПВ — внутренний противопожарный водопровод</t>
  </si>
  <si>
    <t>РД · ВПВ — внутренний противопожарный водопровод · за м² · объект 100–450 м²</t>
  </si>
  <si>
    <t>Рабочая документация: ВПВ — внутренний противопожарный водопровод (за м² · объект 100–450 м²)</t>
  </si>
  <si>
    <t>РД · ВПВ — внутренний противопожарный водопровод · комплексом · объект &lt; 100 м²</t>
  </si>
  <si>
    <t>Рабочая документация: ВПВ — внутренний противопожарный водопровод (комплексом · объект &lt; 100 м²)</t>
  </si>
  <si>
    <t>ДУ — дымоудаление</t>
  </si>
  <si>
    <t>РД · ДУ — дымоудаление · за м² · объект 100–450 м²</t>
  </si>
  <si>
    <t>Рабочая документация: ДУ — дымоудаление (за м² · объект 100–450 м²)</t>
  </si>
  <si>
    <t>РД · ДУ — дымоудаление · комплексом · объект &lt; 100 м²</t>
  </si>
  <si>
    <t>Рабочая документация: ДУ — дымоудаление (комплексом · объект &lt; 100 м²)</t>
  </si>
  <si>
    <t>АПС — автоматическая пожарная сигнализация</t>
  </si>
  <si>
    <t>за м² · малый объект</t>
  </si>
  <si>
    <t>РД · АПС — автоматическая пожарная сигнализация · за м² · малый объект</t>
  </si>
  <si>
    <t>Рабочая документация: АПС — автоматическая пожарная сигнализация (за м² · малый объект)</t>
  </si>
  <si>
    <t>за м² · крупный объект</t>
  </si>
  <si>
    <t>РД · АПС — автоматическая пожарная сигнализация · за м² · крупный объект</t>
  </si>
  <si>
    <t>Рабочая документация: АПС — автоматическая пожарная сигнализация (за м² · крупный объект)</t>
  </si>
  <si>
    <t>СОУЭ — оповещение и управление эвакуацией</t>
  </si>
  <si>
    <t>РД · СОУЭ — оповещение и управление эвакуацией · за м² · малый объект</t>
  </si>
  <si>
    <t>Рабочая документация: СОУЭ — оповещение и управление эвакуацией (за м² · малый объект)</t>
  </si>
  <si>
    <t>РД · СОУЭ — оповещение и управление эвакуацией · за м² · крупный объект</t>
  </si>
  <si>
    <t>Рабочая документация: СОУЭ — оповещение и управление эвакуацией (за м² · крупный объект)</t>
  </si>
  <si>
    <t>Автоматизация ВПВ</t>
  </si>
  <si>
    <t>РД · Автоматизация ВПВ · за м² · малый объект</t>
  </si>
  <si>
    <t>Рабочая документация: Автоматизация ВПВ (за м² · малый объект)</t>
  </si>
  <si>
    <t>РД · Автоматизация ВПВ · за м² · крупный объект</t>
  </si>
  <si>
    <t>Рабочая документация: Автоматизация ВПВ (за м² · крупный объект)</t>
  </si>
  <si>
    <t>Автоматизация ПДВ (противодымная вентиляция)</t>
  </si>
  <si>
    <t>РД · Автоматизация ПДВ (противодымная вентиляция) · за м² · малый объект</t>
  </si>
  <si>
    <t>Рабочая документация: Автоматизация ПДВ (противодымная вентиляция) (за м² · малый объект)</t>
  </si>
  <si>
    <t>РД · Автоматизация ПДВ (противодымная вентиляция) · за м² · крупный объект</t>
  </si>
  <si>
    <t>Рабочая документация: Автоматизация ПДВ (противодымная вентиляция) (за м² · крупный объект)</t>
  </si>
  <si>
    <t>Автоматизация ОВиК</t>
  </si>
  <si>
    <t>РД · Автоматизация ОВиК · за м² · малый объект</t>
  </si>
  <si>
    <t>Рабочая документация: Автоматизация ОВиК (за м² · малый объект)</t>
  </si>
  <si>
    <t>РД · Автоматизация ОВиК · за м² · крупный объект</t>
  </si>
  <si>
    <t>Рабочая документация: Автоматизация ОВиК (за м² · крупный объект)</t>
  </si>
  <si>
    <t>Автоматизация АО (аварийное освещение)</t>
  </si>
  <si>
    <t>РД · Автоматизация АО (аварийное освещение) · за м² · малый объект</t>
  </si>
  <si>
    <t>Рабочая документация: Автоматизация АО (аварийное освещение) (за м² · малый объект)</t>
  </si>
  <si>
    <t>РД · Автоматизация АО (аварийное освещение) · за м² · крупный объект</t>
  </si>
  <si>
    <t>Рабочая документация: Автоматизация АО (аварийное освещение) (за м² · крупный объект)</t>
  </si>
  <si>
    <t>Автоматизация лифтового хозяйства</t>
  </si>
  <si>
    <t>РД · Автоматизация лифтового хозяйства · за м² · малый объект</t>
  </si>
  <si>
    <t>Рабочая документация: Автоматизация лифтового хозяйства (за м² · малый объект)</t>
  </si>
  <si>
    <t>РД · Автоматизация лифтового хозяйства · за м² · крупный объект</t>
  </si>
  <si>
    <t>Рабочая документация: Автоматизация лифтового хозяйства (за м² · крупный объект)</t>
  </si>
  <si>
    <t>Автоматизация СКУД</t>
  </si>
  <si>
    <t>РД · Автоматизация СКУД · за м² · малый объект</t>
  </si>
  <si>
    <t>Рабочая документация: Автоматизация СКУД (за м² · малый объект)</t>
  </si>
  <si>
    <t>РД · Автоматизация СКУД · за м² · крупный объект</t>
  </si>
  <si>
    <t>Рабочая документация: Автоматизация СКУД (за м² · крупный объект)</t>
  </si>
  <si>
    <t>ИД</t>
  </si>
  <si>
    <t>за м² · объект &gt; 100 м²</t>
  </si>
  <si>
    <t>ИД · КР — усиление/устройство несущих конструкций · за м² · объект &gt; 100 м²</t>
  </si>
  <si>
    <t>Исполнительная документация: КР — усиление/устройство несущих конструкций (за м² · объект &gt; 100 м²)</t>
  </si>
  <si>
    <t>ИД · КР — усиление/устройство несущих конструкций · комплексом · объект &lt; 100 м²</t>
  </si>
  <si>
    <t>Исполнительная документация: КР — усиление/устройство несущих конструкций (комплексом · объект &lt; 100 м²)</t>
  </si>
  <si>
    <t>ИД · АР — архитектурные решения · за м² · объект &gt; 100 м²</t>
  </si>
  <si>
    <t>Исполнительная документация: АР — архитектурные решения (за м² · объект &gt; 100 м²)</t>
  </si>
  <si>
    <t>ИД · АР — архитектурные решения · комплексом · объект &lt; 100 м²</t>
  </si>
  <si>
    <t>Исполнительная документация: АР — архитектурные решения (комплексом · объект &lt; 100 м²)</t>
  </si>
  <si>
    <t>ИД · ЭОМ — электроснабжение и электроосвещение · за м² · объект &gt; 100 м²</t>
  </si>
  <si>
    <t>Исполнительная документация: ЭОМ — электроснабжение и электроосвещение (за м² · объект &gt; 100 м²)</t>
  </si>
  <si>
    <t>ИД · ЭОМ — электроснабжение и электроосвещение · комплексом · объект &lt; 100 м²</t>
  </si>
  <si>
    <t>Исполнительная документация: ЭОМ — электроснабжение и электроосвещение (комплексом · объект &lt; 100 м²)</t>
  </si>
  <si>
    <t>ИД · ОВиК-В — вентиляция · за м² · объект &gt; 100 м²</t>
  </si>
  <si>
    <t>Исполнительная документация: ОВиК-В — вентиляция (за м² · объект &gt; 100 м²)</t>
  </si>
  <si>
    <t>ИД · ОВиК-В — вентиляция · комплексом · объект &lt; 100 м²</t>
  </si>
  <si>
    <t>Исполнительная документация: ОВиК-В — вентиляция (комплексом · объект &lt; 100 м²)</t>
  </si>
  <si>
    <t>ИД · ОВиК-К — кондиционирование · за м² · объект &gt; 100 м²</t>
  </si>
  <si>
    <t>Исполнительная документация: ОВиК-К — кондиционирование (за м² · объект &gt; 100 м²)</t>
  </si>
  <si>
    <t>ИД · ОВиК-К — кондиционирование · комплексом · объект &lt; 100 м²</t>
  </si>
  <si>
    <t>Исполнительная документация: ОВиК-К — кондиционирование (комплексом · объект &lt; 100 м²)</t>
  </si>
  <si>
    <t>ИД · ОВиК-О — отопление · за м² · объект &gt; 100 м²</t>
  </si>
  <si>
    <t>Исполнительная документация: ОВиК-О — отопление (за м² · объект &gt; 100 м²)</t>
  </si>
  <si>
    <t>ИД · ОВиК-О — отопление · комплексом · объект &lt; 100 м²</t>
  </si>
  <si>
    <t>Исполнительная документация: ОВиК-О — отопление (комплексом · объект &lt; 100 м²)</t>
  </si>
  <si>
    <t>ИД · ВК — водоснабжение и канализация · за м² · объект &gt; 100 м²</t>
  </si>
  <si>
    <t>Исполнительная документация: ВК — водоснабжение и канализация (за м² · объект &gt; 100 м²)</t>
  </si>
  <si>
    <t>ИД · ВК — водоснабжение и канализация · комплексом · объект &lt; 100 м²</t>
  </si>
  <si>
    <t>Исполнительная документация: ВК — водоснабжение и канализация (комплексом · объект &lt; 100 м²)</t>
  </si>
  <si>
    <t>ИД · АУВПТ — автоматическая установка водяного пожаротушения · за м² · объект &gt; 100 м²</t>
  </si>
  <si>
    <t>Исполнительная документация: АУВПТ — автоматическая установка водяного пожаротушения (за м² · объект &gt; 100 м²)</t>
  </si>
  <si>
    <t>ИД · АУВПТ — автоматическая установка водяного пожаротушения · комплексом · объект &lt; 100 м²</t>
  </si>
  <si>
    <t>Исполнительная документация: АУВПТ — автоматическая установка водяного пожаротушения (комплексом · объект &lt; 100 м²)</t>
  </si>
  <si>
    <t>ИД · ВПВ — внутренний противопожарный водопровод · за м² · объект &gt; 100 м²</t>
  </si>
  <si>
    <t>Исполнительная документация: ВПВ — внутренний противопожарный водопровод (за м² · объект &gt; 100 м²)</t>
  </si>
  <si>
    <t>ИД · ВПВ — внутренний противопожарный водопровод · комплексом · объект &lt; 100 м²</t>
  </si>
  <si>
    <t>Исполнительная документация: ВПВ — внутренний противопожарный водопровод (комплексом · объект &lt; 100 м²)</t>
  </si>
  <si>
    <t>ИД · ДУ — дымоудаление · за м² · объект &gt; 100 м²</t>
  </si>
  <si>
    <t>Исполнительная документация: ДУ — дымоудаление (за м² · объект &gt; 100 м²)</t>
  </si>
  <si>
    <t>ИД · ДУ — дымоудаление · комплексом · объект &lt; 100 м²</t>
  </si>
  <si>
    <t>Исполнительная документация: ДУ — дымоудаление (комплексом · объект &lt; 100 м²)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</si>
</sst>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4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4" borderId="0" xfId="0" applyFill="1"/>
    <xf numFmtId="0" fontId="0" fillId="0" borderId="0" xfId="0" applyAlignment="1">
      <alignment vertical="top" wrapText="1"/>
    </xf>
    <xf numFmtId="4" fontId="0" fillId="0" borderId="0" xfId="0" applyNumberFormat="1"/>
    <xf numFmtId="0" fontId="0" fillId="4" borderId="1" xfId="0" applyFill="1" applyBorder="1"/>
    <xf numFmtId="4" fontId="4" fillId="0" borderId="1" xfId="0" applyNumberFormat="1" applyFont="1" applyBorder="1"/>
    <xf numFmtId="164" fontId="0" fillId="4" borderId="1" xfId="0" applyNumberFormat="1" applyFill="1" applyBorder="1"/>
    <xf numFmtId="1" fontId="0" fillId="4" borderId="1" xfId="0" applyNumberFormat="1" applyFill="1" applyBorder="1"/>
    <xf numFmtId="2" fontId="0" fillId="4" borderId="1" xfId="0" applyNumberFormat="1" applyFill="1" applyBorder="1"/>
    <xf numFmtId="0" fontId="5" fillId="0" borderId="0" xfId="0" applyFont="1"/>
    <xf numFmtId="4" fontId="4" fillId="0" borderId="0" xfId="0" applyNumberFormat="1" applyFont="1"/>
    <xf numFmtId="0" fontId="0" fillId="3" borderId="0" xfId="0" applyFill="1"/>
    <xf numFmtId="0" fontId="2" fillId="0" borderId="0" xfId="0" applyFont="1"/>
  </cellXfs>
  <cellStyles count="1">
    <cellStyle name="Обычный" xfId="0" builtinId="0"/>
  </cellStyles>
  <dxfs count="1">
    <dxf>
      <font>
        <b/>
      </font>
      <fill>
        <patternFill patternType="solid">
          <fgColor rgb="FFDCE6F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workbookViewId="0"/>
  </sheetViews>
  <sheetFormatPr defaultRowHeight="14.4" x14ac:dyDescent="0.3"/>
  <cols>
    <col min="1" max="1" width="122" customWidth="1"/>
  </cols>
  <sheetData>
    <row r="1" spans="1:1" ht="18" x14ac:dyDescent="0.35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1" spans="1:1" x14ac:dyDescent="0.3">
      <c r="A2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01"/>
  <sheetViews>
    <sheetView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60" customWidth="1"/>
    <col min="3" max="3" width="16" hidden="1" customWidth="1"/>
    <col min="4" max="4" width="44" customWidth="1"/>
    <col min="5" max="5" width="7" customWidth="1"/>
    <col min="6" max="6" width="12" customWidth="1"/>
    <col min="7" max="7" width="9" customWidth="1"/>
    <col min="8" max="8" width="40" customWidth="1"/>
    <col min="9" max="9" width="30" customWidth="1"/>
    <col min="10" max="11" width="12" customWidth="1"/>
    <col min="12" max="14" width="13" customWidth="1"/>
    <col min="15" max="18" width="7" hidden="1" customWidth="1"/>
    <col min="19" max="19" width="30" hidden="1" customWidth="1"/>
  </cols>
  <sheetData>
    <row r="1" spans="1:19" ht="28.8" x14ac:dyDescent="0.3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35</v>
      </c>
      <c r="S1" s="3" t="s">
        <v>36</v>
      </c>
    </row>
    <row r="2" spans="1:19" x14ac:dyDescent="0.3">
      <c r="A2" s="4"/>
      <c r="B2" s="4"/>
      <c r="C2" t="str">
        <f t="shared" ref="C2:C65" si="0">IF($B2="","",IFERROR(LEFT($B2,FIND(" — ",$B2)-1),$B2))</f>
        <v/>
      </c>
      <c r="D2" s="5" t="str">
        <f>IF($C2="","",IF(AND(LEFT($F2,3)="ДОК",$H2&lt;&gt;""),IFERROR(INDEX(Документация!$G$2:$G$57,MATCH($H2,Документация!$F$2:$F$57,0)),"— вариант не найден —"),IFERROR(INDEX(Работы!$B$2:$B$6000,MATCH($C2,Работы!$A$2:$A$6000,0)),"— нет такого кода —")))</f>
        <v/>
      </c>
      <c r="E2" t="str">
        <f>IF($C2="","",IF(AND(LEFT($F2,3)="ДОК",$H2&lt;&gt;""),IFERROR(INDEX(Документация!$D$2:$D$57,MATCH($H2,Документация!$F$2:$F$57,0)),""),IFERROR(INDEX(Работы!$C$2:$C$6000,MATCH($C2,Работы!$A$2:$A$6000,0)),"")))</f>
        <v/>
      </c>
      <c r="F2" t="str">
        <f>IF($C2="","",IFERROR(INDEX(Работы!$G$2:$G$6000,MATCH($C2,Работы!$A$2:$A$6000,0))&amp;"",""))</f>
        <v/>
      </c>
      <c r="G2" s="4"/>
      <c r="H2" s="4"/>
      <c r="I2" s="5" t="str">
        <f>IF((LEFT($F2,3)="ДОК"),"",IF($H2="","",IFERROR(INDEX(Материалы!$B$2:$B$9000,MATCH($H2,Материалы!$M$2:$M$9000,0)),"")))</f>
        <v/>
      </c>
      <c r="J2" s="6">
        <f>IF(AND(LEFT($F2,3)="ДОК",$H2&lt;&gt;""),IFERROR(INDEX(Документация!$E$2:$E$57,MATCH($H2,Документация!$F$2:$F$57,0)),0),IFERROR(INDEX(Работы!$H$2:$H$6000,MATCH($C2,Работы!$A$2:$A$6000,0)),0))*(1-MEDIAN(0,N(ДисконтТендер),1))</f>
        <v>0</v>
      </c>
      <c r="K2" s="6">
        <f>IF(OR((LEFT($F2,3)="ДОК"),$H2=""),0,IFERROR(INDEX(Материалы!$H$2:$H$9000,MATCH($H2,Материалы!$M$2:$M$9000,0))*IF(INDEX(Материалы!$I$2:$I$9000,MATCH($H2,Материалы!$M$2:$M$9000,0))="USD",КурсUSD,IF(INDEX(Материалы!$I$2:$I$9000,MATCH($H2,Материалы!$M$2:$M$9000,0))="EUR",КурсEUR,1))*(1+IFERROR(INDEX(Работы!$I$2:$I$6000,MATCH($C2,Работы!$A$2:$A$6000,0))/100,0))*(1-MEDIAN(0,N(ДисконтТендер),1)),0))</f>
        <v>0</v>
      </c>
      <c r="L2" s="6">
        <f t="shared" ref="L2:L65" si="1">IF($G2&lt;&gt;"",ROUND($G2*$J2,2),0)</f>
        <v>0</v>
      </c>
      <c r="M2" s="6">
        <f t="shared" ref="M2:M65" si="2">IF($G2&lt;&gt;"",ROUND($G2*$K2,2),0)</f>
        <v>0</v>
      </c>
      <c r="N2" s="6">
        <f t="shared" ref="N2:N65" si="3">$L2+$M2</f>
        <v>0</v>
      </c>
      <c r="O2" t="str">
        <f>IF($N2&gt;0,MAX($O$1:$O1)+1,"")</f>
        <v/>
      </c>
      <c r="P2" t="str">
        <f>IF($C2="","",IFERROR(INDEX(Работы!$D$2:$D$6000,MATCH($C2,Работы!$A$2:$A$6000,0)),""))</f>
        <v/>
      </c>
      <c r="Q2" t="str">
        <f t="shared" ref="Q2:Q65" si="4">IF($O2="","",IF($O2=1,1,IF($P2&lt;&gt;IFERROR(INDEX($P$2:$P$501,MATCH($O2-1,$O$2:$O$501,0)),"~"),1,0)))</f>
        <v/>
      </c>
      <c r="R2" t="str">
        <f t="shared" ref="R2:R65" si="5">IF($O2="","",$O2+SUMIFS($Q$2:$Q$501,$O$2:$O$501,"&lt;="&amp;$O2))</f>
        <v/>
      </c>
      <c r="S2" t="str">
        <f>IF($P2="","",$P2&amp;" · "&amp;IFERROR(INDEX(Работы!$E$2:$E$6000,MATCH($C2,Работы!$A$2:$A$6000,0)),""))</f>
        <v/>
      </c>
    </row>
    <row r="3" spans="1:19" x14ac:dyDescent="0.3">
      <c r="A3" s="4"/>
      <c r="B3" s="4"/>
      <c r="C3" t="str">
        <f t="shared" si="0"/>
        <v/>
      </c>
      <c r="D3" s="5" t="str">
        <f>IF($C3="","",IF(AND(LEFT($F3,3)="ДОК",$H3&lt;&gt;""),IFERROR(INDEX(Документация!$G$2:$G$57,MATCH($H3,Документация!$F$2:$F$57,0)),"— вариант не найден —"),IFERROR(INDEX(Работы!$B$2:$B$6000,MATCH($C3,Работы!$A$2:$A$6000,0)),"— нет такого кода —")))</f>
        <v/>
      </c>
      <c r="E3" t="str">
        <f>IF($C3="","",IF(AND(LEFT($F3,3)="ДОК",$H3&lt;&gt;""),IFERROR(INDEX(Документация!$D$2:$D$57,MATCH($H3,Документация!$F$2:$F$57,0)),""),IFERROR(INDEX(Работы!$C$2:$C$6000,MATCH($C3,Работы!$A$2:$A$6000,0)),"")))</f>
        <v/>
      </c>
      <c r="F3" t="str">
        <f>IF($C3="","",IFERROR(INDEX(Работы!$G$2:$G$6000,MATCH($C3,Работы!$A$2:$A$6000,0))&amp;"",""))</f>
        <v/>
      </c>
      <c r="G3" s="4"/>
      <c r="H3" s="4"/>
      <c r="I3" s="5" t="str">
        <f>IF((LEFT($F3,3)="ДОК"),"",IF($H3="","",IFERROR(INDEX(Материалы!$B$2:$B$9000,MATCH($H3,Материалы!$M$2:$M$9000,0)),"")))</f>
        <v/>
      </c>
      <c r="J3" s="6">
        <f>IF(AND(LEFT($F3,3)="ДОК",$H3&lt;&gt;""),IFERROR(INDEX(Документация!$E$2:$E$57,MATCH($H3,Документация!$F$2:$F$57,0)),0),IFERROR(INDEX(Работы!$H$2:$H$6000,MATCH($C3,Работы!$A$2:$A$6000,0)),0))*(1-MEDIAN(0,N(ДисконтТендер),1))</f>
        <v>0</v>
      </c>
      <c r="K3" s="6">
        <f>IF(OR((LEFT($F3,3)="ДОК"),$H3=""),0,IFERROR(INDEX(Материалы!$H$2:$H$9000,MATCH($H3,Материалы!$M$2:$M$9000,0))*IF(INDEX(Материалы!$I$2:$I$9000,MATCH($H3,Материалы!$M$2:$M$9000,0))="USD",КурсUSD,IF(INDEX(Материалы!$I$2:$I$9000,MATCH($H3,Материалы!$M$2:$M$9000,0))="EUR",КурсEUR,1))*(1+IFERROR(INDEX(Работы!$I$2:$I$6000,MATCH($C3,Работы!$A$2:$A$6000,0))/100,0))*(1-MEDIAN(0,N(ДисконтТендер),1)),0))</f>
        <v>0</v>
      </c>
      <c r="L3" s="6">
        <f t="shared" si="1"/>
        <v>0</v>
      </c>
      <c r="M3" s="6">
        <f t="shared" si="2"/>
        <v>0</v>
      </c>
      <c r="N3" s="6">
        <f t="shared" si="3"/>
        <v>0</v>
      </c>
      <c r="O3" t="str">
        <f>IF($N3&gt;0,MAX($O$1:$O2)+1,"")</f>
        <v/>
      </c>
      <c r="P3" t="str">
        <f>IF($C3="","",IFERROR(INDEX(Работы!$D$2:$D$6000,MATCH($C3,Работы!$A$2:$A$6000,0)),""))</f>
        <v/>
      </c>
      <c r="Q3" t="str">
        <f t="shared" si="4"/>
        <v/>
      </c>
      <c r="R3" t="str">
        <f t="shared" si="5"/>
        <v/>
      </c>
      <c r="S3" t="str">
        <f>IF($P3="","",$P3&amp;" · "&amp;IFERROR(INDEX(Работы!$E$2:$E$6000,MATCH($C3,Работы!$A$2:$A$6000,0)),""))</f>
        <v/>
      </c>
    </row>
    <row r="4" spans="1:19" x14ac:dyDescent="0.3">
      <c r="A4" s="4"/>
      <c r="B4" s="4"/>
      <c r="C4" t="str">
        <f t="shared" si="0"/>
        <v/>
      </c>
      <c r="D4" s="5" t="str">
        <f>IF($C4="","",IF(AND(LEFT($F4,3)="ДОК",$H4&lt;&gt;""),IFERROR(INDEX(Документация!$G$2:$G$57,MATCH($H4,Документация!$F$2:$F$57,0)),"— вариант не найден —"),IFERROR(INDEX(Работы!$B$2:$B$6000,MATCH($C4,Работы!$A$2:$A$6000,0)),"— нет такого кода —")))</f>
        <v/>
      </c>
      <c r="E4" t="str">
        <f>IF($C4="","",IF(AND(LEFT($F4,3)="ДОК",$H4&lt;&gt;""),IFERROR(INDEX(Документация!$D$2:$D$57,MATCH($H4,Документация!$F$2:$F$57,0)),""),IFERROR(INDEX(Работы!$C$2:$C$6000,MATCH($C4,Работы!$A$2:$A$6000,0)),"")))</f>
        <v/>
      </c>
      <c r="F4" t="str">
        <f>IF($C4="","",IFERROR(INDEX(Работы!$G$2:$G$6000,MATCH($C4,Работы!$A$2:$A$6000,0))&amp;"",""))</f>
        <v/>
      </c>
      <c r="G4" s="4"/>
      <c r="H4" s="4"/>
      <c r="I4" s="5" t="str">
        <f>IF((LEFT($F4,3)="ДОК"),"",IF($H4="","",IFERROR(INDEX(Материалы!$B$2:$B$9000,MATCH($H4,Материалы!$M$2:$M$9000,0)),"")))</f>
        <v/>
      </c>
      <c r="J4" s="6">
        <f>IF(AND(LEFT($F4,3)="ДОК",$H4&lt;&gt;""),IFERROR(INDEX(Документация!$E$2:$E$57,MATCH($H4,Документация!$F$2:$F$57,0)),0),IFERROR(INDEX(Работы!$H$2:$H$6000,MATCH($C4,Работы!$A$2:$A$6000,0)),0))*(1-MEDIAN(0,N(ДисконтТендер),1))</f>
        <v>0</v>
      </c>
      <c r="K4" s="6">
        <f>IF(OR((LEFT($F4,3)="ДОК"),$H4=""),0,IFERROR(INDEX(Материалы!$H$2:$H$9000,MATCH($H4,Материалы!$M$2:$M$9000,0))*IF(INDEX(Материалы!$I$2:$I$9000,MATCH($H4,Материалы!$M$2:$M$9000,0))="USD",КурсUSD,IF(INDEX(Материалы!$I$2:$I$9000,MATCH($H4,Материалы!$M$2:$M$9000,0))="EUR",КурсEUR,1))*(1+IFERROR(INDEX(Работы!$I$2:$I$6000,MATCH($C4,Работы!$A$2:$A$6000,0))/100,0))*(1-MEDIAN(0,N(ДисконтТендер),1)),0))</f>
        <v>0</v>
      </c>
      <c r="L4" s="6">
        <f t="shared" si="1"/>
        <v>0</v>
      </c>
      <c r="M4" s="6">
        <f t="shared" si="2"/>
        <v>0</v>
      </c>
      <c r="N4" s="6">
        <f t="shared" si="3"/>
        <v>0</v>
      </c>
      <c r="O4" t="str">
        <f>IF($N4&gt;0,MAX($O$1:$O3)+1,"")</f>
        <v/>
      </c>
      <c r="P4" t="str">
        <f>IF($C4="","",IFERROR(INDEX(Работы!$D$2:$D$6000,MATCH($C4,Работы!$A$2:$A$6000,0)),""))</f>
        <v/>
      </c>
      <c r="Q4" t="str">
        <f t="shared" si="4"/>
        <v/>
      </c>
      <c r="R4" t="str">
        <f t="shared" si="5"/>
        <v/>
      </c>
      <c r="S4" t="str">
        <f>IF($P4="","",$P4&amp;" · "&amp;IFERROR(INDEX(Работы!$E$2:$E$6000,MATCH($C4,Работы!$A$2:$A$6000,0)),""))</f>
        <v/>
      </c>
    </row>
    <row r="5" spans="1:19" x14ac:dyDescent="0.3">
      <c r="A5" s="4"/>
      <c r="B5" s="4"/>
      <c r="C5" t="str">
        <f t="shared" si="0"/>
        <v/>
      </c>
      <c r="D5" s="5" t="str">
        <f>IF($C5="","",IF(AND(LEFT($F5,3)="ДОК",$H5&lt;&gt;""),IFERROR(INDEX(Документация!$G$2:$G$57,MATCH($H5,Документация!$F$2:$F$57,0)),"— вариант не найден —"),IFERROR(INDEX(Работы!$B$2:$B$6000,MATCH($C5,Работы!$A$2:$A$6000,0)),"— нет такого кода —")))</f>
        <v/>
      </c>
      <c r="E5" t="str">
        <f>IF($C5="","",IF(AND(LEFT($F5,3)="ДОК",$H5&lt;&gt;""),IFERROR(INDEX(Документация!$D$2:$D$57,MATCH($H5,Документация!$F$2:$F$57,0)),""),IFERROR(INDEX(Работы!$C$2:$C$6000,MATCH($C5,Работы!$A$2:$A$6000,0)),"")))</f>
        <v/>
      </c>
      <c r="F5" t="str">
        <f>IF($C5="","",IFERROR(INDEX(Работы!$G$2:$G$6000,MATCH($C5,Работы!$A$2:$A$6000,0))&amp;"",""))</f>
        <v/>
      </c>
      <c r="G5" s="4"/>
      <c r="H5" s="4"/>
      <c r="I5" s="5" t="str">
        <f>IF((LEFT($F5,3)="ДОК"),"",IF($H5="","",IFERROR(INDEX(Материалы!$B$2:$B$9000,MATCH($H5,Материалы!$M$2:$M$9000,0)),"")))</f>
        <v/>
      </c>
      <c r="J5" s="6">
        <f>IF(AND(LEFT($F5,3)="ДОК",$H5&lt;&gt;""),IFERROR(INDEX(Документация!$E$2:$E$57,MATCH($H5,Документация!$F$2:$F$57,0)),0),IFERROR(INDEX(Работы!$H$2:$H$6000,MATCH($C5,Работы!$A$2:$A$6000,0)),0))*(1-MEDIAN(0,N(ДисконтТендер),1))</f>
        <v>0</v>
      </c>
      <c r="K5" s="6">
        <f>IF(OR((LEFT($F5,3)="ДОК"),$H5=""),0,IFERROR(INDEX(Материалы!$H$2:$H$9000,MATCH($H5,Материалы!$M$2:$M$9000,0))*IF(INDEX(Материалы!$I$2:$I$9000,MATCH($H5,Материалы!$M$2:$M$9000,0))="USD",КурсUSD,IF(INDEX(Материалы!$I$2:$I$9000,MATCH($H5,Материалы!$M$2:$M$9000,0))="EUR",КурсEUR,1))*(1+IFERROR(INDEX(Работы!$I$2:$I$6000,MATCH($C5,Работы!$A$2:$A$6000,0))/100,0))*(1-MEDIAN(0,N(ДисконтТендер),1)),0))</f>
        <v>0</v>
      </c>
      <c r="L5" s="6">
        <f t="shared" si="1"/>
        <v>0</v>
      </c>
      <c r="M5" s="6">
        <f t="shared" si="2"/>
        <v>0</v>
      </c>
      <c r="N5" s="6">
        <f t="shared" si="3"/>
        <v>0</v>
      </c>
      <c r="O5" t="str">
        <f>IF($N5&gt;0,MAX($O$1:$O4)+1,"")</f>
        <v/>
      </c>
      <c r="P5" t="str">
        <f>IF($C5="","",IFERROR(INDEX(Работы!$D$2:$D$6000,MATCH($C5,Работы!$A$2:$A$6000,0)),""))</f>
        <v/>
      </c>
      <c r="Q5" t="str">
        <f t="shared" si="4"/>
        <v/>
      </c>
      <c r="R5" t="str">
        <f t="shared" si="5"/>
        <v/>
      </c>
      <c r="S5" t="str">
        <f>IF($P5="","",$P5&amp;" · "&amp;IFERROR(INDEX(Работы!$E$2:$E$6000,MATCH($C5,Работы!$A$2:$A$6000,0)),""))</f>
        <v/>
      </c>
    </row>
    <row r="6" spans="1:19" x14ac:dyDescent="0.3">
      <c r="A6" s="4"/>
      <c r="B6" s="4"/>
      <c r="C6" t="str">
        <f t="shared" si="0"/>
        <v/>
      </c>
      <c r="D6" s="5" t="str">
        <f>IF($C6="","",IF(AND(LEFT($F6,3)="ДОК",$H6&lt;&gt;""),IFERROR(INDEX(Документация!$G$2:$G$57,MATCH($H6,Документация!$F$2:$F$57,0)),"— вариант не найден —"),IFERROR(INDEX(Работы!$B$2:$B$6000,MATCH($C6,Работы!$A$2:$A$6000,0)),"— нет такого кода —")))</f>
        <v/>
      </c>
      <c r="E6" t="str">
        <f>IF($C6="","",IF(AND(LEFT($F6,3)="ДОК",$H6&lt;&gt;""),IFERROR(INDEX(Документация!$D$2:$D$57,MATCH($H6,Документация!$F$2:$F$57,0)),""),IFERROR(INDEX(Работы!$C$2:$C$6000,MATCH($C6,Работы!$A$2:$A$6000,0)),"")))</f>
        <v/>
      </c>
      <c r="F6" t="str">
        <f>IF($C6="","",IFERROR(INDEX(Работы!$G$2:$G$6000,MATCH($C6,Работы!$A$2:$A$6000,0))&amp;"",""))</f>
        <v/>
      </c>
      <c r="G6" s="4"/>
      <c r="H6" s="4"/>
      <c r="I6" s="5" t="str">
        <f>IF((LEFT($F6,3)="ДОК"),"",IF($H6="","",IFERROR(INDEX(Материалы!$B$2:$B$9000,MATCH($H6,Материалы!$M$2:$M$9000,0)),"")))</f>
        <v/>
      </c>
      <c r="J6" s="6">
        <f>IF(AND(LEFT($F6,3)="ДОК",$H6&lt;&gt;""),IFERROR(INDEX(Документация!$E$2:$E$57,MATCH($H6,Документация!$F$2:$F$57,0)),0),IFERROR(INDEX(Работы!$H$2:$H$6000,MATCH($C6,Работы!$A$2:$A$6000,0)),0))*(1-MEDIAN(0,N(ДисконтТендер),1))</f>
        <v>0</v>
      </c>
      <c r="K6" s="6">
        <f>IF(OR((LEFT($F6,3)="ДОК"),$H6=""),0,IFERROR(INDEX(Материалы!$H$2:$H$9000,MATCH($H6,Материалы!$M$2:$M$9000,0))*IF(INDEX(Материалы!$I$2:$I$9000,MATCH($H6,Материалы!$M$2:$M$9000,0))="USD",КурсUSD,IF(INDEX(Материалы!$I$2:$I$9000,MATCH($H6,Материалы!$M$2:$M$9000,0))="EUR",КурсEUR,1))*(1+IFERROR(INDEX(Работы!$I$2:$I$6000,MATCH($C6,Работы!$A$2:$A$6000,0))/100,0))*(1-MEDIAN(0,N(ДисконтТендер),1)),0))</f>
        <v>0</v>
      </c>
      <c r="L6" s="6">
        <f t="shared" si="1"/>
        <v>0</v>
      </c>
      <c r="M6" s="6">
        <f t="shared" si="2"/>
        <v>0</v>
      </c>
      <c r="N6" s="6">
        <f t="shared" si="3"/>
        <v>0</v>
      </c>
      <c r="O6" t="str">
        <f>IF($N6&gt;0,MAX($O$1:$O5)+1,"")</f>
        <v/>
      </c>
      <c r="P6" t="str">
        <f>IF($C6="","",IFERROR(INDEX(Работы!$D$2:$D$6000,MATCH($C6,Работы!$A$2:$A$6000,0)),""))</f>
        <v/>
      </c>
      <c r="Q6" t="str">
        <f t="shared" si="4"/>
        <v/>
      </c>
      <c r="R6" t="str">
        <f t="shared" si="5"/>
        <v/>
      </c>
      <c r="S6" t="str">
        <f>IF($P6="","",$P6&amp;" · "&amp;IFERROR(INDEX(Работы!$E$2:$E$6000,MATCH($C6,Работы!$A$2:$A$6000,0)),""))</f>
        <v/>
      </c>
    </row>
    <row r="7" spans="1:19" x14ac:dyDescent="0.3">
      <c r="A7" s="4"/>
      <c r="B7" s="4"/>
      <c r="C7" t="str">
        <f t="shared" si="0"/>
        <v/>
      </c>
      <c r="D7" s="5" t="str">
        <f>IF($C7="","",IF(AND(LEFT($F7,3)="ДОК",$H7&lt;&gt;""),IFERROR(INDEX(Документация!$G$2:$G$57,MATCH($H7,Документация!$F$2:$F$57,0)),"— вариант не найден —"),IFERROR(INDEX(Работы!$B$2:$B$6000,MATCH($C7,Работы!$A$2:$A$6000,0)),"— нет такого кода —")))</f>
        <v/>
      </c>
      <c r="E7" t="str">
        <f>IF($C7="","",IF(AND(LEFT($F7,3)="ДОК",$H7&lt;&gt;""),IFERROR(INDEX(Документация!$D$2:$D$57,MATCH($H7,Документация!$F$2:$F$57,0)),""),IFERROR(INDEX(Работы!$C$2:$C$6000,MATCH($C7,Работы!$A$2:$A$6000,0)),"")))</f>
        <v/>
      </c>
      <c r="F7" t="str">
        <f>IF($C7="","",IFERROR(INDEX(Работы!$G$2:$G$6000,MATCH($C7,Работы!$A$2:$A$6000,0))&amp;"",""))</f>
        <v/>
      </c>
      <c r="G7" s="4"/>
      <c r="H7" s="4"/>
      <c r="I7" s="5" t="str">
        <f>IF((LEFT($F7,3)="ДОК"),"",IF($H7="","",IFERROR(INDEX(Материалы!$B$2:$B$9000,MATCH($H7,Материалы!$M$2:$M$9000,0)),"")))</f>
        <v/>
      </c>
      <c r="J7" s="6">
        <f>IF(AND(LEFT($F7,3)="ДОК",$H7&lt;&gt;""),IFERROR(INDEX(Документация!$E$2:$E$57,MATCH($H7,Документация!$F$2:$F$57,0)),0),IFERROR(INDEX(Работы!$H$2:$H$6000,MATCH($C7,Работы!$A$2:$A$6000,0)),0))*(1-MEDIAN(0,N(ДисконтТендер),1))</f>
        <v>0</v>
      </c>
      <c r="K7" s="6">
        <f>IF(OR((LEFT($F7,3)="ДОК"),$H7=""),0,IFERROR(INDEX(Материалы!$H$2:$H$9000,MATCH($H7,Материалы!$M$2:$M$9000,0))*IF(INDEX(Материалы!$I$2:$I$9000,MATCH($H7,Материалы!$M$2:$M$9000,0))="USD",КурсUSD,IF(INDEX(Материалы!$I$2:$I$9000,MATCH($H7,Материалы!$M$2:$M$9000,0))="EUR",КурсEUR,1))*(1+IFERROR(INDEX(Работы!$I$2:$I$6000,MATCH($C7,Работы!$A$2:$A$6000,0))/100,0))*(1-MEDIAN(0,N(ДисконтТендер),1)),0))</f>
        <v>0</v>
      </c>
      <c r="L7" s="6">
        <f t="shared" si="1"/>
        <v>0</v>
      </c>
      <c r="M7" s="6">
        <f t="shared" si="2"/>
        <v>0</v>
      </c>
      <c r="N7" s="6">
        <f t="shared" si="3"/>
        <v>0</v>
      </c>
      <c r="O7" t="str">
        <f>IF($N7&gt;0,MAX($O$1:$O6)+1,"")</f>
        <v/>
      </c>
      <c r="P7" t="str">
        <f>IF($C7="","",IFERROR(INDEX(Работы!$D$2:$D$6000,MATCH($C7,Работы!$A$2:$A$6000,0)),""))</f>
        <v/>
      </c>
      <c r="Q7" t="str">
        <f t="shared" si="4"/>
        <v/>
      </c>
      <c r="R7" t="str">
        <f t="shared" si="5"/>
        <v/>
      </c>
      <c r="S7" t="str">
        <f>IF($P7="","",$P7&amp;" · "&amp;IFERROR(INDEX(Работы!$E$2:$E$6000,MATCH($C7,Работы!$A$2:$A$6000,0)),""))</f>
        <v/>
      </c>
    </row>
    <row r="8" spans="1:19" x14ac:dyDescent="0.3">
      <c r="A8" s="4"/>
      <c r="B8" s="4"/>
      <c r="C8" t="str">
        <f t="shared" si="0"/>
        <v/>
      </c>
      <c r="D8" s="5" t="str">
        <f>IF($C8="","",IF(AND(LEFT($F8,3)="ДОК",$H8&lt;&gt;""),IFERROR(INDEX(Документация!$G$2:$G$57,MATCH($H8,Документация!$F$2:$F$57,0)),"— вариант не найден —"),IFERROR(INDEX(Работы!$B$2:$B$6000,MATCH($C8,Работы!$A$2:$A$6000,0)),"— нет такого кода —")))</f>
        <v/>
      </c>
      <c r="E8" t="str">
        <f>IF($C8="","",IF(AND(LEFT($F8,3)="ДОК",$H8&lt;&gt;""),IFERROR(INDEX(Документация!$D$2:$D$57,MATCH($H8,Документация!$F$2:$F$57,0)),""),IFERROR(INDEX(Работы!$C$2:$C$6000,MATCH($C8,Работы!$A$2:$A$6000,0)),"")))</f>
        <v/>
      </c>
      <c r="F8" t="str">
        <f>IF($C8="","",IFERROR(INDEX(Работы!$G$2:$G$6000,MATCH($C8,Работы!$A$2:$A$6000,0))&amp;"",""))</f>
        <v/>
      </c>
      <c r="G8" s="4"/>
      <c r="H8" s="4"/>
      <c r="I8" s="5" t="str">
        <f>IF((LEFT($F8,3)="ДОК"),"",IF($H8="","",IFERROR(INDEX(Материалы!$B$2:$B$9000,MATCH($H8,Материалы!$M$2:$M$9000,0)),"")))</f>
        <v/>
      </c>
      <c r="J8" s="6">
        <f>IF(AND(LEFT($F8,3)="ДОК",$H8&lt;&gt;""),IFERROR(INDEX(Документация!$E$2:$E$57,MATCH($H8,Документация!$F$2:$F$57,0)),0),IFERROR(INDEX(Работы!$H$2:$H$6000,MATCH($C8,Работы!$A$2:$A$6000,0)),0))*(1-MEDIAN(0,N(ДисконтТендер),1))</f>
        <v>0</v>
      </c>
      <c r="K8" s="6">
        <f>IF(OR((LEFT($F8,3)="ДОК"),$H8=""),0,IFERROR(INDEX(Материалы!$H$2:$H$9000,MATCH($H8,Материалы!$M$2:$M$9000,0))*IF(INDEX(Материалы!$I$2:$I$9000,MATCH($H8,Материалы!$M$2:$M$9000,0))="USD",КурсUSD,IF(INDEX(Материалы!$I$2:$I$9000,MATCH($H8,Материалы!$M$2:$M$9000,0))="EUR",КурсEUR,1))*(1+IFERROR(INDEX(Работы!$I$2:$I$6000,MATCH($C8,Работы!$A$2:$A$6000,0))/100,0))*(1-MEDIAN(0,N(ДисконтТендер),1)),0))</f>
        <v>0</v>
      </c>
      <c r="L8" s="6">
        <f t="shared" si="1"/>
        <v>0</v>
      </c>
      <c r="M8" s="6">
        <f t="shared" si="2"/>
        <v>0</v>
      </c>
      <c r="N8" s="6">
        <f t="shared" si="3"/>
        <v>0</v>
      </c>
      <c r="O8" t="str">
        <f>IF($N8&gt;0,MAX($O$1:$O7)+1,"")</f>
        <v/>
      </c>
      <c r="P8" t="str">
        <f>IF($C8="","",IFERROR(INDEX(Работы!$D$2:$D$6000,MATCH($C8,Работы!$A$2:$A$6000,0)),""))</f>
        <v/>
      </c>
      <c r="Q8" t="str">
        <f t="shared" si="4"/>
        <v/>
      </c>
      <c r="R8" t="str">
        <f t="shared" si="5"/>
        <v/>
      </c>
      <c r="S8" t="str">
        <f>IF($P8="","",$P8&amp;" · "&amp;IFERROR(INDEX(Работы!$E$2:$E$6000,MATCH($C8,Работы!$A$2:$A$6000,0)),""))</f>
        <v/>
      </c>
    </row>
    <row r="9" spans="1:19" x14ac:dyDescent="0.3">
      <c r="A9" s="4"/>
      <c r="B9" s="4"/>
      <c r="C9" t="str">
        <f t="shared" si="0"/>
        <v/>
      </c>
      <c r="D9" s="5" t="str">
        <f>IF($C9="","",IF(AND(LEFT($F9,3)="ДОК",$H9&lt;&gt;""),IFERROR(INDEX(Документация!$G$2:$G$57,MATCH($H9,Документация!$F$2:$F$57,0)),"— вариант не найден —"),IFERROR(INDEX(Работы!$B$2:$B$6000,MATCH($C9,Работы!$A$2:$A$6000,0)),"— нет такого кода —")))</f>
        <v/>
      </c>
      <c r="E9" t="str">
        <f>IF($C9="","",IF(AND(LEFT($F9,3)="ДОК",$H9&lt;&gt;""),IFERROR(INDEX(Документация!$D$2:$D$57,MATCH($H9,Документация!$F$2:$F$57,0)),""),IFERROR(INDEX(Работы!$C$2:$C$6000,MATCH($C9,Работы!$A$2:$A$6000,0)),"")))</f>
        <v/>
      </c>
      <c r="F9" t="str">
        <f>IF($C9="","",IFERROR(INDEX(Работы!$G$2:$G$6000,MATCH($C9,Работы!$A$2:$A$6000,0))&amp;"",""))</f>
        <v/>
      </c>
      <c r="G9" s="4"/>
      <c r="H9" s="4"/>
      <c r="I9" s="5" t="str">
        <f>IF((LEFT($F9,3)="ДОК"),"",IF($H9="","",IFERROR(INDEX(Материалы!$B$2:$B$9000,MATCH($H9,Материалы!$M$2:$M$9000,0)),"")))</f>
        <v/>
      </c>
      <c r="J9" s="6">
        <f>IF(AND(LEFT($F9,3)="ДОК",$H9&lt;&gt;""),IFERROR(INDEX(Документация!$E$2:$E$57,MATCH($H9,Документация!$F$2:$F$57,0)),0),IFERROR(INDEX(Работы!$H$2:$H$6000,MATCH($C9,Работы!$A$2:$A$6000,0)),0))*(1-MEDIAN(0,N(ДисконтТендер),1))</f>
        <v>0</v>
      </c>
      <c r="K9" s="6">
        <f>IF(OR((LEFT($F9,3)="ДОК"),$H9=""),0,IFERROR(INDEX(Материалы!$H$2:$H$9000,MATCH($H9,Материалы!$M$2:$M$9000,0))*IF(INDEX(Материалы!$I$2:$I$9000,MATCH($H9,Материалы!$M$2:$M$9000,0))="USD",КурсUSD,IF(INDEX(Материалы!$I$2:$I$9000,MATCH($H9,Материалы!$M$2:$M$9000,0))="EUR",КурсEUR,1))*(1+IFERROR(INDEX(Работы!$I$2:$I$6000,MATCH($C9,Работы!$A$2:$A$6000,0))/100,0))*(1-MEDIAN(0,N(ДисконтТендер),1)),0))</f>
        <v>0</v>
      </c>
      <c r="L9" s="6">
        <f t="shared" si="1"/>
        <v>0</v>
      </c>
      <c r="M9" s="6">
        <f t="shared" si="2"/>
        <v>0</v>
      </c>
      <c r="N9" s="6">
        <f t="shared" si="3"/>
        <v>0</v>
      </c>
      <c r="O9" t="str">
        <f>IF($N9&gt;0,MAX($O$1:$O8)+1,"")</f>
        <v/>
      </c>
      <c r="P9" t="str">
        <f>IF($C9="","",IFERROR(INDEX(Работы!$D$2:$D$6000,MATCH($C9,Работы!$A$2:$A$6000,0)),""))</f>
        <v/>
      </c>
      <c r="Q9" t="str">
        <f t="shared" si="4"/>
        <v/>
      </c>
      <c r="R9" t="str">
        <f t="shared" si="5"/>
        <v/>
      </c>
      <c r="S9" t="str">
        <f>IF($P9="","",$P9&amp;" · "&amp;IFERROR(INDEX(Работы!$E$2:$E$6000,MATCH($C9,Работы!$A$2:$A$6000,0)),""))</f>
        <v/>
      </c>
    </row>
    <row r="10" spans="1:19" x14ac:dyDescent="0.3">
      <c r="A10" s="4"/>
      <c r="B10" s="4"/>
      <c r="C10" t="str">
        <f t="shared" si="0"/>
        <v/>
      </c>
      <c r="D10" s="5" t="str">
        <f>IF($C10="","",IF(AND(LEFT($F10,3)="ДОК",$H10&lt;&gt;""),IFERROR(INDEX(Документация!$G$2:$G$57,MATCH($H10,Документация!$F$2:$F$57,0)),"— вариант не найден —"),IFERROR(INDEX(Работы!$B$2:$B$6000,MATCH($C10,Работы!$A$2:$A$6000,0)),"— нет такого кода —")))</f>
        <v/>
      </c>
      <c r="E10" t="str">
        <f>IF($C10="","",IF(AND(LEFT($F10,3)="ДОК",$H10&lt;&gt;""),IFERROR(INDEX(Документация!$D$2:$D$57,MATCH($H10,Документация!$F$2:$F$57,0)),""),IFERROR(INDEX(Работы!$C$2:$C$6000,MATCH($C10,Работы!$A$2:$A$6000,0)),"")))</f>
        <v/>
      </c>
      <c r="F10" t="str">
        <f>IF($C10="","",IFERROR(INDEX(Работы!$G$2:$G$6000,MATCH($C10,Работы!$A$2:$A$6000,0))&amp;"",""))</f>
        <v/>
      </c>
      <c r="G10" s="4"/>
      <c r="H10" s="4"/>
      <c r="I10" s="5" t="str">
        <f>IF((LEFT($F10,3)="ДОК"),"",IF($H10="","",IFERROR(INDEX(Материалы!$B$2:$B$9000,MATCH($H10,Материалы!$M$2:$M$9000,0)),"")))</f>
        <v/>
      </c>
      <c r="J10" s="6">
        <f>IF(AND(LEFT($F10,3)="ДОК",$H10&lt;&gt;""),IFERROR(INDEX(Документация!$E$2:$E$57,MATCH($H10,Документация!$F$2:$F$57,0)),0),IFERROR(INDEX(Работы!$H$2:$H$6000,MATCH($C10,Работы!$A$2:$A$6000,0)),0))*(1-MEDIAN(0,N(ДисконтТендер),1))</f>
        <v>0</v>
      </c>
      <c r="K10" s="6">
        <f>IF(OR((LEFT($F10,3)="ДОК"),$H10=""),0,IFERROR(INDEX(Материалы!$H$2:$H$9000,MATCH($H10,Материалы!$M$2:$M$9000,0))*IF(INDEX(Материалы!$I$2:$I$9000,MATCH($H10,Материалы!$M$2:$M$9000,0))="USD",КурсUSD,IF(INDEX(Материалы!$I$2:$I$9000,MATCH($H10,Материалы!$M$2:$M$9000,0))="EUR",КурсEUR,1))*(1+IFERROR(INDEX(Работы!$I$2:$I$6000,MATCH($C10,Работы!$A$2:$A$6000,0))/100,0))*(1-MEDIAN(0,N(ДисконтТендер),1)),0))</f>
        <v>0</v>
      </c>
      <c r="L10" s="6">
        <f t="shared" si="1"/>
        <v>0</v>
      </c>
      <c r="M10" s="6">
        <f t="shared" si="2"/>
        <v>0</v>
      </c>
      <c r="N10" s="6">
        <f t="shared" si="3"/>
        <v>0</v>
      </c>
      <c r="O10" t="str">
        <f>IF($N10&gt;0,MAX($O$1:$O9)+1,"")</f>
        <v/>
      </c>
      <c r="P10" t="str">
        <f>IF($C10="","",IFERROR(INDEX(Работы!$D$2:$D$6000,MATCH($C10,Работы!$A$2:$A$6000,0)),""))</f>
        <v/>
      </c>
      <c r="Q10" t="str">
        <f t="shared" si="4"/>
        <v/>
      </c>
      <c r="R10" t="str">
        <f t="shared" si="5"/>
        <v/>
      </c>
      <c r="S10" t="str">
        <f>IF($P10="","",$P10&amp;" · "&amp;IFERROR(INDEX(Работы!$E$2:$E$6000,MATCH($C10,Работы!$A$2:$A$6000,0)),""))</f>
        <v/>
      </c>
    </row>
    <row r="11" spans="1:19" x14ac:dyDescent="0.3">
      <c r="A11" s="4"/>
      <c r="B11" s="4"/>
      <c r="C11" t="str">
        <f t="shared" si="0"/>
        <v/>
      </c>
      <c r="D11" s="5" t="str">
        <f>IF($C11="","",IF(AND(LEFT($F11,3)="ДОК",$H11&lt;&gt;""),IFERROR(INDEX(Документация!$G$2:$G$57,MATCH($H11,Документация!$F$2:$F$57,0)),"— вариант не найден —"),IFERROR(INDEX(Работы!$B$2:$B$6000,MATCH($C11,Работы!$A$2:$A$6000,0)),"— нет такого кода —")))</f>
        <v/>
      </c>
      <c r="E11" t="str">
        <f>IF($C11="","",IF(AND(LEFT($F11,3)="ДОК",$H11&lt;&gt;""),IFERROR(INDEX(Документация!$D$2:$D$57,MATCH($H11,Документация!$F$2:$F$57,0)),""),IFERROR(INDEX(Работы!$C$2:$C$6000,MATCH($C11,Работы!$A$2:$A$6000,0)),"")))</f>
        <v/>
      </c>
      <c r="F11" t="str">
        <f>IF($C11="","",IFERROR(INDEX(Работы!$G$2:$G$6000,MATCH($C11,Работы!$A$2:$A$6000,0))&amp;"",""))</f>
        <v/>
      </c>
      <c r="G11" s="4"/>
      <c r="H11" s="4"/>
      <c r="I11" s="5" t="str">
        <f>IF((LEFT($F11,3)="ДОК"),"",IF($H11="","",IFERROR(INDEX(Материалы!$B$2:$B$9000,MATCH($H11,Материалы!$M$2:$M$9000,0)),"")))</f>
        <v/>
      </c>
      <c r="J11" s="6">
        <f>IF(AND(LEFT($F11,3)="ДОК",$H11&lt;&gt;""),IFERROR(INDEX(Документация!$E$2:$E$57,MATCH($H11,Документация!$F$2:$F$57,0)),0),IFERROR(INDEX(Работы!$H$2:$H$6000,MATCH($C11,Работы!$A$2:$A$6000,0)),0))*(1-MEDIAN(0,N(ДисконтТендер),1))</f>
        <v>0</v>
      </c>
      <c r="K11" s="6">
        <f>IF(OR((LEFT($F11,3)="ДОК"),$H11=""),0,IFERROR(INDEX(Материалы!$H$2:$H$9000,MATCH($H11,Материалы!$M$2:$M$9000,0))*IF(INDEX(Материалы!$I$2:$I$9000,MATCH($H11,Материалы!$M$2:$M$9000,0))="USD",КурсUSD,IF(INDEX(Материалы!$I$2:$I$9000,MATCH($H11,Материалы!$M$2:$M$9000,0))="EUR",КурсEUR,1))*(1+IFERROR(INDEX(Работы!$I$2:$I$6000,MATCH($C11,Работы!$A$2:$A$6000,0))/100,0))*(1-MEDIAN(0,N(ДисконтТендер),1)),0))</f>
        <v>0</v>
      </c>
      <c r="L11" s="6">
        <f t="shared" si="1"/>
        <v>0</v>
      </c>
      <c r="M11" s="6">
        <f t="shared" si="2"/>
        <v>0</v>
      </c>
      <c r="N11" s="6">
        <f t="shared" si="3"/>
        <v>0</v>
      </c>
      <c r="O11" t="str">
        <f>IF($N11&gt;0,MAX($O$1:$O10)+1,"")</f>
        <v/>
      </c>
      <c r="P11" t="str">
        <f>IF($C11="","",IFERROR(INDEX(Работы!$D$2:$D$6000,MATCH($C11,Работы!$A$2:$A$6000,0)),""))</f>
        <v/>
      </c>
      <c r="Q11" t="str">
        <f t="shared" si="4"/>
        <v/>
      </c>
      <c r="R11" t="str">
        <f t="shared" si="5"/>
        <v/>
      </c>
      <c r="S11" t="str">
        <f>IF($P11="","",$P11&amp;" · "&amp;IFERROR(INDEX(Работы!$E$2:$E$6000,MATCH($C11,Работы!$A$2:$A$6000,0)),""))</f>
        <v/>
      </c>
    </row>
    <row r="12" spans="1:19" x14ac:dyDescent="0.3">
      <c r="A12" s="4"/>
      <c r="B12" s="4"/>
      <c r="C12" t="str">
        <f t="shared" si="0"/>
        <v/>
      </c>
      <c r="D12" s="5" t="str">
        <f>IF($C12="","",IF(AND(LEFT($F12,3)="ДОК",$H12&lt;&gt;""),IFERROR(INDEX(Документация!$G$2:$G$57,MATCH($H12,Документация!$F$2:$F$57,0)),"— вариант не найден —"),IFERROR(INDEX(Работы!$B$2:$B$6000,MATCH($C12,Работы!$A$2:$A$6000,0)),"— нет такого кода —")))</f>
        <v/>
      </c>
      <c r="E12" t="str">
        <f>IF($C12="","",IF(AND(LEFT($F12,3)="ДОК",$H12&lt;&gt;""),IFERROR(INDEX(Документация!$D$2:$D$57,MATCH($H12,Документация!$F$2:$F$57,0)),""),IFERROR(INDEX(Работы!$C$2:$C$6000,MATCH($C12,Работы!$A$2:$A$6000,0)),"")))</f>
        <v/>
      </c>
      <c r="F12" t="str">
        <f>IF($C12="","",IFERROR(INDEX(Работы!$G$2:$G$6000,MATCH($C12,Работы!$A$2:$A$6000,0))&amp;"",""))</f>
        <v/>
      </c>
      <c r="G12" s="4"/>
      <c r="H12" s="4"/>
      <c r="I12" s="5" t="str">
        <f>IF((LEFT($F12,3)="ДОК"),"",IF($H12="","",IFERROR(INDEX(Материалы!$B$2:$B$9000,MATCH($H12,Материалы!$M$2:$M$9000,0)),"")))</f>
        <v/>
      </c>
      <c r="J12" s="6">
        <f>IF(AND(LEFT($F12,3)="ДОК",$H12&lt;&gt;""),IFERROR(INDEX(Документация!$E$2:$E$57,MATCH($H12,Документация!$F$2:$F$57,0)),0),IFERROR(INDEX(Работы!$H$2:$H$6000,MATCH($C12,Работы!$A$2:$A$6000,0)),0))*(1-MEDIAN(0,N(ДисконтТендер),1))</f>
        <v>0</v>
      </c>
      <c r="K12" s="6">
        <f>IF(OR((LEFT($F12,3)="ДОК"),$H12=""),0,IFERROR(INDEX(Материалы!$H$2:$H$9000,MATCH($H12,Материалы!$M$2:$M$9000,0))*IF(INDEX(Материалы!$I$2:$I$9000,MATCH($H12,Материалы!$M$2:$M$9000,0))="USD",КурсUSD,IF(INDEX(Материалы!$I$2:$I$9000,MATCH($H12,Материалы!$M$2:$M$9000,0))="EUR",КурсEUR,1))*(1+IFERROR(INDEX(Работы!$I$2:$I$6000,MATCH($C12,Работы!$A$2:$A$6000,0))/100,0))*(1-MEDIAN(0,N(ДисконтТендер),1)),0))</f>
        <v>0</v>
      </c>
      <c r="L12" s="6">
        <f t="shared" si="1"/>
        <v>0</v>
      </c>
      <c r="M12" s="6">
        <f t="shared" si="2"/>
        <v>0</v>
      </c>
      <c r="N12" s="6">
        <f t="shared" si="3"/>
        <v>0</v>
      </c>
      <c r="O12" t="str">
        <f>IF($N12&gt;0,MAX($O$1:$O11)+1,"")</f>
        <v/>
      </c>
      <c r="P12" t="str">
        <f>IF($C12="","",IFERROR(INDEX(Работы!$D$2:$D$6000,MATCH($C12,Работы!$A$2:$A$6000,0)),""))</f>
        <v/>
      </c>
      <c r="Q12" t="str">
        <f t="shared" si="4"/>
        <v/>
      </c>
      <c r="R12" t="str">
        <f t="shared" si="5"/>
        <v/>
      </c>
      <c r="S12" t="str">
        <f>IF($P12="","",$P12&amp;" · "&amp;IFERROR(INDEX(Работы!$E$2:$E$6000,MATCH($C12,Работы!$A$2:$A$6000,0)),""))</f>
        <v/>
      </c>
    </row>
    <row r="13" spans="1:19" x14ac:dyDescent="0.3">
      <c r="A13" s="4"/>
      <c r="B13" s="4"/>
      <c r="C13" t="str">
        <f t="shared" si="0"/>
        <v/>
      </c>
      <c r="D13" s="5" t="str">
        <f>IF($C13="","",IF(AND(LEFT($F13,3)="ДОК",$H13&lt;&gt;""),IFERROR(INDEX(Документация!$G$2:$G$57,MATCH($H13,Документация!$F$2:$F$57,0)),"— вариант не найден —"),IFERROR(INDEX(Работы!$B$2:$B$6000,MATCH($C13,Работы!$A$2:$A$6000,0)),"— нет такого кода —")))</f>
        <v/>
      </c>
      <c r="E13" t="str">
        <f>IF($C13="","",IF(AND(LEFT($F13,3)="ДОК",$H13&lt;&gt;""),IFERROR(INDEX(Документация!$D$2:$D$57,MATCH($H13,Документация!$F$2:$F$57,0)),""),IFERROR(INDEX(Работы!$C$2:$C$6000,MATCH($C13,Работы!$A$2:$A$6000,0)),"")))</f>
        <v/>
      </c>
      <c r="F13" t="str">
        <f>IF($C13="","",IFERROR(INDEX(Работы!$G$2:$G$6000,MATCH($C13,Работы!$A$2:$A$6000,0))&amp;"",""))</f>
        <v/>
      </c>
      <c r="G13" s="4"/>
      <c r="H13" s="4"/>
      <c r="I13" s="5" t="str">
        <f>IF((LEFT($F13,3)="ДОК"),"",IF($H13="","",IFERROR(INDEX(Материалы!$B$2:$B$9000,MATCH($H13,Материалы!$M$2:$M$9000,0)),"")))</f>
        <v/>
      </c>
      <c r="J13" s="6">
        <f>IF(AND(LEFT($F13,3)="ДОК",$H13&lt;&gt;""),IFERROR(INDEX(Документация!$E$2:$E$57,MATCH($H13,Документация!$F$2:$F$57,0)),0),IFERROR(INDEX(Работы!$H$2:$H$6000,MATCH($C13,Работы!$A$2:$A$6000,0)),0))*(1-MEDIAN(0,N(ДисконтТендер),1))</f>
        <v>0</v>
      </c>
      <c r="K13" s="6">
        <f>IF(OR((LEFT($F13,3)="ДОК"),$H13=""),0,IFERROR(INDEX(Материалы!$H$2:$H$9000,MATCH($H13,Материалы!$M$2:$M$9000,0))*IF(INDEX(Материалы!$I$2:$I$9000,MATCH($H13,Материалы!$M$2:$M$9000,0))="USD",КурсUSD,IF(INDEX(Материалы!$I$2:$I$9000,MATCH($H13,Материалы!$M$2:$M$9000,0))="EUR",КурсEUR,1))*(1+IFERROR(INDEX(Работы!$I$2:$I$6000,MATCH($C13,Работы!$A$2:$A$6000,0))/100,0))*(1-MEDIAN(0,N(ДисконтТендер),1)),0))</f>
        <v>0</v>
      </c>
      <c r="L13" s="6">
        <f t="shared" si="1"/>
        <v>0</v>
      </c>
      <c r="M13" s="6">
        <f t="shared" si="2"/>
        <v>0</v>
      </c>
      <c r="N13" s="6">
        <f t="shared" si="3"/>
        <v>0</v>
      </c>
      <c r="O13" t="str">
        <f>IF($N13&gt;0,MAX($O$1:$O12)+1,"")</f>
        <v/>
      </c>
      <c r="P13" t="str">
        <f>IF($C13="","",IFERROR(INDEX(Работы!$D$2:$D$6000,MATCH($C13,Работы!$A$2:$A$6000,0)),""))</f>
        <v/>
      </c>
      <c r="Q13" t="str">
        <f t="shared" si="4"/>
        <v/>
      </c>
      <c r="R13" t="str">
        <f t="shared" si="5"/>
        <v/>
      </c>
      <c r="S13" t="str">
        <f>IF($P13="","",$P13&amp;" · "&amp;IFERROR(INDEX(Работы!$E$2:$E$6000,MATCH($C13,Работы!$A$2:$A$6000,0)),""))</f>
        <v/>
      </c>
    </row>
    <row r="14" spans="1:19" x14ac:dyDescent="0.3">
      <c r="A14" s="4"/>
      <c r="B14" s="4"/>
      <c r="C14" t="str">
        <f t="shared" si="0"/>
        <v/>
      </c>
      <c r="D14" s="5" t="str">
        <f>IF($C14="","",IF(AND(LEFT($F14,3)="ДОК",$H14&lt;&gt;""),IFERROR(INDEX(Документация!$G$2:$G$57,MATCH($H14,Документация!$F$2:$F$57,0)),"— вариант не найден —"),IFERROR(INDEX(Работы!$B$2:$B$6000,MATCH($C14,Работы!$A$2:$A$6000,0)),"— нет такого кода —")))</f>
        <v/>
      </c>
      <c r="E14" t="str">
        <f>IF($C14="","",IF(AND(LEFT($F14,3)="ДОК",$H14&lt;&gt;""),IFERROR(INDEX(Документация!$D$2:$D$57,MATCH($H14,Документация!$F$2:$F$57,0)),""),IFERROR(INDEX(Работы!$C$2:$C$6000,MATCH($C14,Работы!$A$2:$A$6000,0)),"")))</f>
        <v/>
      </c>
      <c r="F14" t="str">
        <f>IF($C14="","",IFERROR(INDEX(Работы!$G$2:$G$6000,MATCH($C14,Работы!$A$2:$A$6000,0))&amp;"",""))</f>
        <v/>
      </c>
      <c r="G14" s="4"/>
      <c r="H14" s="4"/>
      <c r="I14" s="5" t="str">
        <f>IF((LEFT($F14,3)="ДОК"),"",IF($H14="","",IFERROR(INDEX(Материалы!$B$2:$B$9000,MATCH($H14,Материалы!$M$2:$M$9000,0)),"")))</f>
        <v/>
      </c>
      <c r="J14" s="6">
        <f>IF(AND(LEFT($F14,3)="ДОК",$H14&lt;&gt;""),IFERROR(INDEX(Документация!$E$2:$E$57,MATCH($H14,Документация!$F$2:$F$57,0)),0),IFERROR(INDEX(Работы!$H$2:$H$6000,MATCH($C14,Работы!$A$2:$A$6000,0)),0))*(1-MEDIAN(0,N(ДисконтТендер),1))</f>
        <v>0</v>
      </c>
      <c r="K14" s="6">
        <f>IF(OR((LEFT($F14,3)="ДОК"),$H14=""),0,IFERROR(INDEX(Материалы!$H$2:$H$9000,MATCH($H14,Материалы!$M$2:$M$9000,0))*IF(INDEX(Материалы!$I$2:$I$9000,MATCH($H14,Материалы!$M$2:$M$9000,0))="USD",КурсUSD,IF(INDEX(Материалы!$I$2:$I$9000,MATCH($H14,Материалы!$M$2:$M$9000,0))="EUR",КурсEUR,1))*(1+IFERROR(INDEX(Работы!$I$2:$I$6000,MATCH($C14,Работы!$A$2:$A$6000,0))/100,0))*(1-MEDIAN(0,N(ДисконтТендер),1)),0))</f>
        <v>0</v>
      </c>
      <c r="L14" s="6">
        <f t="shared" si="1"/>
        <v>0</v>
      </c>
      <c r="M14" s="6">
        <f t="shared" si="2"/>
        <v>0</v>
      </c>
      <c r="N14" s="6">
        <f t="shared" si="3"/>
        <v>0</v>
      </c>
      <c r="O14" t="str">
        <f>IF($N14&gt;0,MAX($O$1:$O13)+1,"")</f>
        <v/>
      </c>
      <c r="P14" t="str">
        <f>IF($C14="","",IFERROR(INDEX(Работы!$D$2:$D$6000,MATCH($C14,Работы!$A$2:$A$6000,0)),""))</f>
        <v/>
      </c>
      <c r="Q14" t="str">
        <f t="shared" si="4"/>
        <v/>
      </c>
      <c r="R14" t="str">
        <f t="shared" si="5"/>
        <v/>
      </c>
      <c r="S14" t="str">
        <f>IF($P14="","",$P14&amp;" · "&amp;IFERROR(INDEX(Работы!$E$2:$E$6000,MATCH($C14,Работы!$A$2:$A$6000,0)),""))</f>
        <v/>
      </c>
    </row>
    <row r="15" spans="1:19" x14ac:dyDescent="0.3">
      <c r="A15" s="4"/>
      <c r="B15" s="4"/>
      <c r="C15" t="str">
        <f t="shared" si="0"/>
        <v/>
      </c>
      <c r="D15" s="5" t="str">
        <f>IF($C15="","",IF(AND(LEFT($F15,3)="ДОК",$H15&lt;&gt;""),IFERROR(INDEX(Документация!$G$2:$G$57,MATCH($H15,Документация!$F$2:$F$57,0)),"— вариант не найден —"),IFERROR(INDEX(Работы!$B$2:$B$6000,MATCH($C15,Работы!$A$2:$A$6000,0)),"— нет такого кода —")))</f>
        <v/>
      </c>
      <c r="E15" t="str">
        <f>IF($C15="","",IF(AND(LEFT($F15,3)="ДОК",$H15&lt;&gt;""),IFERROR(INDEX(Документация!$D$2:$D$57,MATCH($H15,Документация!$F$2:$F$57,0)),""),IFERROR(INDEX(Работы!$C$2:$C$6000,MATCH($C15,Работы!$A$2:$A$6000,0)),"")))</f>
        <v/>
      </c>
      <c r="F15" t="str">
        <f>IF($C15="","",IFERROR(INDEX(Работы!$G$2:$G$6000,MATCH($C15,Работы!$A$2:$A$6000,0))&amp;"",""))</f>
        <v/>
      </c>
      <c r="G15" s="4"/>
      <c r="H15" s="4"/>
      <c r="I15" s="5" t="str">
        <f>IF((LEFT($F15,3)="ДОК"),"",IF($H15="","",IFERROR(INDEX(Материалы!$B$2:$B$9000,MATCH($H15,Материалы!$M$2:$M$9000,0)),"")))</f>
        <v/>
      </c>
      <c r="J15" s="6">
        <f>IF(AND(LEFT($F15,3)="ДОК",$H15&lt;&gt;""),IFERROR(INDEX(Документация!$E$2:$E$57,MATCH($H15,Документация!$F$2:$F$57,0)),0),IFERROR(INDEX(Работы!$H$2:$H$6000,MATCH($C15,Работы!$A$2:$A$6000,0)),0))*(1-MEDIAN(0,N(ДисконтТендер),1))</f>
        <v>0</v>
      </c>
      <c r="K15" s="6">
        <f>IF(OR((LEFT($F15,3)="ДОК"),$H15=""),0,IFERROR(INDEX(Материалы!$H$2:$H$9000,MATCH($H15,Материалы!$M$2:$M$9000,0))*IF(INDEX(Материалы!$I$2:$I$9000,MATCH($H15,Материалы!$M$2:$M$9000,0))="USD",КурсUSD,IF(INDEX(Материалы!$I$2:$I$9000,MATCH($H15,Материалы!$M$2:$M$9000,0))="EUR",КурсEUR,1))*(1+IFERROR(INDEX(Работы!$I$2:$I$6000,MATCH($C15,Работы!$A$2:$A$6000,0))/100,0))*(1-MEDIAN(0,N(ДисконтТендер),1)),0))</f>
        <v>0</v>
      </c>
      <c r="L15" s="6">
        <f t="shared" si="1"/>
        <v>0</v>
      </c>
      <c r="M15" s="6">
        <f t="shared" si="2"/>
        <v>0</v>
      </c>
      <c r="N15" s="6">
        <f t="shared" si="3"/>
        <v>0</v>
      </c>
      <c r="O15" t="str">
        <f>IF($N15&gt;0,MAX($O$1:$O14)+1,"")</f>
        <v/>
      </c>
      <c r="P15" t="str">
        <f>IF($C15="","",IFERROR(INDEX(Работы!$D$2:$D$6000,MATCH($C15,Работы!$A$2:$A$6000,0)),""))</f>
        <v/>
      </c>
      <c r="Q15" t="str">
        <f t="shared" si="4"/>
        <v/>
      </c>
      <c r="R15" t="str">
        <f t="shared" si="5"/>
        <v/>
      </c>
      <c r="S15" t="str">
        <f>IF($P15="","",$P15&amp;" · "&amp;IFERROR(INDEX(Работы!$E$2:$E$6000,MATCH($C15,Работы!$A$2:$A$6000,0)),""))</f>
        <v/>
      </c>
    </row>
    <row r="16" spans="1:19" x14ac:dyDescent="0.3">
      <c r="A16" s="4"/>
      <c r="B16" s="4"/>
      <c r="C16" t="str">
        <f t="shared" si="0"/>
        <v/>
      </c>
      <c r="D16" s="5" t="str">
        <f>IF($C16="","",IF(AND(LEFT($F16,3)="ДОК",$H16&lt;&gt;""),IFERROR(INDEX(Документация!$G$2:$G$57,MATCH($H16,Документация!$F$2:$F$57,0)),"— вариант не найден —"),IFERROR(INDEX(Работы!$B$2:$B$6000,MATCH($C16,Работы!$A$2:$A$6000,0)),"— нет такого кода —")))</f>
        <v/>
      </c>
      <c r="E16" t="str">
        <f>IF($C16="","",IF(AND(LEFT($F16,3)="ДОК",$H16&lt;&gt;""),IFERROR(INDEX(Документация!$D$2:$D$57,MATCH($H16,Документация!$F$2:$F$57,0)),""),IFERROR(INDEX(Работы!$C$2:$C$6000,MATCH($C16,Работы!$A$2:$A$6000,0)),"")))</f>
        <v/>
      </c>
      <c r="F16" t="str">
        <f>IF($C16="","",IFERROR(INDEX(Работы!$G$2:$G$6000,MATCH($C16,Работы!$A$2:$A$6000,0))&amp;"",""))</f>
        <v/>
      </c>
      <c r="G16" s="4"/>
      <c r="H16" s="4"/>
      <c r="I16" s="5" t="str">
        <f>IF((LEFT($F16,3)="ДОК"),"",IF($H16="","",IFERROR(INDEX(Материалы!$B$2:$B$9000,MATCH($H16,Материалы!$M$2:$M$9000,0)),"")))</f>
        <v/>
      </c>
      <c r="J16" s="6">
        <f>IF(AND(LEFT($F16,3)="ДОК",$H16&lt;&gt;""),IFERROR(INDEX(Документация!$E$2:$E$57,MATCH($H16,Документация!$F$2:$F$57,0)),0),IFERROR(INDEX(Работы!$H$2:$H$6000,MATCH($C16,Работы!$A$2:$A$6000,0)),0))*(1-MEDIAN(0,N(ДисконтТендер),1))</f>
        <v>0</v>
      </c>
      <c r="K16" s="6">
        <f>IF(OR((LEFT($F16,3)="ДОК"),$H16=""),0,IFERROR(INDEX(Материалы!$H$2:$H$9000,MATCH($H16,Материалы!$M$2:$M$9000,0))*IF(INDEX(Материалы!$I$2:$I$9000,MATCH($H16,Материалы!$M$2:$M$9000,0))="USD",КурсUSD,IF(INDEX(Материалы!$I$2:$I$9000,MATCH($H16,Материалы!$M$2:$M$9000,0))="EUR",КурсEUR,1))*(1+IFERROR(INDEX(Работы!$I$2:$I$6000,MATCH($C16,Работы!$A$2:$A$6000,0))/100,0))*(1-MEDIAN(0,N(ДисконтТендер),1)),0))</f>
        <v>0</v>
      </c>
      <c r="L16" s="6">
        <f t="shared" si="1"/>
        <v>0</v>
      </c>
      <c r="M16" s="6">
        <f t="shared" si="2"/>
        <v>0</v>
      </c>
      <c r="N16" s="6">
        <f t="shared" si="3"/>
        <v>0</v>
      </c>
      <c r="O16" t="str">
        <f>IF($N16&gt;0,MAX($O$1:$O15)+1,"")</f>
        <v/>
      </c>
      <c r="P16" t="str">
        <f>IF($C16="","",IFERROR(INDEX(Работы!$D$2:$D$6000,MATCH($C16,Работы!$A$2:$A$6000,0)),""))</f>
        <v/>
      </c>
      <c r="Q16" t="str">
        <f t="shared" si="4"/>
        <v/>
      </c>
      <c r="R16" t="str">
        <f t="shared" si="5"/>
        <v/>
      </c>
      <c r="S16" t="str">
        <f>IF($P16="","",$P16&amp;" · "&amp;IFERROR(INDEX(Работы!$E$2:$E$6000,MATCH($C16,Работы!$A$2:$A$6000,0)),""))</f>
        <v/>
      </c>
    </row>
    <row r="17" spans="1:19" x14ac:dyDescent="0.3">
      <c r="A17" s="4"/>
      <c r="B17" s="4"/>
      <c r="C17" t="str">
        <f t="shared" si="0"/>
        <v/>
      </c>
      <c r="D17" s="5" t="str">
        <f>IF($C17="","",IF(AND(LEFT($F17,3)="ДОК",$H17&lt;&gt;""),IFERROR(INDEX(Документация!$G$2:$G$57,MATCH($H17,Документация!$F$2:$F$57,0)),"— вариант не найден —"),IFERROR(INDEX(Работы!$B$2:$B$6000,MATCH($C17,Работы!$A$2:$A$6000,0)),"— нет такого кода —")))</f>
        <v/>
      </c>
      <c r="E17" t="str">
        <f>IF($C17="","",IF(AND(LEFT($F17,3)="ДОК",$H17&lt;&gt;""),IFERROR(INDEX(Документация!$D$2:$D$57,MATCH($H17,Документация!$F$2:$F$57,0)),""),IFERROR(INDEX(Работы!$C$2:$C$6000,MATCH($C17,Работы!$A$2:$A$6000,0)),"")))</f>
        <v/>
      </c>
      <c r="F17" t="str">
        <f>IF($C17="","",IFERROR(INDEX(Работы!$G$2:$G$6000,MATCH($C17,Работы!$A$2:$A$6000,0))&amp;"",""))</f>
        <v/>
      </c>
      <c r="G17" s="4"/>
      <c r="H17" s="4"/>
      <c r="I17" s="5" t="str">
        <f>IF((LEFT($F17,3)="ДОК"),"",IF($H17="","",IFERROR(INDEX(Материалы!$B$2:$B$9000,MATCH($H17,Материалы!$M$2:$M$9000,0)),"")))</f>
        <v/>
      </c>
      <c r="J17" s="6">
        <f>IF(AND(LEFT($F17,3)="ДОК",$H17&lt;&gt;""),IFERROR(INDEX(Документация!$E$2:$E$57,MATCH($H17,Документация!$F$2:$F$57,0)),0),IFERROR(INDEX(Работы!$H$2:$H$6000,MATCH($C17,Работы!$A$2:$A$6000,0)),0))*(1-MEDIAN(0,N(ДисконтТендер),1))</f>
        <v>0</v>
      </c>
      <c r="K17" s="6">
        <f>IF(OR((LEFT($F17,3)="ДОК"),$H17=""),0,IFERROR(INDEX(Материалы!$H$2:$H$9000,MATCH($H17,Материалы!$M$2:$M$9000,0))*IF(INDEX(Материалы!$I$2:$I$9000,MATCH($H17,Материалы!$M$2:$M$9000,0))="USD",КурсUSD,IF(INDEX(Материалы!$I$2:$I$9000,MATCH($H17,Материалы!$M$2:$M$9000,0))="EUR",КурсEUR,1))*(1+IFERROR(INDEX(Работы!$I$2:$I$6000,MATCH($C17,Работы!$A$2:$A$6000,0))/100,0))*(1-MEDIAN(0,N(ДисконтТендер),1)),0))</f>
        <v>0</v>
      </c>
      <c r="L17" s="6">
        <f t="shared" si="1"/>
        <v>0</v>
      </c>
      <c r="M17" s="6">
        <f t="shared" si="2"/>
        <v>0</v>
      </c>
      <c r="N17" s="6">
        <f t="shared" si="3"/>
        <v>0</v>
      </c>
      <c r="O17" t="str">
        <f>IF($N17&gt;0,MAX($O$1:$O16)+1,"")</f>
        <v/>
      </c>
      <c r="P17" t="str">
        <f>IF($C17="","",IFERROR(INDEX(Работы!$D$2:$D$6000,MATCH($C17,Работы!$A$2:$A$6000,0)),""))</f>
        <v/>
      </c>
      <c r="Q17" t="str">
        <f t="shared" si="4"/>
        <v/>
      </c>
      <c r="R17" t="str">
        <f t="shared" si="5"/>
        <v/>
      </c>
      <c r="S17" t="str">
        <f>IF($P17="","",$P17&amp;" · "&amp;IFERROR(INDEX(Работы!$E$2:$E$6000,MATCH($C17,Работы!$A$2:$A$6000,0)),""))</f>
        <v/>
      </c>
    </row>
    <row r="18" spans="1:19" x14ac:dyDescent="0.3">
      <c r="A18" s="4"/>
      <c r="B18" s="4"/>
      <c r="C18" t="str">
        <f t="shared" si="0"/>
        <v/>
      </c>
      <c r="D18" s="5" t="str">
        <f>IF($C18="","",IF(AND(LEFT($F18,3)="ДОК",$H18&lt;&gt;""),IFERROR(INDEX(Документация!$G$2:$G$57,MATCH($H18,Документация!$F$2:$F$57,0)),"— вариант не найден —"),IFERROR(INDEX(Работы!$B$2:$B$6000,MATCH($C18,Работы!$A$2:$A$6000,0)),"— нет такого кода —")))</f>
        <v/>
      </c>
      <c r="E18" t="str">
        <f>IF($C18="","",IF(AND(LEFT($F18,3)="ДОК",$H18&lt;&gt;""),IFERROR(INDEX(Документация!$D$2:$D$57,MATCH($H18,Документация!$F$2:$F$57,0)),""),IFERROR(INDEX(Работы!$C$2:$C$6000,MATCH($C18,Работы!$A$2:$A$6000,0)),"")))</f>
        <v/>
      </c>
      <c r="F18" t="str">
        <f>IF($C18="","",IFERROR(INDEX(Работы!$G$2:$G$6000,MATCH($C18,Работы!$A$2:$A$6000,0))&amp;"",""))</f>
        <v/>
      </c>
      <c r="G18" s="4"/>
      <c r="H18" s="4"/>
      <c r="I18" s="5" t="str">
        <f>IF((LEFT($F18,3)="ДОК"),"",IF($H18="","",IFERROR(INDEX(Материалы!$B$2:$B$9000,MATCH($H18,Материалы!$M$2:$M$9000,0)),"")))</f>
        <v/>
      </c>
      <c r="J18" s="6">
        <f>IF(AND(LEFT($F18,3)="ДОК",$H18&lt;&gt;""),IFERROR(INDEX(Документация!$E$2:$E$57,MATCH($H18,Документация!$F$2:$F$57,0)),0),IFERROR(INDEX(Работы!$H$2:$H$6000,MATCH($C18,Работы!$A$2:$A$6000,0)),0))*(1-MEDIAN(0,N(ДисконтТендер),1))</f>
        <v>0</v>
      </c>
      <c r="K18" s="6">
        <f>IF(OR((LEFT($F18,3)="ДОК"),$H18=""),0,IFERROR(INDEX(Материалы!$H$2:$H$9000,MATCH($H18,Материалы!$M$2:$M$9000,0))*IF(INDEX(Материалы!$I$2:$I$9000,MATCH($H18,Материалы!$M$2:$M$9000,0))="USD",КурсUSD,IF(INDEX(Материалы!$I$2:$I$9000,MATCH($H18,Материалы!$M$2:$M$9000,0))="EUR",КурсEUR,1))*(1+IFERROR(INDEX(Работы!$I$2:$I$6000,MATCH($C18,Работы!$A$2:$A$6000,0))/100,0))*(1-MEDIAN(0,N(ДисконтТендер),1)),0))</f>
        <v>0</v>
      </c>
      <c r="L18" s="6">
        <f t="shared" si="1"/>
        <v>0</v>
      </c>
      <c r="M18" s="6">
        <f t="shared" si="2"/>
        <v>0</v>
      </c>
      <c r="N18" s="6">
        <f t="shared" si="3"/>
        <v>0</v>
      </c>
      <c r="O18" t="str">
        <f>IF($N18&gt;0,MAX($O$1:$O17)+1,"")</f>
        <v/>
      </c>
      <c r="P18" t="str">
        <f>IF($C18="","",IFERROR(INDEX(Работы!$D$2:$D$6000,MATCH($C18,Работы!$A$2:$A$6000,0)),""))</f>
        <v/>
      </c>
      <c r="Q18" t="str">
        <f t="shared" si="4"/>
        <v/>
      </c>
      <c r="R18" t="str">
        <f t="shared" si="5"/>
        <v/>
      </c>
      <c r="S18" t="str">
        <f>IF($P18="","",$P18&amp;" · "&amp;IFERROR(INDEX(Работы!$E$2:$E$6000,MATCH($C18,Работы!$A$2:$A$6000,0)),""))</f>
        <v/>
      </c>
    </row>
    <row r="19" spans="1:19" x14ac:dyDescent="0.3">
      <c r="A19" s="4"/>
      <c r="B19" s="4"/>
      <c r="C19" t="str">
        <f t="shared" si="0"/>
        <v/>
      </c>
      <c r="D19" s="5" t="str">
        <f>IF($C19="","",IF(AND(LEFT($F19,3)="ДОК",$H19&lt;&gt;""),IFERROR(INDEX(Документация!$G$2:$G$57,MATCH($H19,Документация!$F$2:$F$57,0)),"— вариант не найден —"),IFERROR(INDEX(Работы!$B$2:$B$6000,MATCH($C19,Работы!$A$2:$A$6000,0)),"— нет такого кода —")))</f>
        <v/>
      </c>
      <c r="E19" t="str">
        <f>IF($C19="","",IF(AND(LEFT($F19,3)="ДОК",$H19&lt;&gt;""),IFERROR(INDEX(Документация!$D$2:$D$57,MATCH($H19,Документация!$F$2:$F$57,0)),""),IFERROR(INDEX(Работы!$C$2:$C$6000,MATCH($C19,Работы!$A$2:$A$6000,0)),"")))</f>
        <v/>
      </c>
      <c r="F19" t="str">
        <f>IF($C19="","",IFERROR(INDEX(Работы!$G$2:$G$6000,MATCH($C19,Работы!$A$2:$A$6000,0))&amp;"",""))</f>
        <v/>
      </c>
      <c r="G19" s="4"/>
      <c r="H19" s="4"/>
      <c r="I19" s="5" t="str">
        <f>IF((LEFT($F19,3)="ДОК"),"",IF($H19="","",IFERROR(INDEX(Материалы!$B$2:$B$9000,MATCH($H19,Материалы!$M$2:$M$9000,0)),"")))</f>
        <v/>
      </c>
      <c r="J19" s="6">
        <f>IF(AND(LEFT($F19,3)="ДОК",$H19&lt;&gt;""),IFERROR(INDEX(Документация!$E$2:$E$57,MATCH($H19,Документация!$F$2:$F$57,0)),0),IFERROR(INDEX(Работы!$H$2:$H$6000,MATCH($C19,Работы!$A$2:$A$6000,0)),0))*(1-MEDIAN(0,N(ДисконтТендер),1))</f>
        <v>0</v>
      </c>
      <c r="K19" s="6">
        <f>IF(OR((LEFT($F19,3)="ДОК"),$H19=""),0,IFERROR(INDEX(Материалы!$H$2:$H$9000,MATCH($H19,Материалы!$M$2:$M$9000,0))*IF(INDEX(Материалы!$I$2:$I$9000,MATCH($H19,Материалы!$M$2:$M$9000,0))="USD",КурсUSD,IF(INDEX(Материалы!$I$2:$I$9000,MATCH($H19,Материалы!$M$2:$M$9000,0))="EUR",КурсEUR,1))*(1+IFERROR(INDEX(Работы!$I$2:$I$6000,MATCH($C19,Работы!$A$2:$A$6000,0))/100,0))*(1-MEDIAN(0,N(ДисконтТендер),1)),0))</f>
        <v>0</v>
      </c>
      <c r="L19" s="6">
        <f t="shared" si="1"/>
        <v>0</v>
      </c>
      <c r="M19" s="6">
        <f t="shared" si="2"/>
        <v>0</v>
      </c>
      <c r="N19" s="6">
        <f t="shared" si="3"/>
        <v>0</v>
      </c>
      <c r="O19" t="str">
        <f>IF($N19&gt;0,MAX($O$1:$O18)+1,"")</f>
        <v/>
      </c>
      <c r="P19" t="str">
        <f>IF($C19="","",IFERROR(INDEX(Работы!$D$2:$D$6000,MATCH($C19,Работы!$A$2:$A$6000,0)),""))</f>
        <v/>
      </c>
      <c r="Q19" t="str">
        <f t="shared" si="4"/>
        <v/>
      </c>
      <c r="R19" t="str">
        <f t="shared" si="5"/>
        <v/>
      </c>
      <c r="S19" t="str">
        <f>IF($P19="","",$P19&amp;" · "&amp;IFERROR(INDEX(Работы!$E$2:$E$6000,MATCH($C19,Работы!$A$2:$A$6000,0)),""))</f>
        <v/>
      </c>
    </row>
    <row r="20" spans="1:19" x14ac:dyDescent="0.3">
      <c r="A20" s="4"/>
      <c r="B20" s="4"/>
      <c r="C20" t="str">
        <f t="shared" si="0"/>
        <v/>
      </c>
      <c r="D20" s="5" t="str">
        <f>IF($C20="","",IF(AND(LEFT($F20,3)="ДОК",$H20&lt;&gt;""),IFERROR(INDEX(Документация!$G$2:$G$57,MATCH($H20,Документация!$F$2:$F$57,0)),"— вариант не найден —"),IFERROR(INDEX(Работы!$B$2:$B$6000,MATCH($C20,Работы!$A$2:$A$6000,0)),"— нет такого кода —")))</f>
        <v/>
      </c>
      <c r="E20" t="str">
        <f>IF($C20="","",IF(AND(LEFT($F20,3)="ДОК",$H20&lt;&gt;""),IFERROR(INDEX(Документация!$D$2:$D$57,MATCH($H20,Документация!$F$2:$F$57,0)),""),IFERROR(INDEX(Работы!$C$2:$C$6000,MATCH($C20,Работы!$A$2:$A$6000,0)),"")))</f>
        <v/>
      </c>
      <c r="F20" t="str">
        <f>IF($C20="","",IFERROR(INDEX(Работы!$G$2:$G$6000,MATCH($C20,Работы!$A$2:$A$6000,0))&amp;"",""))</f>
        <v/>
      </c>
      <c r="G20" s="4"/>
      <c r="H20" s="4"/>
      <c r="I20" s="5" t="str">
        <f>IF((LEFT($F20,3)="ДОК"),"",IF($H20="","",IFERROR(INDEX(Материалы!$B$2:$B$9000,MATCH($H20,Материалы!$M$2:$M$9000,0)),"")))</f>
        <v/>
      </c>
      <c r="J20" s="6">
        <f>IF(AND(LEFT($F20,3)="ДОК",$H20&lt;&gt;""),IFERROR(INDEX(Документация!$E$2:$E$57,MATCH($H20,Документация!$F$2:$F$57,0)),0),IFERROR(INDEX(Работы!$H$2:$H$6000,MATCH($C20,Работы!$A$2:$A$6000,0)),0))*(1-MEDIAN(0,N(ДисконтТендер),1))</f>
        <v>0</v>
      </c>
      <c r="K20" s="6">
        <f>IF(OR((LEFT($F20,3)="ДОК"),$H20=""),0,IFERROR(INDEX(Материалы!$H$2:$H$9000,MATCH($H20,Материалы!$M$2:$M$9000,0))*IF(INDEX(Материалы!$I$2:$I$9000,MATCH($H20,Материалы!$M$2:$M$9000,0))="USD",КурсUSD,IF(INDEX(Материалы!$I$2:$I$9000,MATCH($H20,Материалы!$M$2:$M$9000,0))="EUR",КурсEUR,1))*(1+IFERROR(INDEX(Работы!$I$2:$I$6000,MATCH($C20,Работы!$A$2:$A$6000,0))/100,0))*(1-MEDIAN(0,N(ДисконтТендер),1)),0))</f>
        <v>0</v>
      </c>
      <c r="L20" s="6">
        <f t="shared" si="1"/>
        <v>0</v>
      </c>
      <c r="M20" s="6">
        <f t="shared" si="2"/>
        <v>0</v>
      </c>
      <c r="N20" s="6">
        <f t="shared" si="3"/>
        <v>0</v>
      </c>
      <c r="O20" t="str">
        <f>IF($N20&gt;0,MAX($O$1:$O19)+1,"")</f>
        <v/>
      </c>
      <c r="P20" t="str">
        <f>IF($C20="","",IFERROR(INDEX(Работы!$D$2:$D$6000,MATCH($C20,Работы!$A$2:$A$6000,0)),""))</f>
        <v/>
      </c>
      <c r="Q20" t="str">
        <f t="shared" si="4"/>
        <v/>
      </c>
      <c r="R20" t="str">
        <f t="shared" si="5"/>
        <v/>
      </c>
      <c r="S20" t="str">
        <f>IF($P20="","",$P20&amp;" · "&amp;IFERROR(INDEX(Работы!$E$2:$E$6000,MATCH($C20,Работы!$A$2:$A$6000,0)),""))</f>
        <v/>
      </c>
    </row>
    <row r="21" spans="1:19" x14ac:dyDescent="0.3">
      <c r="A21" s="4"/>
      <c r="B21" s="4"/>
      <c r="C21" t="str">
        <f t="shared" si="0"/>
        <v/>
      </c>
      <c r="D21" s="5" t="str">
        <f>IF($C21="","",IF(AND(LEFT($F21,3)="ДОК",$H21&lt;&gt;""),IFERROR(INDEX(Документация!$G$2:$G$57,MATCH($H21,Документация!$F$2:$F$57,0)),"— вариант не найден —"),IFERROR(INDEX(Работы!$B$2:$B$6000,MATCH($C21,Работы!$A$2:$A$6000,0)),"— нет такого кода —")))</f>
        <v/>
      </c>
      <c r="E21" t="str">
        <f>IF($C21="","",IF(AND(LEFT($F21,3)="ДОК",$H21&lt;&gt;""),IFERROR(INDEX(Документация!$D$2:$D$57,MATCH($H21,Документация!$F$2:$F$57,0)),""),IFERROR(INDEX(Работы!$C$2:$C$6000,MATCH($C21,Работы!$A$2:$A$6000,0)),"")))</f>
        <v/>
      </c>
      <c r="F21" t="str">
        <f>IF($C21="","",IFERROR(INDEX(Работы!$G$2:$G$6000,MATCH($C21,Работы!$A$2:$A$6000,0))&amp;"",""))</f>
        <v/>
      </c>
      <c r="G21" s="4"/>
      <c r="H21" s="4"/>
      <c r="I21" s="5" t="str">
        <f>IF((LEFT($F21,3)="ДОК"),"",IF($H21="","",IFERROR(INDEX(Материалы!$B$2:$B$9000,MATCH($H21,Материалы!$M$2:$M$9000,0)),"")))</f>
        <v/>
      </c>
      <c r="J21" s="6">
        <f>IF(AND(LEFT($F21,3)="ДОК",$H21&lt;&gt;""),IFERROR(INDEX(Документация!$E$2:$E$57,MATCH($H21,Документация!$F$2:$F$57,0)),0),IFERROR(INDEX(Работы!$H$2:$H$6000,MATCH($C21,Работы!$A$2:$A$6000,0)),0))*(1-MEDIAN(0,N(ДисконтТендер),1))</f>
        <v>0</v>
      </c>
      <c r="K21" s="6">
        <f>IF(OR((LEFT($F21,3)="ДОК"),$H21=""),0,IFERROR(INDEX(Материалы!$H$2:$H$9000,MATCH($H21,Материалы!$M$2:$M$9000,0))*IF(INDEX(Материалы!$I$2:$I$9000,MATCH($H21,Материалы!$M$2:$M$9000,0))="USD",КурсUSD,IF(INDEX(Материалы!$I$2:$I$9000,MATCH($H21,Материалы!$M$2:$M$9000,0))="EUR",КурсEUR,1))*(1+IFERROR(INDEX(Работы!$I$2:$I$6000,MATCH($C21,Работы!$A$2:$A$6000,0))/100,0))*(1-MEDIAN(0,N(ДисконтТендер),1)),0))</f>
        <v>0</v>
      </c>
      <c r="L21" s="6">
        <f t="shared" si="1"/>
        <v>0</v>
      </c>
      <c r="M21" s="6">
        <f t="shared" si="2"/>
        <v>0</v>
      </c>
      <c r="N21" s="6">
        <f t="shared" si="3"/>
        <v>0</v>
      </c>
      <c r="O21" t="str">
        <f>IF($N21&gt;0,MAX($O$1:$O20)+1,"")</f>
        <v/>
      </c>
      <c r="P21" t="str">
        <f>IF($C21="","",IFERROR(INDEX(Работы!$D$2:$D$6000,MATCH($C21,Работы!$A$2:$A$6000,0)),""))</f>
        <v/>
      </c>
      <c r="Q21" t="str">
        <f t="shared" si="4"/>
        <v/>
      </c>
      <c r="R21" t="str">
        <f t="shared" si="5"/>
        <v/>
      </c>
      <c r="S21" t="str">
        <f>IF($P21="","",$P21&amp;" · "&amp;IFERROR(INDEX(Работы!$E$2:$E$6000,MATCH($C21,Работы!$A$2:$A$6000,0)),""))</f>
        <v/>
      </c>
    </row>
    <row r="22" spans="1:19" x14ac:dyDescent="0.3">
      <c r="A22" s="4"/>
      <c r="B22" s="4"/>
      <c r="C22" t="str">
        <f t="shared" si="0"/>
        <v/>
      </c>
      <c r="D22" s="5" t="str">
        <f>IF($C22="","",IF(AND(LEFT($F22,3)="ДОК",$H22&lt;&gt;""),IFERROR(INDEX(Документация!$G$2:$G$57,MATCH($H22,Документация!$F$2:$F$57,0)),"— вариант не найден —"),IFERROR(INDEX(Работы!$B$2:$B$6000,MATCH($C22,Работы!$A$2:$A$6000,0)),"— нет такого кода —")))</f>
        <v/>
      </c>
      <c r="E22" t="str">
        <f>IF($C22="","",IF(AND(LEFT($F22,3)="ДОК",$H22&lt;&gt;""),IFERROR(INDEX(Документация!$D$2:$D$57,MATCH($H22,Документация!$F$2:$F$57,0)),""),IFERROR(INDEX(Работы!$C$2:$C$6000,MATCH($C22,Работы!$A$2:$A$6000,0)),"")))</f>
        <v/>
      </c>
      <c r="F22" t="str">
        <f>IF($C22="","",IFERROR(INDEX(Работы!$G$2:$G$6000,MATCH($C22,Работы!$A$2:$A$6000,0))&amp;"",""))</f>
        <v/>
      </c>
      <c r="G22" s="4"/>
      <c r="H22" s="4"/>
      <c r="I22" s="5" t="str">
        <f>IF((LEFT($F22,3)="ДОК"),"",IF($H22="","",IFERROR(INDEX(Материалы!$B$2:$B$9000,MATCH($H22,Материалы!$M$2:$M$9000,0)),"")))</f>
        <v/>
      </c>
      <c r="J22" s="6">
        <f>IF(AND(LEFT($F22,3)="ДОК",$H22&lt;&gt;""),IFERROR(INDEX(Документация!$E$2:$E$57,MATCH($H22,Документация!$F$2:$F$57,0)),0),IFERROR(INDEX(Работы!$H$2:$H$6000,MATCH($C22,Работы!$A$2:$A$6000,0)),0))*(1-MEDIAN(0,N(ДисконтТендер),1))</f>
        <v>0</v>
      </c>
      <c r="K22" s="6">
        <f>IF(OR((LEFT($F22,3)="ДОК"),$H22=""),0,IFERROR(INDEX(Материалы!$H$2:$H$9000,MATCH($H22,Материалы!$M$2:$M$9000,0))*IF(INDEX(Материалы!$I$2:$I$9000,MATCH($H22,Материалы!$M$2:$M$9000,0))="USD",КурсUSD,IF(INDEX(Материалы!$I$2:$I$9000,MATCH($H22,Материалы!$M$2:$M$9000,0))="EUR",КурсEUR,1))*(1+IFERROR(INDEX(Работы!$I$2:$I$6000,MATCH($C22,Работы!$A$2:$A$6000,0))/100,0))*(1-MEDIAN(0,N(ДисконтТендер),1)),0))</f>
        <v>0</v>
      </c>
      <c r="L22" s="6">
        <f t="shared" si="1"/>
        <v>0</v>
      </c>
      <c r="M22" s="6">
        <f t="shared" si="2"/>
        <v>0</v>
      </c>
      <c r="N22" s="6">
        <f t="shared" si="3"/>
        <v>0</v>
      </c>
      <c r="O22" t="str">
        <f>IF($N22&gt;0,MAX($O$1:$O21)+1,"")</f>
        <v/>
      </c>
      <c r="P22" t="str">
        <f>IF($C22="","",IFERROR(INDEX(Работы!$D$2:$D$6000,MATCH($C22,Работы!$A$2:$A$6000,0)),""))</f>
        <v/>
      </c>
      <c r="Q22" t="str">
        <f t="shared" si="4"/>
        <v/>
      </c>
      <c r="R22" t="str">
        <f t="shared" si="5"/>
        <v/>
      </c>
      <c r="S22" t="str">
        <f>IF($P22="","",$P22&amp;" · "&amp;IFERROR(INDEX(Работы!$E$2:$E$6000,MATCH($C22,Работы!$A$2:$A$6000,0)),""))</f>
        <v/>
      </c>
    </row>
    <row r="23" spans="1:19" x14ac:dyDescent="0.3">
      <c r="A23" s="4"/>
      <c r="B23" s="4"/>
      <c r="C23" t="str">
        <f t="shared" si="0"/>
        <v/>
      </c>
      <c r="D23" s="5" t="str">
        <f>IF($C23="","",IF(AND(LEFT($F23,3)="ДОК",$H23&lt;&gt;""),IFERROR(INDEX(Документация!$G$2:$G$57,MATCH($H23,Документация!$F$2:$F$57,0)),"— вариант не найден —"),IFERROR(INDEX(Работы!$B$2:$B$6000,MATCH($C23,Работы!$A$2:$A$6000,0)),"— нет такого кода —")))</f>
        <v/>
      </c>
      <c r="E23" t="str">
        <f>IF($C23="","",IF(AND(LEFT($F23,3)="ДОК",$H23&lt;&gt;""),IFERROR(INDEX(Документация!$D$2:$D$57,MATCH($H23,Документация!$F$2:$F$57,0)),""),IFERROR(INDEX(Работы!$C$2:$C$6000,MATCH($C23,Работы!$A$2:$A$6000,0)),"")))</f>
        <v/>
      </c>
      <c r="F23" t="str">
        <f>IF($C23="","",IFERROR(INDEX(Работы!$G$2:$G$6000,MATCH($C23,Работы!$A$2:$A$6000,0))&amp;"",""))</f>
        <v/>
      </c>
      <c r="G23" s="4"/>
      <c r="H23" s="4"/>
      <c r="I23" s="5" t="str">
        <f>IF((LEFT($F23,3)="ДОК"),"",IF($H23="","",IFERROR(INDEX(Материалы!$B$2:$B$9000,MATCH($H23,Материалы!$M$2:$M$9000,0)),"")))</f>
        <v/>
      </c>
      <c r="J23" s="6">
        <f>IF(AND(LEFT($F23,3)="ДОК",$H23&lt;&gt;""),IFERROR(INDEX(Документация!$E$2:$E$57,MATCH($H23,Документация!$F$2:$F$57,0)),0),IFERROR(INDEX(Работы!$H$2:$H$6000,MATCH($C23,Работы!$A$2:$A$6000,0)),0))*(1-MEDIAN(0,N(ДисконтТендер),1))</f>
        <v>0</v>
      </c>
      <c r="K23" s="6">
        <f>IF(OR((LEFT($F23,3)="ДОК"),$H23=""),0,IFERROR(INDEX(Материалы!$H$2:$H$9000,MATCH($H23,Материалы!$M$2:$M$9000,0))*IF(INDEX(Материалы!$I$2:$I$9000,MATCH($H23,Материалы!$M$2:$M$9000,0))="USD",КурсUSD,IF(INDEX(Материалы!$I$2:$I$9000,MATCH($H23,Материалы!$M$2:$M$9000,0))="EUR",КурсEUR,1))*(1+IFERROR(INDEX(Работы!$I$2:$I$6000,MATCH($C23,Работы!$A$2:$A$6000,0))/100,0))*(1-MEDIAN(0,N(ДисконтТендер),1)),0))</f>
        <v>0</v>
      </c>
      <c r="L23" s="6">
        <f t="shared" si="1"/>
        <v>0</v>
      </c>
      <c r="M23" s="6">
        <f t="shared" si="2"/>
        <v>0</v>
      </c>
      <c r="N23" s="6">
        <f t="shared" si="3"/>
        <v>0</v>
      </c>
      <c r="O23" t="str">
        <f>IF($N23&gt;0,MAX($O$1:$O22)+1,"")</f>
        <v/>
      </c>
      <c r="P23" t="str">
        <f>IF($C23="","",IFERROR(INDEX(Работы!$D$2:$D$6000,MATCH($C23,Работы!$A$2:$A$6000,0)),""))</f>
        <v/>
      </c>
      <c r="Q23" t="str">
        <f t="shared" si="4"/>
        <v/>
      </c>
      <c r="R23" t="str">
        <f t="shared" si="5"/>
        <v/>
      </c>
      <c r="S23" t="str">
        <f>IF($P23="","",$P23&amp;" · "&amp;IFERROR(INDEX(Работы!$E$2:$E$6000,MATCH($C23,Работы!$A$2:$A$6000,0)),""))</f>
        <v/>
      </c>
    </row>
    <row r="24" spans="1:19" x14ac:dyDescent="0.3">
      <c r="A24" s="4"/>
      <c r="B24" s="4"/>
      <c r="C24" t="str">
        <f t="shared" si="0"/>
        <v/>
      </c>
      <c r="D24" s="5" t="str">
        <f>IF($C24="","",IF(AND(LEFT($F24,3)="ДОК",$H24&lt;&gt;""),IFERROR(INDEX(Документация!$G$2:$G$57,MATCH($H24,Документация!$F$2:$F$57,0)),"— вариант не найден —"),IFERROR(INDEX(Работы!$B$2:$B$6000,MATCH($C24,Работы!$A$2:$A$6000,0)),"— нет такого кода —")))</f>
        <v/>
      </c>
      <c r="E24" t="str">
        <f>IF($C24="","",IF(AND(LEFT($F24,3)="ДОК",$H24&lt;&gt;""),IFERROR(INDEX(Документация!$D$2:$D$57,MATCH($H24,Документация!$F$2:$F$57,0)),""),IFERROR(INDEX(Работы!$C$2:$C$6000,MATCH($C24,Работы!$A$2:$A$6000,0)),"")))</f>
        <v/>
      </c>
      <c r="F24" t="str">
        <f>IF($C24="","",IFERROR(INDEX(Работы!$G$2:$G$6000,MATCH($C24,Работы!$A$2:$A$6000,0))&amp;"",""))</f>
        <v/>
      </c>
      <c r="G24" s="4"/>
      <c r="H24" s="4"/>
      <c r="I24" s="5" t="str">
        <f>IF((LEFT($F24,3)="ДОК"),"",IF($H24="","",IFERROR(INDEX(Материалы!$B$2:$B$9000,MATCH($H24,Материалы!$M$2:$M$9000,0)),"")))</f>
        <v/>
      </c>
      <c r="J24" s="6">
        <f>IF(AND(LEFT($F24,3)="ДОК",$H24&lt;&gt;""),IFERROR(INDEX(Документация!$E$2:$E$57,MATCH($H24,Документация!$F$2:$F$57,0)),0),IFERROR(INDEX(Работы!$H$2:$H$6000,MATCH($C24,Работы!$A$2:$A$6000,0)),0))*(1-MEDIAN(0,N(ДисконтТендер),1))</f>
        <v>0</v>
      </c>
      <c r="K24" s="6">
        <f>IF(OR((LEFT($F24,3)="ДОК"),$H24=""),0,IFERROR(INDEX(Материалы!$H$2:$H$9000,MATCH($H24,Материалы!$M$2:$M$9000,0))*IF(INDEX(Материалы!$I$2:$I$9000,MATCH($H24,Материалы!$M$2:$M$9000,0))="USD",КурсUSD,IF(INDEX(Материалы!$I$2:$I$9000,MATCH($H24,Материалы!$M$2:$M$9000,0))="EUR",КурсEUR,1))*(1+IFERROR(INDEX(Работы!$I$2:$I$6000,MATCH($C24,Работы!$A$2:$A$6000,0))/100,0))*(1-MEDIAN(0,N(ДисконтТендер),1)),0))</f>
        <v>0</v>
      </c>
      <c r="L24" s="6">
        <f t="shared" si="1"/>
        <v>0</v>
      </c>
      <c r="M24" s="6">
        <f t="shared" si="2"/>
        <v>0</v>
      </c>
      <c r="N24" s="6">
        <f t="shared" si="3"/>
        <v>0</v>
      </c>
      <c r="O24" t="str">
        <f>IF($N24&gt;0,MAX($O$1:$O23)+1,"")</f>
        <v/>
      </c>
      <c r="P24" t="str">
        <f>IF($C24="","",IFERROR(INDEX(Работы!$D$2:$D$6000,MATCH($C24,Работы!$A$2:$A$6000,0)),""))</f>
        <v/>
      </c>
      <c r="Q24" t="str">
        <f t="shared" si="4"/>
        <v/>
      </c>
      <c r="R24" t="str">
        <f t="shared" si="5"/>
        <v/>
      </c>
      <c r="S24" t="str">
        <f>IF($P24="","",$P24&amp;" · "&amp;IFERROR(INDEX(Работы!$E$2:$E$6000,MATCH($C24,Работы!$A$2:$A$6000,0)),""))</f>
        <v/>
      </c>
    </row>
    <row r="25" spans="1:19" x14ac:dyDescent="0.3">
      <c r="A25" s="4"/>
      <c r="B25" s="4"/>
      <c r="C25" t="str">
        <f t="shared" si="0"/>
        <v/>
      </c>
      <c r="D25" s="5" t="str">
        <f>IF($C25="","",IF(AND(LEFT($F25,3)="ДОК",$H25&lt;&gt;""),IFERROR(INDEX(Документация!$G$2:$G$57,MATCH($H25,Документация!$F$2:$F$57,0)),"— вариант не найден —"),IFERROR(INDEX(Работы!$B$2:$B$6000,MATCH($C25,Работы!$A$2:$A$6000,0)),"— нет такого кода —")))</f>
        <v/>
      </c>
      <c r="E25" t="str">
        <f>IF($C25="","",IF(AND(LEFT($F25,3)="ДОК",$H25&lt;&gt;""),IFERROR(INDEX(Документация!$D$2:$D$57,MATCH($H25,Документация!$F$2:$F$57,0)),""),IFERROR(INDEX(Работы!$C$2:$C$6000,MATCH($C25,Работы!$A$2:$A$6000,0)),"")))</f>
        <v/>
      </c>
      <c r="F25" t="str">
        <f>IF($C25="","",IFERROR(INDEX(Работы!$G$2:$G$6000,MATCH($C25,Работы!$A$2:$A$6000,0))&amp;"",""))</f>
        <v/>
      </c>
      <c r="G25" s="4"/>
      <c r="H25" s="4"/>
      <c r="I25" s="5" t="str">
        <f>IF((LEFT($F25,3)="ДОК"),"",IF($H25="","",IFERROR(INDEX(Материалы!$B$2:$B$9000,MATCH($H25,Материалы!$M$2:$M$9000,0)),"")))</f>
        <v/>
      </c>
      <c r="J25" s="6">
        <f>IF(AND(LEFT($F25,3)="ДОК",$H25&lt;&gt;""),IFERROR(INDEX(Документация!$E$2:$E$57,MATCH($H25,Документация!$F$2:$F$57,0)),0),IFERROR(INDEX(Работы!$H$2:$H$6000,MATCH($C25,Работы!$A$2:$A$6000,0)),0))*(1-MEDIAN(0,N(ДисконтТендер),1))</f>
        <v>0</v>
      </c>
      <c r="K25" s="6">
        <f>IF(OR((LEFT($F25,3)="ДОК"),$H25=""),0,IFERROR(INDEX(Материалы!$H$2:$H$9000,MATCH($H25,Материалы!$M$2:$M$9000,0))*IF(INDEX(Материалы!$I$2:$I$9000,MATCH($H25,Материалы!$M$2:$M$9000,0))="USD",КурсUSD,IF(INDEX(Материалы!$I$2:$I$9000,MATCH($H25,Материалы!$M$2:$M$9000,0))="EUR",КурсEUR,1))*(1+IFERROR(INDEX(Работы!$I$2:$I$6000,MATCH($C25,Работы!$A$2:$A$6000,0))/100,0))*(1-MEDIAN(0,N(ДисконтТендер),1)),0))</f>
        <v>0</v>
      </c>
      <c r="L25" s="6">
        <f t="shared" si="1"/>
        <v>0</v>
      </c>
      <c r="M25" s="6">
        <f t="shared" si="2"/>
        <v>0</v>
      </c>
      <c r="N25" s="6">
        <f t="shared" si="3"/>
        <v>0</v>
      </c>
      <c r="O25" t="str">
        <f>IF($N25&gt;0,MAX($O$1:$O24)+1,"")</f>
        <v/>
      </c>
      <c r="P25" t="str">
        <f>IF($C25="","",IFERROR(INDEX(Работы!$D$2:$D$6000,MATCH($C25,Работы!$A$2:$A$6000,0)),""))</f>
        <v/>
      </c>
      <c r="Q25" t="str">
        <f t="shared" si="4"/>
        <v/>
      </c>
      <c r="R25" t="str">
        <f t="shared" si="5"/>
        <v/>
      </c>
      <c r="S25" t="str">
        <f>IF($P25="","",$P25&amp;" · "&amp;IFERROR(INDEX(Работы!$E$2:$E$6000,MATCH($C25,Работы!$A$2:$A$6000,0)),""))</f>
        <v/>
      </c>
    </row>
    <row r="26" spans="1:19" x14ac:dyDescent="0.3">
      <c r="A26" s="4"/>
      <c r="B26" s="4"/>
      <c r="C26" t="str">
        <f t="shared" si="0"/>
        <v/>
      </c>
      <c r="D26" s="5" t="str">
        <f>IF($C26="","",IF(AND(LEFT($F26,3)="ДОК",$H26&lt;&gt;""),IFERROR(INDEX(Документация!$G$2:$G$57,MATCH($H26,Документация!$F$2:$F$57,0)),"— вариант не найден —"),IFERROR(INDEX(Работы!$B$2:$B$6000,MATCH($C26,Работы!$A$2:$A$6000,0)),"— нет такого кода —")))</f>
        <v/>
      </c>
      <c r="E26" t="str">
        <f>IF($C26="","",IF(AND(LEFT($F26,3)="ДОК",$H26&lt;&gt;""),IFERROR(INDEX(Документация!$D$2:$D$57,MATCH($H26,Документация!$F$2:$F$57,0)),""),IFERROR(INDEX(Работы!$C$2:$C$6000,MATCH($C26,Работы!$A$2:$A$6000,0)),"")))</f>
        <v/>
      </c>
      <c r="F26" t="str">
        <f>IF($C26="","",IFERROR(INDEX(Работы!$G$2:$G$6000,MATCH($C26,Работы!$A$2:$A$6000,0))&amp;"",""))</f>
        <v/>
      </c>
      <c r="G26" s="4"/>
      <c r="H26" s="4"/>
      <c r="I26" s="5" t="str">
        <f>IF((LEFT($F26,3)="ДОК"),"",IF($H26="","",IFERROR(INDEX(Материалы!$B$2:$B$9000,MATCH($H26,Материалы!$M$2:$M$9000,0)),"")))</f>
        <v/>
      </c>
      <c r="J26" s="6">
        <f>IF(AND(LEFT($F26,3)="ДОК",$H26&lt;&gt;""),IFERROR(INDEX(Документация!$E$2:$E$57,MATCH($H26,Документация!$F$2:$F$57,0)),0),IFERROR(INDEX(Работы!$H$2:$H$6000,MATCH($C26,Работы!$A$2:$A$6000,0)),0))*(1-MEDIAN(0,N(ДисконтТендер),1))</f>
        <v>0</v>
      </c>
      <c r="K26" s="6">
        <f>IF(OR((LEFT($F26,3)="ДОК"),$H26=""),0,IFERROR(INDEX(Материалы!$H$2:$H$9000,MATCH($H26,Материалы!$M$2:$M$9000,0))*IF(INDEX(Материалы!$I$2:$I$9000,MATCH($H26,Материалы!$M$2:$M$9000,0))="USD",КурсUSD,IF(INDEX(Материалы!$I$2:$I$9000,MATCH($H26,Материалы!$M$2:$M$9000,0))="EUR",КурсEUR,1))*(1+IFERROR(INDEX(Работы!$I$2:$I$6000,MATCH($C26,Работы!$A$2:$A$6000,0))/100,0))*(1-MEDIAN(0,N(ДисконтТендер),1)),0))</f>
        <v>0</v>
      </c>
      <c r="L26" s="6">
        <f t="shared" si="1"/>
        <v>0</v>
      </c>
      <c r="M26" s="6">
        <f t="shared" si="2"/>
        <v>0</v>
      </c>
      <c r="N26" s="6">
        <f t="shared" si="3"/>
        <v>0</v>
      </c>
      <c r="O26" t="str">
        <f>IF($N26&gt;0,MAX($O$1:$O25)+1,"")</f>
        <v/>
      </c>
      <c r="P26" t="str">
        <f>IF($C26="","",IFERROR(INDEX(Работы!$D$2:$D$6000,MATCH($C26,Работы!$A$2:$A$6000,0)),""))</f>
        <v/>
      </c>
      <c r="Q26" t="str">
        <f t="shared" si="4"/>
        <v/>
      </c>
      <c r="R26" t="str">
        <f t="shared" si="5"/>
        <v/>
      </c>
      <c r="S26" t="str">
        <f>IF($P26="","",$P26&amp;" · "&amp;IFERROR(INDEX(Работы!$E$2:$E$6000,MATCH($C26,Работы!$A$2:$A$6000,0)),""))</f>
        <v/>
      </c>
    </row>
    <row r="27" spans="1:19" x14ac:dyDescent="0.3">
      <c r="A27" s="4"/>
      <c r="B27" s="4"/>
      <c r="C27" t="str">
        <f t="shared" si="0"/>
        <v/>
      </c>
      <c r="D27" s="5" t="str">
        <f>IF($C27="","",IF(AND(LEFT($F27,3)="ДОК",$H27&lt;&gt;""),IFERROR(INDEX(Документация!$G$2:$G$57,MATCH($H27,Документация!$F$2:$F$57,0)),"— вариант не найден —"),IFERROR(INDEX(Работы!$B$2:$B$6000,MATCH($C27,Работы!$A$2:$A$6000,0)),"— нет такого кода —")))</f>
        <v/>
      </c>
      <c r="E27" t="str">
        <f>IF($C27="","",IF(AND(LEFT($F27,3)="ДОК",$H27&lt;&gt;""),IFERROR(INDEX(Документация!$D$2:$D$57,MATCH($H27,Документация!$F$2:$F$57,0)),""),IFERROR(INDEX(Работы!$C$2:$C$6000,MATCH($C27,Работы!$A$2:$A$6000,0)),"")))</f>
        <v/>
      </c>
      <c r="F27" t="str">
        <f>IF($C27="","",IFERROR(INDEX(Работы!$G$2:$G$6000,MATCH($C27,Работы!$A$2:$A$6000,0))&amp;"",""))</f>
        <v/>
      </c>
      <c r="G27" s="4"/>
      <c r="H27" s="4"/>
      <c r="I27" s="5" t="str">
        <f>IF((LEFT($F27,3)="ДОК"),"",IF($H27="","",IFERROR(INDEX(Материалы!$B$2:$B$9000,MATCH($H27,Материалы!$M$2:$M$9000,0)),"")))</f>
        <v/>
      </c>
      <c r="J27" s="6">
        <f>IF(AND(LEFT($F27,3)="ДОК",$H27&lt;&gt;""),IFERROR(INDEX(Документация!$E$2:$E$57,MATCH($H27,Документация!$F$2:$F$57,0)),0),IFERROR(INDEX(Работы!$H$2:$H$6000,MATCH($C27,Работы!$A$2:$A$6000,0)),0))*(1-MEDIAN(0,N(ДисконтТендер),1))</f>
        <v>0</v>
      </c>
      <c r="K27" s="6">
        <f>IF(OR((LEFT($F27,3)="ДОК"),$H27=""),0,IFERROR(INDEX(Материалы!$H$2:$H$9000,MATCH($H27,Материалы!$M$2:$M$9000,0))*IF(INDEX(Материалы!$I$2:$I$9000,MATCH($H27,Материалы!$M$2:$M$9000,0))="USD",КурсUSD,IF(INDEX(Материалы!$I$2:$I$9000,MATCH($H27,Материалы!$M$2:$M$9000,0))="EUR",КурсEUR,1))*(1+IFERROR(INDEX(Работы!$I$2:$I$6000,MATCH($C27,Работы!$A$2:$A$6000,0))/100,0))*(1-MEDIAN(0,N(ДисконтТендер),1)),0))</f>
        <v>0</v>
      </c>
      <c r="L27" s="6">
        <f t="shared" si="1"/>
        <v>0</v>
      </c>
      <c r="M27" s="6">
        <f t="shared" si="2"/>
        <v>0</v>
      </c>
      <c r="N27" s="6">
        <f t="shared" si="3"/>
        <v>0</v>
      </c>
      <c r="O27" t="str">
        <f>IF($N27&gt;0,MAX($O$1:$O26)+1,"")</f>
        <v/>
      </c>
      <c r="P27" t="str">
        <f>IF($C27="","",IFERROR(INDEX(Работы!$D$2:$D$6000,MATCH($C27,Работы!$A$2:$A$6000,0)),""))</f>
        <v/>
      </c>
      <c r="Q27" t="str">
        <f t="shared" si="4"/>
        <v/>
      </c>
      <c r="R27" t="str">
        <f t="shared" si="5"/>
        <v/>
      </c>
      <c r="S27" t="str">
        <f>IF($P27="","",$P27&amp;" · "&amp;IFERROR(INDEX(Работы!$E$2:$E$6000,MATCH($C27,Работы!$A$2:$A$6000,0)),""))</f>
        <v/>
      </c>
    </row>
    <row r="28" spans="1:19" x14ac:dyDescent="0.3">
      <c r="A28" s="4"/>
      <c r="B28" s="4"/>
      <c r="C28" t="str">
        <f t="shared" si="0"/>
        <v/>
      </c>
      <c r="D28" s="5" t="str">
        <f>IF($C28="","",IF(AND(LEFT($F28,3)="ДОК",$H28&lt;&gt;""),IFERROR(INDEX(Документация!$G$2:$G$57,MATCH($H28,Документация!$F$2:$F$57,0)),"— вариант не найден —"),IFERROR(INDEX(Работы!$B$2:$B$6000,MATCH($C28,Работы!$A$2:$A$6000,0)),"— нет такого кода —")))</f>
        <v/>
      </c>
      <c r="E28" t="str">
        <f>IF($C28="","",IF(AND(LEFT($F28,3)="ДОК",$H28&lt;&gt;""),IFERROR(INDEX(Документация!$D$2:$D$57,MATCH($H28,Документация!$F$2:$F$57,0)),""),IFERROR(INDEX(Работы!$C$2:$C$6000,MATCH($C28,Работы!$A$2:$A$6000,0)),"")))</f>
        <v/>
      </c>
      <c r="F28" t="str">
        <f>IF($C28="","",IFERROR(INDEX(Работы!$G$2:$G$6000,MATCH($C28,Работы!$A$2:$A$6000,0))&amp;"",""))</f>
        <v/>
      </c>
      <c r="G28" s="4"/>
      <c r="H28" s="4"/>
      <c r="I28" s="5" t="str">
        <f>IF((LEFT($F28,3)="ДОК"),"",IF($H28="","",IFERROR(INDEX(Материалы!$B$2:$B$9000,MATCH($H28,Материалы!$M$2:$M$9000,0)),"")))</f>
        <v/>
      </c>
      <c r="J28" s="6">
        <f>IF(AND(LEFT($F28,3)="ДОК",$H28&lt;&gt;""),IFERROR(INDEX(Документация!$E$2:$E$57,MATCH($H28,Документация!$F$2:$F$57,0)),0),IFERROR(INDEX(Работы!$H$2:$H$6000,MATCH($C28,Работы!$A$2:$A$6000,0)),0))*(1-MEDIAN(0,N(ДисконтТендер),1))</f>
        <v>0</v>
      </c>
      <c r="K28" s="6">
        <f>IF(OR((LEFT($F28,3)="ДОК"),$H28=""),0,IFERROR(INDEX(Материалы!$H$2:$H$9000,MATCH($H28,Материалы!$M$2:$M$9000,0))*IF(INDEX(Материалы!$I$2:$I$9000,MATCH($H28,Материалы!$M$2:$M$9000,0))="USD",КурсUSD,IF(INDEX(Материалы!$I$2:$I$9000,MATCH($H28,Материалы!$M$2:$M$9000,0))="EUR",КурсEUR,1))*(1+IFERROR(INDEX(Работы!$I$2:$I$6000,MATCH($C28,Работы!$A$2:$A$6000,0))/100,0))*(1-MEDIAN(0,N(ДисконтТендер),1)),0))</f>
        <v>0</v>
      </c>
      <c r="L28" s="6">
        <f t="shared" si="1"/>
        <v>0</v>
      </c>
      <c r="M28" s="6">
        <f t="shared" si="2"/>
        <v>0</v>
      </c>
      <c r="N28" s="6">
        <f t="shared" si="3"/>
        <v>0</v>
      </c>
      <c r="O28" t="str">
        <f>IF($N28&gt;0,MAX($O$1:$O27)+1,"")</f>
        <v/>
      </c>
      <c r="P28" t="str">
        <f>IF($C28="","",IFERROR(INDEX(Работы!$D$2:$D$6000,MATCH($C28,Работы!$A$2:$A$6000,0)),""))</f>
        <v/>
      </c>
      <c r="Q28" t="str">
        <f t="shared" si="4"/>
        <v/>
      </c>
      <c r="R28" t="str">
        <f t="shared" si="5"/>
        <v/>
      </c>
      <c r="S28" t="str">
        <f>IF($P28="","",$P28&amp;" · "&amp;IFERROR(INDEX(Работы!$E$2:$E$6000,MATCH($C28,Работы!$A$2:$A$6000,0)),""))</f>
        <v/>
      </c>
    </row>
    <row r="29" spans="1:19" x14ac:dyDescent="0.3">
      <c r="A29" s="4"/>
      <c r="B29" s="4"/>
      <c r="C29" t="str">
        <f t="shared" si="0"/>
        <v/>
      </c>
      <c r="D29" s="5" t="str">
        <f>IF($C29="","",IF(AND(LEFT($F29,3)="ДОК",$H29&lt;&gt;""),IFERROR(INDEX(Документация!$G$2:$G$57,MATCH($H29,Документация!$F$2:$F$57,0)),"— вариант не найден —"),IFERROR(INDEX(Работы!$B$2:$B$6000,MATCH($C29,Работы!$A$2:$A$6000,0)),"— нет такого кода —")))</f>
        <v/>
      </c>
      <c r="E29" t="str">
        <f>IF($C29="","",IF(AND(LEFT($F29,3)="ДОК",$H29&lt;&gt;""),IFERROR(INDEX(Документация!$D$2:$D$57,MATCH($H29,Документация!$F$2:$F$57,0)),""),IFERROR(INDEX(Работы!$C$2:$C$6000,MATCH($C29,Работы!$A$2:$A$6000,0)),"")))</f>
        <v/>
      </c>
      <c r="F29" t="str">
        <f>IF($C29="","",IFERROR(INDEX(Работы!$G$2:$G$6000,MATCH($C29,Работы!$A$2:$A$6000,0))&amp;"",""))</f>
        <v/>
      </c>
      <c r="G29" s="4"/>
      <c r="H29" s="4"/>
      <c r="I29" s="5" t="str">
        <f>IF((LEFT($F29,3)="ДОК"),"",IF($H29="","",IFERROR(INDEX(Материалы!$B$2:$B$9000,MATCH($H29,Материалы!$M$2:$M$9000,0)),"")))</f>
        <v/>
      </c>
      <c r="J29" s="6">
        <f>IF(AND(LEFT($F29,3)="ДОК",$H29&lt;&gt;""),IFERROR(INDEX(Документация!$E$2:$E$57,MATCH($H29,Документация!$F$2:$F$57,0)),0),IFERROR(INDEX(Работы!$H$2:$H$6000,MATCH($C29,Работы!$A$2:$A$6000,0)),0))*(1-MEDIAN(0,N(ДисконтТендер),1))</f>
        <v>0</v>
      </c>
      <c r="K29" s="6">
        <f>IF(OR((LEFT($F29,3)="ДОК"),$H29=""),0,IFERROR(INDEX(Материалы!$H$2:$H$9000,MATCH($H29,Материалы!$M$2:$M$9000,0))*IF(INDEX(Материалы!$I$2:$I$9000,MATCH($H29,Материалы!$M$2:$M$9000,0))="USD",КурсUSD,IF(INDEX(Материалы!$I$2:$I$9000,MATCH($H29,Материалы!$M$2:$M$9000,0))="EUR",КурсEUR,1))*(1+IFERROR(INDEX(Работы!$I$2:$I$6000,MATCH($C29,Работы!$A$2:$A$6000,0))/100,0))*(1-MEDIAN(0,N(ДисконтТендер),1)),0))</f>
        <v>0</v>
      </c>
      <c r="L29" s="6">
        <f t="shared" si="1"/>
        <v>0</v>
      </c>
      <c r="M29" s="6">
        <f t="shared" si="2"/>
        <v>0</v>
      </c>
      <c r="N29" s="6">
        <f t="shared" si="3"/>
        <v>0</v>
      </c>
      <c r="O29" t="str">
        <f>IF($N29&gt;0,MAX($O$1:$O28)+1,"")</f>
        <v/>
      </c>
      <c r="P29" t="str">
        <f>IF($C29="","",IFERROR(INDEX(Работы!$D$2:$D$6000,MATCH($C29,Работы!$A$2:$A$6000,0)),""))</f>
        <v/>
      </c>
      <c r="Q29" t="str">
        <f t="shared" si="4"/>
        <v/>
      </c>
      <c r="R29" t="str">
        <f t="shared" si="5"/>
        <v/>
      </c>
      <c r="S29" t="str">
        <f>IF($P29="","",$P29&amp;" · "&amp;IFERROR(INDEX(Работы!$E$2:$E$6000,MATCH($C29,Работы!$A$2:$A$6000,0)),""))</f>
        <v/>
      </c>
    </row>
    <row r="30" spans="1:19" x14ac:dyDescent="0.3">
      <c r="A30" s="4"/>
      <c r="B30" s="4"/>
      <c r="C30" t="str">
        <f t="shared" si="0"/>
        <v/>
      </c>
      <c r="D30" s="5" t="str">
        <f>IF($C30="","",IF(AND(LEFT($F30,3)="ДОК",$H30&lt;&gt;""),IFERROR(INDEX(Документация!$G$2:$G$57,MATCH($H30,Документация!$F$2:$F$57,0)),"— вариант не найден —"),IFERROR(INDEX(Работы!$B$2:$B$6000,MATCH($C30,Работы!$A$2:$A$6000,0)),"— нет такого кода —")))</f>
        <v/>
      </c>
      <c r="E30" t="str">
        <f>IF($C30="","",IF(AND(LEFT($F30,3)="ДОК",$H30&lt;&gt;""),IFERROR(INDEX(Документация!$D$2:$D$57,MATCH($H30,Документация!$F$2:$F$57,0)),""),IFERROR(INDEX(Работы!$C$2:$C$6000,MATCH($C30,Работы!$A$2:$A$6000,0)),"")))</f>
        <v/>
      </c>
      <c r="F30" t="str">
        <f>IF($C30="","",IFERROR(INDEX(Работы!$G$2:$G$6000,MATCH($C30,Работы!$A$2:$A$6000,0))&amp;"",""))</f>
        <v/>
      </c>
      <c r="G30" s="4"/>
      <c r="H30" s="4"/>
      <c r="I30" s="5" t="str">
        <f>IF((LEFT($F30,3)="ДОК"),"",IF($H30="","",IFERROR(INDEX(Материалы!$B$2:$B$9000,MATCH($H30,Материалы!$M$2:$M$9000,0)),"")))</f>
        <v/>
      </c>
      <c r="J30" s="6">
        <f>IF(AND(LEFT($F30,3)="ДОК",$H30&lt;&gt;""),IFERROR(INDEX(Документация!$E$2:$E$57,MATCH($H30,Документация!$F$2:$F$57,0)),0),IFERROR(INDEX(Работы!$H$2:$H$6000,MATCH($C30,Работы!$A$2:$A$6000,0)),0))*(1-MEDIAN(0,N(ДисконтТендер),1))</f>
        <v>0</v>
      </c>
      <c r="K30" s="6">
        <f>IF(OR((LEFT($F30,3)="ДОК"),$H30=""),0,IFERROR(INDEX(Материалы!$H$2:$H$9000,MATCH($H30,Материалы!$M$2:$M$9000,0))*IF(INDEX(Материалы!$I$2:$I$9000,MATCH($H30,Материалы!$M$2:$M$9000,0))="USD",КурсUSD,IF(INDEX(Материалы!$I$2:$I$9000,MATCH($H30,Материалы!$M$2:$M$9000,0))="EUR",КурсEUR,1))*(1+IFERROR(INDEX(Работы!$I$2:$I$6000,MATCH($C30,Работы!$A$2:$A$6000,0))/100,0))*(1-MEDIAN(0,N(ДисконтТендер),1)),0))</f>
        <v>0</v>
      </c>
      <c r="L30" s="6">
        <f t="shared" si="1"/>
        <v>0</v>
      </c>
      <c r="M30" s="6">
        <f t="shared" si="2"/>
        <v>0</v>
      </c>
      <c r="N30" s="6">
        <f t="shared" si="3"/>
        <v>0</v>
      </c>
      <c r="O30" t="str">
        <f>IF($N30&gt;0,MAX($O$1:$O29)+1,"")</f>
        <v/>
      </c>
      <c r="P30" t="str">
        <f>IF($C30="","",IFERROR(INDEX(Работы!$D$2:$D$6000,MATCH($C30,Работы!$A$2:$A$6000,0)),""))</f>
        <v/>
      </c>
      <c r="Q30" t="str">
        <f t="shared" si="4"/>
        <v/>
      </c>
      <c r="R30" t="str">
        <f t="shared" si="5"/>
        <v/>
      </c>
      <c r="S30" t="str">
        <f>IF($P30="","",$P30&amp;" · "&amp;IFERROR(INDEX(Работы!$E$2:$E$6000,MATCH($C30,Работы!$A$2:$A$6000,0)),""))</f>
        <v/>
      </c>
    </row>
    <row r="31" spans="1:19" x14ac:dyDescent="0.3">
      <c r="A31" s="4"/>
      <c r="B31" s="4"/>
      <c r="C31" t="str">
        <f t="shared" si="0"/>
        <v/>
      </c>
      <c r="D31" s="5" t="str">
        <f>IF($C31="","",IF(AND(LEFT($F31,3)="ДОК",$H31&lt;&gt;""),IFERROR(INDEX(Документация!$G$2:$G$57,MATCH($H31,Документация!$F$2:$F$57,0)),"— вариант не найден —"),IFERROR(INDEX(Работы!$B$2:$B$6000,MATCH($C31,Работы!$A$2:$A$6000,0)),"— нет такого кода —")))</f>
        <v/>
      </c>
      <c r="E31" t="str">
        <f>IF($C31="","",IF(AND(LEFT($F31,3)="ДОК",$H31&lt;&gt;""),IFERROR(INDEX(Документация!$D$2:$D$57,MATCH($H31,Документация!$F$2:$F$57,0)),""),IFERROR(INDEX(Работы!$C$2:$C$6000,MATCH($C31,Работы!$A$2:$A$6000,0)),"")))</f>
        <v/>
      </c>
      <c r="F31" t="str">
        <f>IF($C31="","",IFERROR(INDEX(Работы!$G$2:$G$6000,MATCH($C31,Работы!$A$2:$A$6000,0))&amp;"",""))</f>
        <v/>
      </c>
      <c r="G31" s="4"/>
      <c r="H31" s="4"/>
      <c r="I31" s="5" t="str">
        <f>IF((LEFT($F31,3)="ДОК"),"",IF($H31="","",IFERROR(INDEX(Материалы!$B$2:$B$9000,MATCH($H31,Материалы!$M$2:$M$9000,0)),"")))</f>
        <v/>
      </c>
      <c r="J31" s="6">
        <f>IF(AND(LEFT($F31,3)="ДОК",$H31&lt;&gt;""),IFERROR(INDEX(Документация!$E$2:$E$57,MATCH($H31,Документация!$F$2:$F$57,0)),0),IFERROR(INDEX(Работы!$H$2:$H$6000,MATCH($C31,Работы!$A$2:$A$6000,0)),0))*(1-MEDIAN(0,N(ДисконтТендер),1))</f>
        <v>0</v>
      </c>
      <c r="K31" s="6">
        <f>IF(OR((LEFT($F31,3)="ДОК"),$H31=""),0,IFERROR(INDEX(Материалы!$H$2:$H$9000,MATCH($H31,Материалы!$M$2:$M$9000,0))*IF(INDEX(Материалы!$I$2:$I$9000,MATCH($H31,Материалы!$M$2:$M$9000,0))="USD",КурсUSD,IF(INDEX(Материалы!$I$2:$I$9000,MATCH($H31,Материалы!$M$2:$M$9000,0))="EUR",КурсEUR,1))*(1+IFERROR(INDEX(Работы!$I$2:$I$6000,MATCH($C31,Работы!$A$2:$A$6000,0))/100,0))*(1-MEDIAN(0,N(ДисконтТендер),1)),0))</f>
        <v>0</v>
      </c>
      <c r="L31" s="6">
        <f t="shared" si="1"/>
        <v>0</v>
      </c>
      <c r="M31" s="6">
        <f t="shared" si="2"/>
        <v>0</v>
      </c>
      <c r="N31" s="6">
        <f t="shared" si="3"/>
        <v>0</v>
      </c>
      <c r="O31" t="str">
        <f>IF($N31&gt;0,MAX($O$1:$O30)+1,"")</f>
        <v/>
      </c>
      <c r="P31" t="str">
        <f>IF($C31="","",IFERROR(INDEX(Работы!$D$2:$D$6000,MATCH($C31,Работы!$A$2:$A$6000,0)),""))</f>
        <v/>
      </c>
      <c r="Q31" t="str">
        <f t="shared" si="4"/>
        <v/>
      </c>
      <c r="R31" t="str">
        <f t="shared" si="5"/>
        <v/>
      </c>
      <c r="S31" t="str">
        <f>IF($P31="","",$P31&amp;" · "&amp;IFERROR(INDEX(Работы!$E$2:$E$6000,MATCH($C31,Работы!$A$2:$A$6000,0)),""))</f>
        <v/>
      </c>
    </row>
    <row r="32" spans="1:19" x14ac:dyDescent="0.3">
      <c r="A32" s="4"/>
      <c r="B32" s="4"/>
      <c r="C32" t="str">
        <f t="shared" si="0"/>
        <v/>
      </c>
      <c r="D32" s="5" t="str">
        <f>IF($C32="","",IF(AND(LEFT($F32,3)="ДОК",$H32&lt;&gt;""),IFERROR(INDEX(Документация!$G$2:$G$57,MATCH($H32,Документация!$F$2:$F$57,0)),"— вариант не найден —"),IFERROR(INDEX(Работы!$B$2:$B$6000,MATCH($C32,Работы!$A$2:$A$6000,0)),"— нет такого кода —")))</f>
        <v/>
      </c>
      <c r="E32" t="str">
        <f>IF($C32="","",IF(AND(LEFT($F32,3)="ДОК",$H32&lt;&gt;""),IFERROR(INDEX(Документация!$D$2:$D$57,MATCH($H32,Документация!$F$2:$F$57,0)),""),IFERROR(INDEX(Работы!$C$2:$C$6000,MATCH($C32,Работы!$A$2:$A$6000,0)),"")))</f>
        <v/>
      </c>
      <c r="F32" t="str">
        <f>IF($C32="","",IFERROR(INDEX(Работы!$G$2:$G$6000,MATCH($C32,Работы!$A$2:$A$6000,0))&amp;"",""))</f>
        <v/>
      </c>
      <c r="G32" s="4"/>
      <c r="H32" s="4"/>
      <c r="I32" s="5" t="str">
        <f>IF((LEFT($F32,3)="ДОК"),"",IF($H32="","",IFERROR(INDEX(Материалы!$B$2:$B$9000,MATCH($H32,Материалы!$M$2:$M$9000,0)),"")))</f>
        <v/>
      </c>
      <c r="J32" s="6">
        <f>IF(AND(LEFT($F32,3)="ДОК",$H32&lt;&gt;""),IFERROR(INDEX(Документация!$E$2:$E$57,MATCH($H32,Документация!$F$2:$F$57,0)),0),IFERROR(INDEX(Работы!$H$2:$H$6000,MATCH($C32,Работы!$A$2:$A$6000,0)),0))*(1-MEDIAN(0,N(ДисконтТендер),1))</f>
        <v>0</v>
      </c>
      <c r="K32" s="6">
        <f>IF(OR((LEFT($F32,3)="ДОК"),$H32=""),0,IFERROR(INDEX(Материалы!$H$2:$H$9000,MATCH($H32,Материалы!$M$2:$M$9000,0))*IF(INDEX(Материалы!$I$2:$I$9000,MATCH($H32,Материалы!$M$2:$M$9000,0))="USD",КурсUSD,IF(INDEX(Материалы!$I$2:$I$9000,MATCH($H32,Материалы!$M$2:$M$9000,0))="EUR",КурсEUR,1))*(1+IFERROR(INDEX(Работы!$I$2:$I$6000,MATCH($C32,Работы!$A$2:$A$6000,0))/100,0))*(1-MEDIAN(0,N(ДисконтТендер),1)),0))</f>
        <v>0</v>
      </c>
      <c r="L32" s="6">
        <f t="shared" si="1"/>
        <v>0</v>
      </c>
      <c r="M32" s="6">
        <f t="shared" si="2"/>
        <v>0</v>
      </c>
      <c r="N32" s="6">
        <f t="shared" si="3"/>
        <v>0</v>
      </c>
      <c r="O32" t="str">
        <f>IF($N32&gt;0,MAX($O$1:$O31)+1,"")</f>
        <v/>
      </c>
      <c r="P32" t="str">
        <f>IF($C32="","",IFERROR(INDEX(Работы!$D$2:$D$6000,MATCH($C32,Работы!$A$2:$A$6000,0)),""))</f>
        <v/>
      </c>
      <c r="Q32" t="str">
        <f t="shared" si="4"/>
        <v/>
      </c>
      <c r="R32" t="str">
        <f t="shared" si="5"/>
        <v/>
      </c>
      <c r="S32" t="str">
        <f>IF($P32="","",$P32&amp;" · "&amp;IFERROR(INDEX(Работы!$E$2:$E$6000,MATCH($C32,Работы!$A$2:$A$6000,0)),""))</f>
        <v/>
      </c>
    </row>
    <row r="33" spans="1:19" x14ac:dyDescent="0.3">
      <c r="A33" s="4"/>
      <c r="B33" s="4"/>
      <c r="C33" t="str">
        <f t="shared" si="0"/>
        <v/>
      </c>
      <c r="D33" s="5" t="str">
        <f>IF($C33="","",IF(AND(LEFT($F33,3)="ДОК",$H33&lt;&gt;""),IFERROR(INDEX(Документация!$G$2:$G$57,MATCH($H33,Документация!$F$2:$F$57,0)),"— вариант не найден —"),IFERROR(INDEX(Работы!$B$2:$B$6000,MATCH($C33,Работы!$A$2:$A$6000,0)),"— нет такого кода —")))</f>
        <v/>
      </c>
      <c r="E33" t="str">
        <f>IF($C33="","",IF(AND(LEFT($F33,3)="ДОК",$H33&lt;&gt;""),IFERROR(INDEX(Документация!$D$2:$D$57,MATCH($H33,Документация!$F$2:$F$57,0)),""),IFERROR(INDEX(Работы!$C$2:$C$6000,MATCH($C33,Работы!$A$2:$A$6000,0)),"")))</f>
        <v/>
      </c>
      <c r="F33" t="str">
        <f>IF($C33="","",IFERROR(INDEX(Работы!$G$2:$G$6000,MATCH($C33,Работы!$A$2:$A$6000,0))&amp;"",""))</f>
        <v/>
      </c>
      <c r="G33" s="4"/>
      <c r="H33" s="4"/>
      <c r="I33" s="5" t="str">
        <f>IF((LEFT($F33,3)="ДОК"),"",IF($H33="","",IFERROR(INDEX(Материалы!$B$2:$B$9000,MATCH($H33,Материалы!$M$2:$M$9000,0)),"")))</f>
        <v/>
      </c>
      <c r="J33" s="6">
        <f>IF(AND(LEFT($F33,3)="ДОК",$H33&lt;&gt;""),IFERROR(INDEX(Документация!$E$2:$E$57,MATCH($H33,Документация!$F$2:$F$57,0)),0),IFERROR(INDEX(Работы!$H$2:$H$6000,MATCH($C33,Работы!$A$2:$A$6000,0)),0))*(1-MEDIAN(0,N(ДисконтТендер),1))</f>
        <v>0</v>
      </c>
      <c r="K33" s="6">
        <f>IF(OR((LEFT($F33,3)="ДОК"),$H33=""),0,IFERROR(INDEX(Материалы!$H$2:$H$9000,MATCH($H33,Материалы!$M$2:$M$9000,0))*IF(INDEX(Материалы!$I$2:$I$9000,MATCH($H33,Материалы!$M$2:$M$9000,0))="USD",КурсUSD,IF(INDEX(Материалы!$I$2:$I$9000,MATCH($H33,Материалы!$M$2:$M$9000,0))="EUR",КурсEUR,1))*(1+IFERROR(INDEX(Работы!$I$2:$I$6000,MATCH($C33,Работы!$A$2:$A$6000,0))/100,0))*(1-MEDIAN(0,N(ДисконтТендер),1)),0))</f>
        <v>0</v>
      </c>
      <c r="L33" s="6">
        <f t="shared" si="1"/>
        <v>0</v>
      </c>
      <c r="M33" s="6">
        <f t="shared" si="2"/>
        <v>0</v>
      </c>
      <c r="N33" s="6">
        <f t="shared" si="3"/>
        <v>0</v>
      </c>
      <c r="O33" t="str">
        <f>IF($N33&gt;0,MAX($O$1:$O32)+1,"")</f>
        <v/>
      </c>
      <c r="P33" t="str">
        <f>IF($C33="","",IFERROR(INDEX(Работы!$D$2:$D$6000,MATCH($C33,Работы!$A$2:$A$6000,0)),""))</f>
        <v/>
      </c>
      <c r="Q33" t="str">
        <f t="shared" si="4"/>
        <v/>
      </c>
      <c r="R33" t="str">
        <f t="shared" si="5"/>
        <v/>
      </c>
      <c r="S33" t="str">
        <f>IF($P33="","",$P33&amp;" · "&amp;IFERROR(INDEX(Работы!$E$2:$E$6000,MATCH($C33,Работы!$A$2:$A$6000,0)),""))</f>
        <v/>
      </c>
    </row>
    <row r="34" spans="1:19" x14ac:dyDescent="0.3">
      <c r="A34" s="4"/>
      <c r="B34" s="4"/>
      <c r="C34" t="str">
        <f t="shared" si="0"/>
        <v/>
      </c>
      <c r="D34" s="5" t="str">
        <f>IF($C34="","",IF(AND(LEFT($F34,3)="ДОК",$H34&lt;&gt;""),IFERROR(INDEX(Документация!$G$2:$G$57,MATCH($H34,Документация!$F$2:$F$57,0)),"— вариант не найден —"),IFERROR(INDEX(Работы!$B$2:$B$6000,MATCH($C34,Работы!$A$2:$A$6000,0)),"— нет такого кода —")))</f>
        <v/>
      </c>
      <c r="E34" t="str">
        <f>IF($C34="","",IF(AND(LEFT($F34,3)="ДОК",$H34&lt;&gt;""),IFERROR(INDEX(Документация!$D$2:$D$57,MATCH($H34,Документация!$F$2:$F$57,0)),""),IFERROR(INDEX(Работы!$C$2:$C$6000,MATCH($C34,Работы!$A$2:$A$6000,0)),"")))</f>
        <v/>
      </c>
      <c r="F34" t="str">
        <f>IF($C34="","",IFERROR(INDEX(Работы!$G$2:$G$6000,MATCH($C34,Работы!$A$2:$A$6000,0))&amp;"",""))</f>
        <v/>
      </c>
      <c r="G34" s="4"/>
      <c r="H34" s="4"/>
      <c r="I34" s="5" t="str">
        <f>IF((LEFT($F34,3)="ДОК"),"",IF($H34="","",IFERROR(INDEX(Материалы!$B$2:$B$9000,MATCH($H34,Материалы!$M$2:$M$9000,0)),"")))</f>
        <v/>
      </c>
      <c r="J34" s="6">
        <f>IF(AND(LEFT($F34,3)="ДОК",$H34&lt;&gt;""),IFERROR(INDEX(Документация!$E$2:$E$57,MATCH($H34,Документация!$F$2:$F$57,0)),0),IFERROR(INDEX(Работы!$H$2:$H$6000,MATCH($C34,Работы!$A$2:$A$6000,0)),0))*(1-MEDIAN(0,N(ДисконтТендер),1))</f>
        <v>0</v>
      </c>
      <c r="K34" s="6">
        <f>IF(OR((LEFT($F34,3)="ДОК"),$H34=""),0,IFERROR(INDEX(Материалы!$H$2:$H$9000,MATCH($H34,Материалы!$M$2:$M$9000,0))*IF(INDEX(Материалы!$I$2:$I$9000,MATCH($H34,Материалы!$M$2:$M$9000,0))="USD",КурсUSD,IF(INDEX(Материалы!$I$2:$I$9000,MATCH($H34,Материалы!$M$2:$M$9000,0))="EUR",КурсEUR,1))*(1+IFERROR(INDEX(Работы!$I$2:$I$6000,MATCH($C34,Работы!$A$2:$A$6000,0))/100,0))*(1-MEDIAN(0,N(ДисконтТендер),1)),0))</f>
        <v>0</v>
      </c>
      <c r="L34" s="6">
        <f t="shared" si="1"/>
        <v>0</v>
      </c>
      <c r="M34" s="6">
        <f t="shared" si="2"/>
        <v>0</v>
      </c>
      <c r="N34" s="6">
        <f t="shared" si="3"/>
        <v>0</v>
      </c>
      <c r="O34" t="str">
        <f>IF($N34&gt;0,MAX($O$1:$O33)+1,"")</f>
        <v/>
      </c>
      <c r="P34" t="str">
        <f>IF($C34="","",IFERROR(INDEX(Работы!$D$2:$D$6000,MATCH($C34,Работы!$A$2:$A$6000,0)),""))</f>
        <v/>
      </c>
      <c r="Q34" t="str">
        <f t="shared" si="4"/>
        <v/>
      </c>
      <c r="R34" t="str">
        <f t="shared" si="5"/>
        <v/>
      </c>
      <c r="S34" t="str">
        <f>IF($P34="","",$P34&amp;" · "&amp;IFERROR(INDEX(Работы!$E$2:$E$6000,MATCH($C34,Работы!$A$2:$A$6000,0)),""))</f>
        <v/>
      </c>
    </row>
    <row r="35" spans="1:19" x14ac:dyDescent="0.3">
      <c r="A35" s="4"/>
      <c r="B35" s="4"/>
      <c r="C35" t="str">
        <f t="shared" si="0"/>
        <v/>
      </c>
      <c r="D35" s="5" t="str">
        <f>IF($C35="","",IF(AND(LEFT($F35,3)="ДОК",$H35&lt;&gt;""),IFERROR(INDEX(Документация!$G$2:$G$57,MATCH($H35,Документация!$F$2:$F$57,0)),"— вариант не найден —"),IFERROR(INDEX(Работы!$B$2:$B$6000,MATCH($C35,Работы!$A$2:$A$6000,0)),"— нет такого кода —")))</f>
        <v/>
      </c>
      <c r="E35" t="str">
        <f>IF($C35="","",IF(AND(LEFT($F35,3)="ДОК",$H35&lt;&gt;""),IFERROR(INDEX(Документация!$D$2:$D$57,MATCH($H35,Документация!$F$2:$F$57,0)),""),IFERROR(INDEX(Работы!$C$2:$C$6000,MATCH($C35,Работы!$A$2:$A$6000,0)),"")))</f>
        <v/>
      </c>
      <c r="F35" t="str">
        <f>IF($C35="","",IFERROR(INDEX(Работы!$G$2:$G$6000,MATCH($C35,Работы!$A$2:$A$6000,0))&amp;"",""))</f>
        <v/>
      </c>
      <c r="G35" s="4"/>
      <c r="H35" s="4"/>
      <c r="I35" s="5" t="str">
        <f>IF((LEFT($F35,3)="ДОК"),"",IF($H35="","",IFERROR(INDEX(Материалы!$B$2:$B$9000,MATCH($H35,Материалы!$M$2:$M$9000,0)),"")))</f>
        <v/>
      </c>
      <c r="J35" s="6">
        <f>IF(AND(LEFT($F35,3)="ДОК",$H35&lt;&gt;""),IFERROR(INDEX(Документация!$E$2:$E$57,MATCH($H35,Документация!$F$2:$F$57,0)),0),IFERROR(INDEX(Работы!$H$2:$H$6000,MATCH($C35,Работы!$A$2:$A$6000,0)),0))*(1-MEDIAN(0,N(ДисконтТендер),1))</f>
        <v>0</v>
      </c>
      <c r="K35" s="6">
        <f>IF(OR((LEFT($F35,3)="ДОК"),$H35=""),0,IFERROR(INDEX(Материалы!$H$2:$H$9000,MATCH($H35,Материалы!$M$2:$M$9000,0))*IF(INDEX(Материалы!$I$2:$I$9000,MATCH($H35,Материалы!$M$2:$M$9000,0))="USD",КурсUSD,IF(INDEX(Материалы!$I$2:$I$9000,MATCH($H35,Материалы!$M$2:$M$9000,0))="EUR",КурсEUR,1))*(1+IFERROR(INDEX(Работы!$I$2:$I$6000,MATCH($C35,Работы!$A$2:$A$6000,0))/100,0))*(1-MEDIAN(0,N(ДисконтТендер),1)),0))</f>
        <v>0</v>
      </c>
      <c r="L35" s="6">
        <f t="shared" si="1"/>
        <v>0</v>
      </c>
      <c r="M35" s="6">
        <f t="shared" si="2"/>
        <v>0</v>
      </c>
      <c r="N35" s="6">
        <f t="shared" si="3"/>
        <v>0</v>
      </c>
      <c r="O35" t="str">
        <f>IF($N35&gt;0,MAX($O$1:$O34)+1,"")</f>
        <v/>
      </c>
      <c r="P35" t="str">
        <f>IF($C35="","",IFERROR(INDEX(Работы!$D$2:$D$6000,MATCH($C35,Работы!$A$2:$A$6000,0)),""))</f>
        <v/>
      </c>
      <c r="Q35" t="str">
        <f t="shared" si="4"/>
        <v/>
      </c>
      <c r="R35" t="str">
        <f t="shared" si="5"/>
        <v/>
      </c>
      <c r="S35" t="str">
        <f>IF($P35="","",$P35&amp;" · "&amp;IFERROR(INDEX(Работы!$E$2:$E$6000,MATCH($C35,Работы!$A$2:$A$6000,0)),""))</f>
        <v/>
      </c>
    </row>
    <row r="36" spans="1:19" x14ac:dyDescent="0.3">
      <c r="A36" s="4"/>
      <c r="B36" s="4"/>
      <c r="C36" t="str">
        <f t="shared" si="0"/>
        <v/>
      </c>
      <c r="D36" s="5" t="str">
        <f>IF($C36="","",IF(AND(LEFT($F36,3)="ДОК",$H36&lt;&gt;""),IFERROR(INDEX(Документация!$G$2:$G$57,MATCH($H36,Документация!$F$2:$F$57,0)),"— вариант не найден —"),IFERROR(INDEX(Работы!$B$2:$B$6000,MATCH($C36,Работы!$A$2:$A$6000,0)),"— нет такого кода —")))</f>
        <v/>
      </c>
      <c r="E36" t="str">
        <f>IF($C36="","",IF(AND(LEFT($F36,3)="ДОК",$H36&lt;&gt;""),IFERROR(INDEX(Документация!$D$2:$D$57,MATCH($H36,Документация!$F$2:$F$57,0)),""),IFERROR(INDEX(Работы!$C$2:$C$6000,MATCH($C36,Работы!$A$2:$A$6000,0)),"")))</f>
        <v/>
      </c>
      <c r="F36" t="str">
        <f>IF($C36="","",IFERROR(INDEX(Работы!$G$2:$G$6000,MATCH($C36,Работы!$A$2:$A$6000,0))&amp;"",""))</f>
        <v/>
      </c>
      <c r="G36" s="4"/>
      <c r="H36" s="4"/>
      <c r="I36" s="5" t="str">
        <f>IF((LEFT($F36,3)="ДОК"),"",IF($H36="","",IFERROR(INDEX(Материалы!$B$2:$B$9000,MATCH($H36,Материалы!$M$2:$M$9000,0)),"")))</f>
        <v/>
      </c>
      <c r="J36" s="6">
        <f>IF(AND(LEFT($F36,3)="ДОК",$H36&lt;&gt;""),IFERROR(INDEX(Документация!$E$2:$E$57,MATCH($H36,Документация!$F$2:$F$57,0)),0),IFERROR(INDEX(Работы!$H$2:$H$6000,MATCH($C36,Работы!$A$2:$A$6000,0)),0))*(1-MEDIAN(0,N(ДисконтТендер),1))</f>
        <v>0</v>
      </c>
      <c r="K36" s="6">
        <f>IF(OR((LEFT($F36,3)="ДОК"),$H36=""),0,IFERROR(INDEX(Материалы!$H$2:$H$9000,MATCH($H36,Материалы!$M$2:$M$9000,0))*IF(INDEX(Материалы!$I$2:$I$9000,MATCH($H36,Материалы!$M$2:$M$9000,0))="USD",КурсUSD,IF(INDEX(Материалы!$I$2:$I$9000,MATCH($H36,Материалы!$M$2:$M$9000,0))="EUR",КурсEUR,1))*(1+IFERROR(INDEX(Работы!$I$2:$I$6000,MATCH($C36,Работы!$A$2:$A$6000,0))/100,0))*(1-MEDIAN(0,N(ДисконтТендер),1)),0))</f>
        <v>0</v>
      </c>
      <c r="L36" s="6">
        <f t="shared" si="1"/>
        <v>0</v>
      </c>
      <c r="M36" s="6">
        <f t="shared" si="2"/>
        <v>0</v>
      </c>
      <c r="N36" s="6">
        <f t="shared" si="3"/>
        <v>0</v>
      </c>
      <c r="O36" t="str">
        <f>IF($N36&gt;0,MAX($O$1:$O35)+1,"")</f>
        <v/>
      </c>
      <c r="P36" t="str">
        <f>IF($C36="","",IFERROR(INDEX(Работы!$D$2:$D$6000,MATCH($C36,Работы!$A$2:$A$6000,0)),""))</f>
        <v/>
      </c>
      <c r="Q36" t="str">
        <f t="shared" si="4"/>
        <v/>
      </c>
      <c r="R36" t="str">
        <f t="shared" si="5"/>
        <v/>
      </c>
      <c r="S36" t="str">
        <f>IF($P36="","",$P36&amp;" · "&amp;IFERROR(INDEX(Работы!$E$2:$E$6000,MATCH($C36,Работы!$A$2:$A$6000,0)),""))</f>
        <v/>
      </c>
    </row>
    <row r="37" spans="1:19" x14ac:dyDescent="0.3">
      <c r="A37" s="4"/>
      <c r="B37" s="4"/>
      <c r="C37" t="str">
        <f t="shared" si="0"/>
        <v/>
      </c>
      <c r="D37" s="5" t="str">
        <f>IF($C37="","",IF(AND(LEFT($F37,3)="ДОК",$H37&lt;&gt;""),IFERROR(INDEX(Документация!$G$2:$G$57,MATCH($H37,Документация!$F$2:$F$57,0)),"— вариант не найден —"),IFERROR(INDEX(Работы!$B$2:$B$6000,MATCH($C37,Работы!$A$2:$A$6000,0)),"— нет такого кода —")))</f>
        <v/>
      </c>
      <c r="E37" t="str">
        <f>IF($C37="","",IF(AND(LEFT($F37,3)="ДОК",$H37&lt;&gt;""),IFERROR(INDEX(Документация!$D$2:$D$57,MATCH($H37,Документация!$F$2:$F$57,0)),""),IFERROR(INDEX(Работы!$C$2:$C$6000,MATCH($C37,Работы!$A$2:$A$6000,0)),"")))</f>
        <v/>
      </c>
      <c r="F37" t="str">
        <f>IF($C37="","",IFERROR(INDEX(Работы!$G$2:$G$6000,MATCH($C37,Работы!$A$2:$A$6000,0))&amp;"",""))</f>
        <v/>
      </c>
      <c r="G37" s="4"/>
      <c r="H37" s="4"/>
      <c r="I37" s="5" t="str">
        <f>IF((LEFT($F37,3)="ДОК"),"",IF($H37="","",IFERROR(INDEX(Материалы!$B$2:$B$9000,MATCH($H37,Материалы!$M$2:$M$9000,0)),"")))</f>
        <v/>
      </c>
      <c r="J37" s="6">
        <f>IF(AND(LEFT($F37,3)="ДОК",$H37&lt;&gt;""),IFERROR(INDEX(Документация!$E$2:$E$57,MATCH($H37,Документация!$F$2:$F$57,0)),0),IFERROR(INDEX(Работы!$H$2:$H$6000,MATCH($C37,Работы!$A$2:$A$6000,0)),0))*(1-MEDIAN(0,N(ДисконтТендер),1))</f>
        <v>0</v>
      </c>
      <c r="K37" s="6">
        <f>IF(OR((LEFT($F37,3)="ДОК"),$H37=""),0,IFERROR(INDEX(Материалы!$H$2:$H$9000,MATCH($H37,Материалы!$M$2:$M$9000,0))*IF(INDEX(Материалы!$I$2:$I$9000,MATCH($H37,Материалы!$M$2:$M$9000,0))="USD",КурсUSD,IF(INDEX(Материалы!$I$2:$I$9000,MATCH($H37,Материалы!$M$2:$M$9000,0))="EUR",КурсEUR,1))*(1+IFERROR(INDEX(Работы!$I$2:$I$6000,MATCH($C37,Работы!$A$2:$A$6000,0))/100,0))*(1-MEDIAN(0,N(ДисконтТендер),1)),0))</f>
        <v>0</v>
      </c>
      <c r="L37" s="6">
        <f t="shared" si="1"/>
        <v>0</v>
      </c>
      <c r="M37" s="6">
        <f t="shared" si="2"/>
        <v>0</v>
      </c>
      <c r="N37" s="6">
        <f t="shared" si="3"/>
        <v>0</v>
      </c>
      <c r="O37" t="str">
        <f>IF($N37&gt;0,MAX($O$1:$O36)+1,"")</f>
        <v/>
      </c>
      <c r="P37" t="str">
        <f>IF($C37="","",IFERROR(INDEX(Работы!$D$2:$D$6000,MATCH($C37,Работы!$A$2:$A$6000,0)),""))</f>
        <v/>
      </c>
      <c r="Q37" t="str">
        <f t="shared" si="4"/>
        <v/>
      </c>
      <c r="R37" t="str">
        <f t="shared" si="5"/>
        <v/>
      </c>
      <c r="S37" t="str">
        <f>IF($P37="","",$P37&amp;" · "&amp;IFERROR(INDEX(Работы!$E$2:$E$6000,MATCH($C37,Работы!$A$2:$A$6000,0)),""))</f>
        <v/>
      </c>
    </row>
    <row r="38" spans="1:19" x14ac:dyDescent="0.3">
      <c r="A38" s="4"/>
      <c r="B38" s="4"/>
      <c r="C38" t="str">
        <f t="shared" si="0"/>
        <v/>
      </c>
      <c r="D38" s="5" t="str">
        <f>IF($C38="","",IF(AND(LEFT($F38,3)="ДОК",$H38&lt;&gt;""),IFERROR(INDEX(Документация!$G$2:$G$57,MATCH($H38,Документация!$F$2:$F$57,0)),"— вариант не найден —"),IFERROR(INDEX(Работы!$B$2:$B$6000,MATCH($C38,Работы!$A$2:$A$6000,0)),"— нет такого кода —")))</f>
        <v/>
      </c>
      <c r="E38" t="str">
        <f>IF($C38="","",IF(AND(LEFT($F38,3)="ДОК",$H38&lt;&gt;""),IFERROR(INDEX(Документация!$D$2:$D$57,MATCH($H38,Документация!$F$2:$F$57,0)),""),IFERROR(INDEX(Работы!$C$2:$C$6000,MATCH($C38,Работы!$A$2:$A$6000,0)),"")))</f>
        <v/>
      </c>
      <c r="F38" t="str">
        <f>IF($C38="","",IFERROR(INDEX(Работы!$G$2:$G$6000,MATCH($C38,Работы!$A$2:$A$6000,0))&amp;"",""))</f>
        <v/>
      </c>
      <c r="G38" s="4"/>
      <c r="H38" s="4"/>
      <c r="I38" s="5" t="str">
        <f>IF((LEFT($F38,3)="ДОК"),"",IF($H38="","",IFERROR(INDEX(Материалы!$B$2:$B$9000,MATCH($H38,Материалы!$M$2:$M$9000,0)),"")))</f>
        <v/>
      </c>
      <c r="J38" s="6">
        <f>IF(AND(LEFT($F38,3)="ДОК",$H38&lt;&gt;""),IFERROR(INDEX(Документация!$E$2:$E$57,MATCH($H38,Документация!$F$2:$F$57,0)),0),IFERROR(INDEX(Работы!$H$2:$H$6000,MATCH($C38,Работы!$A$2:$A$6000,0)),0))*(1-MEDIAN(0,N(ДисконтТендер),1))</f>
        <v>0</v>
      </c>
      <c r="K38" s="6">
        <f>IF(OR((LEFT($F38,3)="ДОК"),$H38=""),0,IFERROR(INDEX(Материалы!$H$2:$H$9000,MATCH($H38,Материалы!$M$2:$M$9000,0))*IF(INDEX(Материалы!$I$2:$I$9000,MATCH($H38,Материалы!$M$2:$M$9000,0))="USD",КурсUSD,IF(INDEX(Материалы!$I$2:$I$9000,MATCH($H38,Материалы!$M$2:$M$9000,0))="EUR",КурсEUR,1))*(1+IFERROR(INDEX(Работы!$I$2:$I$6000,MATCH($C38,Работы!$A$2:$A$6000,0))/100,0))*(1-MEDIAN(0,N(ДисконтТендер),1)),0))</f>
        <v>0</v>
      </c>
      <c r="L38" s="6">
        <f t="shared" si="1"/>
        <v>0</v>
      </c>
      <c r="M38" s="6">
        <f t="shared" si="2"/>
        <v>0</v>
      </c>
      <c r="N38" s="6">
        <f t="shared" si="3"/>
        <v>0</v>
      </c>
      <c r="O38" t="str">
        <f>IF($N38&gt;0,MAX($O$1:$O37)+1,"")</f>
        <v/>
      </c>
      <c r="P38" t="str">
        <f>IF($C38="","",IFERROR(INDEX(Работы!$D$2:$D$6000,MATCH($C38,Работы!$A$2:$A$6000,0)),""))</f>
        <v/>
      </c>
      <c r="Q38" t="str">
        <f t="shared" si="4"/>
        <v/>
      </c>
      <c r="R38" t="str">
        <f t="shared" si="5"/>
        <v/>
      </c>
      <c r="S38" t="str">
        <f>IF($P38="","",$P38&amp;" · "&amp;IFERROR(INDEX(Работы!$E$2:$E$6000,MATCH($C38,Работы!$A$2:$A$6000,0)),""))</f>
        <v/>
      </c>
    </row>
    <row r="39" spans="1:19" x14ac:dyDescent="0.3">
      <c r="A39" s="4"/>
      <c r="B39" s="4"/>
      <c r="C39" t="str">
        <f t="shared" si="0"/>
        <v/>
      </c>
      <c r="D39" s="5" t="str">
        <f>IF($C39="","",IF(AND(LEFT($F39,3)="ДОК",$H39&lt;&gt;""),IFERROR(INDEX(Документация!$G$2:$G$57,MATCH($H39,Документация!$F$2:$F$57,0)),"— вариант не найден —"),IFERROR(INDEX(Работы!$B$2:$B$6000,MATCH($C39,Работы!$A$2:$A$6000,0)),"— нет такого кода —")))</f>
        <v/>
      </c>
      <c r="E39" t="str">
        <f>IF($C39="","",IF(AND(LEFT($F39,3)="ДОК",$H39&lt;&gt;""),IFERROR(INDEX(Документация!$D$2:$D$57,MATCH($H39,Документация!$F$2:$F$57,0)),""),IFERROR(INDEX(Работы!$C$2:$C$6000,MATCH($C39,Работы!$A$2:$A$6000,0)),"")))</f>
        <v/>
      </c>
      <c r="F39" t="str">
        <f>IF($C39="","",IFERROR(INDEX(Работы!$G$2:$G$6000,MATCH($C39,Работы!$A$2:$A$6000,0))&amp;"",""))</f>
        <v/>
      </c>
      <c r="G39" s="4"/>
      <c r="H39" s="4"/>
      <c r="I39" s="5" t="str">
        <f>IF((LEFT($F39,3)="ДОК"),"",IF($H39="","",IFERROR(INDEX(Материалы!$B$2:$B$9000,MATCH($H39,Материалы!$M$2:$M$9000,0)),"")))</f>
        <v/>
      </c>
      <c r="J39" s="6">
        <f>IF(AND(LEFT($F39,3)="ДОК",$H39&lt;&gt;""),IFERROR(INDEX(Документация!$E$2:$E$57,MATCH($H39,Документация!$F$2:$F$57,0)),0),IFERROR(INDEX(Работы!$H$2:$H$6000,MATCH($C39,Работы!$A$2:$A$6000,0)),0))*(1-MEDIAN(0,N(ДисконтТендер),1))</f>
        <v>0</v>
      </c>
      <c r="K39" s="6">
        <f>IF(OR((LEFT($F39,3)="ДОК"),$H39=""),0,IFERROR(INDEX(Материалы!$H$2:$H$9000,MATCH($H39,Материалы!$M$2:$M$9000,0))*IF(INDEX(Материалы!$I$2:$I$9000,MATCH($H39,Материалы!$M$2:$M$9000,0))="USD",КурсUSD,IF(INDEX(Материалы!$I$2:$I$9000,MATCH($H39,Материалы!$M$2:$M$9000,0))="EUR",КурсEUR,1))*(1+IFERROR(INDEX(Работы!$I$2:$I$6000,MATCH($C39,Работы!$A$2:$A$6000,0))/100,0))*(1-MEDIAN(0,N(ДисконтТендер),1)),0))</f>
        <v>0</v>
      </c>
      <c r="L39" s="6">
        <f t="shared" si="1"/>
        <v>0</v>
      </c>
      <c r="M39" s="6">
        <f t="shared" si="2"/>
        <v>0</v>
      </c>
      <c r="N39" s="6">
        <f t="shared" si="3"/>
        <v>0</v>
      </c>
      <c r="O39" t="str">
        <f>IF($N39&gt;0,MAX($O$1:$O38)+1,"")</f>
        <v/>
      </c>
      <c r="P39" t="str">
        <f>IF($C39="","",IFERROR(INDEX(Работы!$D$2:$D$6000,MATCH($C39,Работы!$A$2:$A$6000,0)),""))</f>
        <v/>
      </c>
      <c r="Q39" t="str">
        <f t="shared" si="4"/>
        <v/>
      </c>
      <c r="R39" t="str">
        <f t="shared" si="5"/>
        <v/>
      </c>
      <c r="S39" t="str">
        <f>IF($P39="","",$P39&amp;" · "&amp;IFERROR(INDEX(Работы!$E$2:$E$6000,MATCH($C39,Работы!$A$2:$A$6000,0)),""))</f>
        <v/>
      </c>
    </row>
    <row r="40" spans="1:19" x14ac:dyDescent="0.3">
      <c r="A40" s="4"/>
      <c r="B40" s="4"/>
      <c r="C40" t="str">
        <f t="shared" si="0"/>
        <v/>
      </c>
      <c r="D40" s="5" t="str">
        <f>IF($C40="","",IF(AND(LEFT($F40,3)="ДОК",$H40&lt;&gt;""),IFERROR(INDEX(Документация!$G$2:$G$57,MATCH($H40,Документация!$F$2:$F$57,0)),"— вариант не найден —"),IFERROR(INDEX(Работы!$B$2:$B$6000,MATCH($C40,Работы!$A$2:$A$6000,0)),"— нет такого кода —")))</f>
        <v/>
      </c>
      <c r="E40" t="str">
        <f>IF($C40="","",IF(AND(LEFT($F40,3)="ДОК",$H40&lt;&gt;""),IFERROR(INDEX(Документация!$D$2:$D$57,MATCH($H40,Документация!$F$2:$F$57,0)),""),IFERROR(INDEX(Работы!$C$2:$C$6000,MATCH($C40,Работы!$A$2:$A$6000,0)),"")))</f>
        <v/>
      </c>
      <c r="F40" t="str">
        <f>IF($C40="","",IFERROR(INDEX(Работы!$G$2:$G$6000,MATCH($C40,Работы!$A$2:$A$6000,0))&amp;"",""))</f>
        <v/>
      </c>
      <c r="G40" s="4"/>
      <c r="H40" s="4"/>
      <c r="I40" s="5" t="str">
        <f>IF((LEFT($F40,3)="ДОК"),"",IF($H40="","",IFERROR(INDEX(Материалы!$B$2:$B$9000,MATCH($H40,Материалы!$M$2:$M$9000,0)),"")))</f>
        <v/>
      </c>
      <c r="J40" s="6">
        <f>IF(AND(LEFT($F40,3)="ДОК",$H40&lt;&gt;""),IFERROR(INDEX(Документация!$E$2:$E$57,MATCH($H40,Документация!$F$2:$F$57,0)),0),IFERROR(INDEX(Работы!$H$2:$H$6000,MATCH($C40,Работы!$A$2:$A$6000,0)),0))*(1-MEDIAN(0,N(ДисконтТендер),1))</f>
        <v>0</v>
      </c>
      <c r="K40" s="6">
        <f>IF(OR((LEFT($F40,3)="ДОК"),$H40=""),0,IFERROR(INDEX(Материалы!$H$2:$H$9000,MATCH($H40,Материалы!$M$2:$M$9000,0))*IF(INDEX(Материалы!$I$2:$I$9000,MATCH($H40,Материалы!$M$2:$M$9000,0))="USD",КурсUSD,IF(INDEX(Материалы!$I$2:$I$9000,MATCH($H40,Материалы!$M$2:$M$9000,0))="EUR",КурсEUR,1))*(1+IFERROR(INDEX(Работы!$I$2:$I$6000,MATCH($C40,Работы!$A$2:$A$6000,0))/100,0))*(1-MEDIAN(0,N(ДисконтТендер),1)),0))</f>
        <v>0</v>
      </c>
      <c r="L40" s="6">
        <f t="shared" si="1"/>
        <v>0</v>
      </c>
      <c r="M40" s="6">
        <f t="shared" si="2"/>
        <v>0</v>
      </c>
      <c r="N40" s="6">
        <f t="shared" si="3"/>
        <v>0</v>
      </c>
      <c r="O40" t="str">
        <f>IF($N40&gt;0,MAX($O$1:$O39)+1,"")</f>
        <v/>
      </c>
      <c r="P40" t="str">
        <f>IF($C40="","",IFERROR(INDEX(Работы!$D$2:$D$6000,MATCH($C40,Работы!$A$2:$A$6000,0)),""))</f>
        <v/>
      </c>
      <c r="Q40" t="str">
        <f t="shared" si="4"/>
        <v/>
      </c>
      <c r="R40" t="str">
        <f t="shared" si="5"/>
        <v/>
      </c>
      <c r="S40" t="str">
        <f>IF($P40="","",$P40&amp;" · "&amp;IFERROR(INDEX(Работы!$E$2:$E$6000,MATCH($C40,Работы!$A$2:$A$6000,0)),""))</f>
        <v/>
      </c>
    </row>
    <row r="41" spans="1:19" x14ac:dyDescent="0.3">
      <c r="A41" s="4"/>
      <c r="B41" s="4"/>
      <c r="C41" t="str">
        <f t="shared" si="0"/>
        <v/>
      </c>
      <c r="D41" s="5" t="str">
        <f>IF($C41="","",IF(AND(LEFT($F41,3)="ДОК",$H41&lt;&gt;""),IFERROR(INDEX(Документация!$G$2:$G$57,MATCH($H41,Документация!$F$2:$F$57,0)),"— вариант не найден —"),IFERROR(INDEX(Работы!$B$2:$B$6000,MATCH($C41,Работы!$A$2:$A$6000,0)),"— нет такого кода —")))</f>
        <v/>
      </c>
      <c r="E41" t="str">
        <f>IF($C41="","",IF(AND(LEFT($F41,3)="ДОК",$H41&lt;&gt;""),IFERROR(INDEX(Документация!$D$2:$D$57,MATCH($H41,Документация!$F$2:$F$57,0)),""),IFERROR(INDEX(Работы!$C$2:$C$6000,MATCH($C41,Работы!$A$2:$A$6000,0)),"")))</f>
        <v/>
      </c>
      <c r="F41" t="str">
        <f>IF($C41="","",IFERROR(INDEX(Работы!$G$2:$G$6000,MATCH($C41,Работы!$A$2:$A$6000,0))&amp;"",""))</f>
        <v/>
      </c>
      <c r="G41" s="4"/>
      <c r="H41" s="4"/>
      <c r="I41" s="5" t="str">
        <f>IF((LEFT($F41,3)="ДОК"),"",IF($H41="","",IFERROR(INDEX(Материалы!$B$2:$B$9000,MATCH($H41,Материалы!$M$2:$M$9000,0)),"")))</f>
        <v/>
      </c>
      <c r="J41" s="6">
        <f>IF(AND(LEFT($F41,3)="ДОК",$H41&lt;&gt;""),IFERROR(INDEX(Документация!$E$2:$E$57,MATCH($H41,Документация!$F$2:$F$57,0)),0),IFERROR(INDEX(Работы!$H$2:$H$6000,MATCH($C41,Работы!$A$2:$A$6000,0)),0))*(1-MEDIAN(0,N(ДисконтТендер),1))</f>
        <v>0</v>
      </c>
      <c r="K41" s="6">
        <f>IF(OR((LEFT($F41,3)="ДОК"),$H41=""),0,IFERROR(INDEX(Материалы!$H$2:$H$9000,MATCH($H41,Материалы!$M$2:$M$9000,0))*IF(INDEX(Материалы!$I$2:$I$9000,MATCH($H41,Материалы!$M$2:$M$9000,0))="USD",КурсUSD,IF(INDEX(Материалы!$I$2:$I$9000,MATCH($H41,Материалы!$M$2:$M$9000,0))="EUR",КурсEUR,1))*(1+IFERROR(INDEX(Работы!$I$2:$I$6000,MATCH($C41,Работы!$A$2:$A$6000,0))/100,0))*(1-MEDIAN(0,N(ДисконтТендер),1)),0))</f>
        <v>0</v>
      </c>
      <c r="L41" s="6">
        <f t="shared" si="1"/>
        <v>0</v>
      </c>
      <c r="M41" s="6">
        <f t="shared" si="2"/>
        <v>0</v>
      </c>
      <c r="N41" s="6">
        <f t="shared" si="3"/>
        <v>0</v>
      </c>
      <c r="O41" t="str">
        <f>IF($N41&gt;0,MAX($O$1:$O40)+1,"")</f>
        <v/>
      </c>
      <c r="P41" t="str">
        <f>IF($C41="","",IFERROR(INDEX(Работы!$D$2:$D$6000,MATCH($C41,Работы!$A$2:$A$6000,0)),""))</f>
        <v/>
      </c>
      <c r="Q41" t="str">
        <f t="shared" si="4"/>
        <v/>
      </c>
      <c r="R41" t="str">
        <f t="shared" si="5"/>
        <v/>
      </c>
      <c r="S41" t="str">
        <f>IF($P41="","",$P41&amp;" · "&amp;IFERROR(INDEX(Работы!$E$2:$E$6000,MATCH($C41,Работы!$A$2:$A$6000,0)),""))</f>
        <v/>
      </c>
    </row>
    <row r="42" spans="1:19" x14ac:dyDescent="0.3">
      <c r="A42" s="4"/>
      <c r="B42" s="4"/>
      <c r="C42" t="str">
        <f t="shared" si="0"/>
        <v/>
      </c>
      <c r="D42" s="5" t="str">
        <f>IF($C42="","",IF(AND(LEFT($F42,3)="ДОК",$H42&lt;&gt;""),IFERROR(INDEX(Документация!$G$2:$G$57,MATCH($H42,Документация!$F$2:$F$57,0)),"— вариант не найден —"),IFERROR(INDEX(Работы!$B$2:$B$6000,MATCH($C42,Работы!$A$2:$A$6000,0)),"— нет такого кода —")))</f>
        <v/>
      </c>
      <c r="E42" t="str">
        <f>IF($C42="","",IF(AND(LEFT($F42,3)="ДОК",$H42&lt;&gt;""),IFERROR(INDEX(Документация!$D$2:$D$57,MATCH($H42,Документация!$F$2:$F$57,0)),""),IFERROR(INDEX(Работы!$C$2:$C$6000,MATCH($C42,Работы!$A$2:$A$6000,0)),"")))</f>
        <v/>
      </c>
      <c r="F42" t="str">
        <f>IF($C42="","",IFERROR(INDEX(Работы!$G$2:$G$6000,MATCH($C42,Работы!$A$2:$A$6000,0))&amp;"",""))</f>
        <v/>
      </c>
      <c r="G42" s="4"/>
      <c r="H42" s="4"/>
      <c r="I42" s="5" t="str">
        <f>IF((LEFT($F42,3)="ДОК"),"",IF($H42="","",IFERROR(INDEX(Материалы!$B$2:$B$9000,MATCH($H42,Материалы!$M$2:$M$9000,0)),"")))</f>
        <v/>
      </c>
      <c r="J42" s="6">
        <f>IF(AND(LEFT($F42,3)="ДОК",$H42&lt;&gt;""),IFERROR(INDEX(Документация!$E$2:$E$57,MATCH($H42,Документация!$F$2:$F$57,0)),0),IFERROR(INDEX(Работы!$H$2:$H$6000,MATCH($C42,Работы!$A$2:$A$6000,0)),0))*(1-MEDIAN(0,N(ДисконтТендер),1))</f>
        <v>0</v>
      </c>
      <c r="K42" s="6">
        <f>IF(OR((LEFT($F42,3)="ДОК"),$H42=""),0,IFERROR(INDEX(Материалы!$H$2:$H$9000,MATCH($H42,Материалы!$M$2:$M$9000,0))*IF(INDEX(Материалы!$I$2:$I$9000,MATCH($H42,Материалы!$M$2:$M$9000,0))="USD",КурсUSD,IF(INDEX(Материалы!$I$2:$I$9000,MATCH($H42,Материалы!$M$2:$M$9000,0))="EUR",КурсEUR,1))*(1+IFERROR(INDEX(Работы!$I$2:$I$6000,MATCH($C42,Работы!$A$2:$A$6000,0))/100,0))*(1-MEDIAN(0,N(ДисконтТендер),1)),0))</f>
        <v>0</v>
      </c>
      <c r="L42" s="6">
        <f t="shared" si="1"/>
        <v>0</v>
      </c>
      <c r="M42" s="6">
        <f t="shared" si="2"/>
        <v>0</v>
      </c>
      <c r="N42" s="6">
        <f t="shared" si="3"/>
        <v>0</v>
      </c>
      <c r="O42" t="str">
        <f>IF($N42&gt;0,MAX($O$1:$O41)+1,"")</f>
        <v/>
      </c>
      <c r="P42" t="str">
        <f>IF($C42="","",IFERROR(INDEX(Работы!$D$2:$D$6000,MATCH($C42,Работы!$A$2:$A$6000,0)),""))</f>
        <v/>
      </c>
      <c r="Q42" t="str">
        <f t="shared" si="4"/>
        <v/>
      </c>
      <c r="R42" t="str">
        <f t="shared" si="5"/>
        <v/>
      </c>
      <c r="S42" t="str">
        <f>IF($P42="","",$P42&amp;" · "&amp;IFERROR(INDEX(Работы!$E$2:$E$6000,MATCH($C42,Работы!$A$2:$A$6000,0)),""))</f>
        <v/>
      </c>
    </row>
    <row r="43" spans="1:19" x14ac:dyDescent="0.3">
      <c r="A43" s="4"/>
      <c r="B43" s="4"/>
      <c r="C43" t="str">
        <f t="shared" si="0"/>
        <v/>
      </c>
      <c r="D43" s="5" t="str">
        <f>IF($C43="","",IF(AND(LEFT($F43,3)="ДОК",$H43&lt;&gt;""),IFERROR(INDEX(Документация!$G$2:$G$57,MATCH($H43,Документация!$F$2:$F$57,0)),"— вариант не найден —"),IFERROR(INDEX(Работы!$B$2:$B$6000,MATCH($C43,Работы!$A$2:$A$6000,0)),"— нет такого кода —")))</f>
        <v/>
      </c>
      <c r="E43" t="str">
        <f>IF($C43="","",IF(AND(LEFT($F43,3)="ДОК",$H43&lt;&gt;""),IFERROR(INDEX(Документация!$D$2:$D$57,MATCH($H43,Документация!$F$2:$F$57,0)),""),IFERROR(INDEX(Работы!$C$2:$C$6000,MATCH($C43,Работы!$A$2:$A$6000,0)),"")))</f>
        <v/>
      </c>
      <c r="F43" t="str">
        <f>IF($C43="","",IFERROR(INDEX(Работы!$G$2:$G$6000,MATCH($C43,Работы!$A$2:$A$6000,0))&amp;"",""))</f>
        <v/>
      </c>
      <c r="G43" s="4"/>
      <c r="H43" s="4"/>
      <c r="I43" s="5" t="str">
        <f>IF((LEFT($F43,3)="ДОК"),"",IF($H43="","",IFERROR(INDEX(Материалы!$B$2:$B$9000,MATCH($H43,Материалы!$M$2:$M$9000,0)),"")))</f>
        <v/>
      </c>
      <c r="J43" s="6">
        <f>IF(AND(LEFT($F43,3)="ДОК",$H43&lt;&gt;""),IFERROR(INDEX(Документация!$E$2:$E$57,MATCH($H43,Документация!$F$2:$F$57,0)),0),IFERROR(INDEX(Работы!$H$2:$H$6000,MATCH($C43,Работы!$A$2:$A$6000,0)),0))*(1-MEDIAN(0,N(ДисконтТендер),1))</f>
        <v>0</v>
      </c>
      <c r="K43" s="6">
        <f>IF(OR((LEFT($F43,3)="ДОК"),$H43=""),0,IFERROR(INDEX(Материалы!$H$2:$H$9000,MATCH($H43,Материалы!$M$2:$M$9000,0))*IF(INDEX(Материалы!$I$2:$I$9000,MATCH($H43,Материалы!$M$2:$M$9000,0))="USD",КурсUSD,IF(INDEX(Материалы!$I$2:$I$9000,MATCH($H43,Материалы!$M$2:$M$9000,0))="EUR",КурсEUR,1))*(1+IFERROR(INDEX(Работы!$I$2:$I$6000,MATCH($C43,Работы!$A$2:$A$6000,0))/100,0))*(1-MEDIAN(0,N(ДисконтТендер),1)),0))</f>
        <v>0</v>
      </c>
      <c r="L43" s="6">
        <f t="shared" si="1"/>
        <v>0</v>
      </c>
      <c r="M43" s="6">
        <f t="shared" si="2"/>
        <v>0</v>
      </c>
      <c r="N43" s="6">
        <f t="shared" si="3"/>
        <v>0</v>
      </c>
      <c r="O43" t="str">
        <f>IF($N43&gt;0,MAX($O$1:$O42)+1,"")</f>
        <v/>
      </c>
      <c r="P43" t="str">
        <f>IF($C43="","",IFERROR(INDEX(Работы!$D$2:$D$6000,MATCH($C43,Работы!$A$2:$A$6000,0)),""))</f>
        <v/>
      </c>
      <c r="Q43" t="str">
        <f t="shared" si="4"/>
        <v/>
      </c>
      <c r="R43" t="str">
        <f t="shared" si="5"/>
        <v/>
      </c>
      <c r="S43" t="str">
        <f>IF($P43="","",$P43&amp;" · "&amp;IFERROR(INDEX(Работы!$E$2:$E$6000,MATCH($C43,Работы!$A$2:$A$6000,0)),""))</f>
        <v/>
      </c>
    </row>
    <row r="44" spans="1:19" x14ac:dyDescent="0.3">
      <c r="A44" s="4"/>
      <c r="B44" s="4"/>
      <c r="C44" t="str">
        <f t="shared" si="0"/>
        <v/>
      </c>
      <c r="D44" s="5" t="str">
        <f>IF($C44="","",IF(AND(LEFT($F44,3)="ДОК",$H44&lt;&gt;""),IFERROR(INDEX(Документация!$G$2:$G$57,MATCH($H44,Документация!$F$2:$F$57,0)),"— вариант не найден —"),IFERROR(INDEX(Работы!$B$2:$B$6000,MATCH($C44,Работы!$A$2:$A$6000,0)),"— нет такого кода —")))</f>
        <v/>
      </c>
      <c r="E44" t="str">
        <f>IF($C44="","",IF(AND(LEFT($F44,3)="ДОК",$H44&lt;&gt;""),IFERROR(INDEX(Документация!$D$2:$D$57,MATCH($H44,Документация!$F$2:$F$57,0)),""),IFERROR(INDEX(Работы!$C$2:$C$6000,MATCH($C44,Работы!$A$2:$A$6000,0)),"")))</f>
        <v/>
      </c>
      <c r="F44" t="str">
        <f>IF($C44="","",IFERROR(INDEX(Работы!$G$2:$G$6000,MATCH($C44,Работы!$A$2:$A$6000,0))&amp;"",""))</f>
        <v/>
      </c>
      <c r="G44" s="4"/>
      <c r="H44" s="4"/>
      <c r="I44" s="5" t="str">
        <f>IF((LEFT($F44,3)="ДОК"),"",IF($H44="","",IFERROR(INDEX(Материалы!$B$2:$B$9000,MATCH($H44,Материалы!$M$2:$M$9000,0)),"")))</f>
        <v/>
      </c>
      <c r="J44" s="6">
        <f>IF(AND(LEFT($F44,3)="ДОК",$H44&lt;&gt;""),IFERROR(INDEX(Документация!$E$2:$E$57,MATCH($H44,Документация!$F$2:$F$57,0)),0),IFERROR(INDEX(Работы!$H$2:$H$6000,MATCH($C44,Работы!$A$2:$A$6000,0)),0))*(1-MEDIAN(0,N(ДисконтТендер),1))</f>
        <v>0</v>
      </c>
      <c r="K44" s="6">
        <f>IF(OR((LEFT($F44,3)="ДОК"),$H44=""),0,IFERROR(INDEX(Материалы!$H$2:$H$9000,MATCH($H44,Материалы!$M$2:$M$9000,0))*IF(INDEX(Материалы!$I$2:$I$9000,MATCH($H44,Материалы!$M$2:$M$9000,0))="USD",КурсUSD,IF(INDEX(Материалы!$I$2:$I$9000,MATCH($H44,Материалы!$M$2:$M$9000,0))="EUR",КурсEUR,1))*(1+IFERROR(INDEX(Работы!$I$2:$I$6000,MATCH($C44,Работы!$A$2:$A$6000,0))/100,0))*(1-MEDIAN(0,N(ДисконтТендер),1)),0))</f>
        <v>0</v>
      </c>
      <c r="L44" s="6">
        <f t="shared" si="1"/>
        <v>0</v>
      </c>
      <c r="M44" s="6">
        <f t="shared" si="2"/>
        <v>0</v>
      </c>
      <c r="N44" s="6">
        <f t="shared" si="3"/>
        <v>0</v>
      </c>
      <c r="O44" t="str">
        <f>IF($N44&gt;0,MAX($O$1:$O43)+1,"")</f>
        <v/>
      </c>
      <c r="P44" t="str">
        <f>IF($C44="","",IFERROR(INDEX(Работы!$D$2:$D$6000,MATCH($C44,Работы!$A$2:$A$6000,0)),""))</f>
        <v/>
      </c>
      <c r="Q44" t="str">
        <f t="shared" si="4"/>
        <v/>
      </c>
      <c r="R44" t="str">
        <f t="shared" si="5"/>
        <v/>
      </c>
      <c r="S44" t="str">
        <f>IF($P44="","",$P44&amp;" · "&amp;IFERROR(INDEX(Работы!$E$2:$E$6000,MATCH($C44,Работы!$A$2:$A$6000,0)),""))</f>
        <v/>
      </c>
    </row>
    <row r="45" spans="1:19" x14ac:dyDescent="0.3">
      <c r="A45" s="4"/>
      <c r="B45" s="4"/>
      <c r="C45" t="str">
        <f t="shared" si="0"/>
        <v/>
      </c>
      <c r="D45" s="5" t="str">
        <f>IF($C45="","",IF(AND(LEFT($F45,3)="ДОК",$H45&lt;&gt;""),IFERROR(INDEX(Документация!$G$2:$G$57,MATCH($H45,Документация!$F$2:$F$57,0)),"— вариант не найден —"),IFERROR(INDEX(Работы!$B$2:$B$6000,MATCH($C45,Работы!$A$2:$A$6000,0)),"— нет такого кода —")))</f>
        <v/>
      </c>
      <c r="E45" t="str">
        <f>IF($C45="","",IF(AND(LEFT($F45,3)="ДОК",$H45&lt;&gt;""),IFERROR(INDEX(Документация!$D$2:$D$57,MATCH($H45,Документация!$F$2:$F$57,0)),""),IFERROR(INDEX(Работы!$C$2:$C$6000,MATCH($C45,Работы!$A$2:$A$6000,0)),"")))</f>
        <v/>
      </c>
      <c r="F45" t="str">
        <f>IF($C45="","",IFERROR(INDEX(Работы!$G$2:$G$6000,MATCH($C45,Работы!$A$2:$A$6000,0))&amp;"",""))</f>
        <v/>
      </c>
      <c r="G45" s="4"/>
      <c r="H45" s="4"/>
      <c r="I45" s="5" t="str">
        <f>IF((LEFT($F45,3)="ДОК"),"",IF($H45="","",IFERROR(INDEX(Материалы!$B$2:$B$9000,MATCH($H45,Материалы!$M$2:$M$9000,0)),"")))</f>
        <v/>
      </c>
      <c r="J45" s="6">
        <f>IF(AND(LEFT($F45,3)="ДОК",$H45&lt;&gt;""),IFERROR(INDEX(Документация!$E$2:$E$57,MATCH($H45,Документация!$F$2:$F$57,0)),0),IFERROR(INDEX(Работы!$H$2:$H$6000,MATCH($C45,Работы!$A$2:$A$6000,0)),0))*(1-MEDIAN(0,N(ДисконтТендер),1))</f>
        <v>0</v>
      </c>
      <c r="K45" s="6">
        <f>IF(OR((LEFT($F45,3)="ДОК"),$H45=""),0,IFERROR(INDEX(Материалы!$H$2:$H$9000,MATCH($H45,Материалы!$M$2:$M$9000,0))*IF(INDEX(Материалы!$I$2:$I$9000,MATCH($H45,Материалы!$M$2:$M$9000,0))="USD",КурсUSD,IF(INDEX(Материалы!$I$2:$I$9000,MATCH($H45,Материалы!$M$2:$M$9000,0))="EUR",КурсEUR,1))*(1+IFERROR(INDEX(Работы!$I$2:$I$6000,MATCH($C45,Работы!$A$2:$A$6000,0))/100,0))*(1-MEDIAN(0,N(ДисконтТендер),1)),0))</f>
        <v>0</v>
      </c>
      <c r="L45" s="6">
        <f t="shared" si="1"/>
        <v>0</v>
      </c>
      <c r="M45" s="6">
        <f t="shared" si="2"/>
        <v>0</v>
      </c>
      <c r="N45" s="6">
        <f t="shared" si="3"/>
        <v>0</v>
      </c>
      <c r="O45" t="str">
        <f>IF($N45&gt;0,MAX($O$1:$O44)+1,"")</f>
        <v/>
      </c>
      <c r="P45" t="str">
        <f>IF($C45="","",IFERROR(INDEX(Работы!$D$2:$D$6000,MATCH($C45,Работы!$A$2:$A$6000,0)),""))</f>
        <v/>
      </c>
      <c r="Q45" t="str">
        <f t="shared" si="4"/>
        <v/>
      </c>
      <c r="R45" t="str">
        <f t="shared" si="5"/>
        <v/>
      </c>
      <c r="S45" t="str">
        <f>IF($P45="","",$P45&amp;" · "&amp;IFERROR(INDEX(Работы!$E$2:$E$6000,MATCH($C45,Работы!$A$2:$A$6000,0)),""))</f>
        <v/>
      </c>
    </row>
    <row r="46" spans="1:19" x14ac:dyDescent="0.3">
      <c r="A46" s="4"/>
      <c r="B46" s="4"/>
      <c r="C46" t="str">
        <f t="shared" si="0"/>
        <v/>
      </c>
      <c r="D46" s="5" t="str">
        <f>IF($C46="","",IF(AND(LEFT($F46,3)="ДОК",$H46&lt;&gt;""),IFERROR(INDEX(Документация!$G$2:$G$57,MATCH($H46,Документация!$F$2:$F$57,0)),"— вариант не найден —"),IFERROR(INDEX(Работы!$B$2:$B$6000,MATCH($C46,Работы!$A$2:$A$6000,0)),"— нет такого кода —")))</f>
        <v/>
      </c>
      <c r="E46" t="str">
        <f>IF($C46="","",IF(AND(LEFT($F46,3)="ДОК",$H46&lt;&gt;""),IFERROR(INDEX(Документация!$D$2:$D$57,MATCH($H46,Документация!$F$2:$F$57,0)),""),IFERROR(INDEX(Работы!$C$2:$C$6000,MATCH($C46,Работы!$A$2:$A$6000,0)),"")))</f>
        <v/>
      </c>
      <c r="F46" t="str">
        <f>IF($C46="","",IFERROR(INDEX(Работы!$G$2:$G$6000,MATCH($C46,Работы!$A$2:$A$6000,0))&amp;"",""))</f>
        <v/>
      </c>
      <c r="G46" s="4"/>
      <c r="H46" s="4"/>
      <c r="I46" s="5" t="str">
        <f>IF((LEFT($F46,3)="ДОК"),"",IF($H46="","",IFERROR(INDEX(Материалы!$B$2:$B$9000,MATCH($H46,Материалы!$M$2:$M$9000,0)),"")))</f>
        <v/>
      </c>
      <c r="J46" s="6">
        <f>IF(AND(LEFT($F46,3)="ДОК",$H46&lt;&gt;""),IFERROR(INDEX(Документация!$E$2:$E$57,MATCH($H46,Документация!$F$2:$F$57,0)),0),IFERROR(INDEX(Работы!$H$2:$H$6000,MATCH($C46,Работы!$A$2:$A$6000,0)),0))*(1-MEDIAN(0,N(ДисконтТендер),1))</f>
        <v>0</v>
      </c>
      <c r="K46" s="6">
        <f>IF(OR((LEFT($F46,3)="ДОК"),$H46=""),0,IFERROR(INDEX(Материалы!$H$2:$H$9000,MATCH($H46,Материалы!$M$2:$M$9000,0))*IF(INDEX(Материалы!$I$2:$I$9000,MATCH($H46,Материалы!$M$2:$M$9000,0))="USD",КурсUSD,IF(INDEX(Материалы!$I$2:$I$9000,MATCH($H46,Материалы!$M$2:$M$9000,0))="EUR",КурсEUR,1))*(1+IFERROR(INDEX(Работы!$I$2:$I$6000,MATCH($C46,Работы!$A$2:$A$6000,0))/100,0))*(1-MEDIAN(0,N(ДисконтТендер),1)),0))</f>
        <v>0</v>
      </c>
      <c r="L46" s="6">
        <f t="shared" si="1"/>
        <v>0</v>
      </c>
      <c r="M46" s="6">
        <f t="shared" si="2"/>
        <v>0</v>
      </c>
      <c r="N46" s="6">
        <f t="shared" si="3"/>
        <v>0</v>
      </c>
      <c r="O46" t="str">
        <f>IF($N46&gt;0,MAX($O$1:$O45)+1,"")</f>
        <v/>
      </c>
      <c r="P46" t="str">
        <f>IF($C46="","",IFERROR(INDEX(Работы!$D$2:$D$6000,MATCH($C46,Работы!$A$2:$A$6000,0)),""))</f>
        <v/>
      </c>
      <c r="Q46" t="str">
        <f t="shared" si="4"/>
        <v/>
      </c>
      <c r="R46" t="str">
        <f t="shared" si="5"/>
        <v/>
      </c>
      <c r="S46" t="str">
        <f>IF($P46="","",$P46&amp;" · "&amp;IFERROR(INDEX(Работы!$E$2:$E$6000,MATCH($C46,Работы!$A$2:$A$6000,0)),""))</f>
        <v/>
      </c>
    </row>
    <row r="47" spans="1:19" x14ac:dyDescent="0.3">
      <c r="A47" s="4"/>
      <c r="B47" s="4"/>
      <c r="C47" t="str">
        <f t="shared" si="0"/>
        <v/>
      </c>
      <c r="D47" s="5" t="str">
        <f>IF($C47="","",IF(AND(LEFT($F47,3)="ДОК",$H47&lt;&gt;""),IFERROR(INDEX(Документация!$G$2:$G$57,MATCH($H47,Документация!$F$2:$F$57,0)),"— вариант не найден —"),IFERROR(INDEX(Работы!$B$2:$B$6000,MATCH($C47,Работы!$A$2:$A$6000,0)),"— нет такого кода —")))</f>
        <v/>
      </c>
      <c r="E47" t="str">
        <f>IF($C47="","",IF(AND(LEFT($F47,3)="ДОК",$H47&lt;&gt;""),IFERROR(INDEX(Документация!$D$2:$D$57,MATCH($H47,Документация!$F$2:$F$57,0)),""),IFERROR(INDEX(Работы!$C$2:$C$6000,MATCH($C47,Работы!$A$2:$A$6000,0)),"")))</f>
        <v/>
      </c>
      <c r="F47" t="str">
        <f>IF($C47="","",IFERROR(INDEX(Работы!$G$2:$G$6000,MATCH($C47,Работы!$A$2:$A$6000,0))&amp;"",""))</f>
        <v/>
      </c>
      <c r="G47" s="4"/>
      <c r="H47" s="4"/>
      <c r="I47" s="5" t="str">
        <f>IF((LEFT($F47,3)="ДОК"),"",IF($H47="","",IFERROR(INDEX(Материалы!$B$2:$B$9000,MATCH($H47,Материалы!$M$2:$M$9000,0)),"")))</f>
        <v/>
      </c>
      <c r="J47" s="6">
        <f>IF(AND(LEFT($F47,3)="ДОК",$H47&lt;&gt;""),IFERROR(INDEX(Документация!$E$2:$E$57,MATCH($H47,Документация!$F$2:$F$57,0)),0),IFERROR(INDEX(Работы!$H$2:$H$6000,MATCH($C47,Работы!$A$2:$A$6000,0)),0))*(1-MEDIAN(0,N(ДисконтТендер),1))</f>
        <v>0</v>
      </c>
      <c r="K47" s="6">
        <f>IF(OR((LEFT($F47,3)="ДОК"),$H47=""),0,IFERROR(INDEX(Материалы!$H$2:$H$9000,MATCH($H47,Материалы!$M$2:$M$9000,0))*IF(INDEX(Материалы!$I$2:$I$9000,MATCH($H47,Материалы!$M$2:$M$9000,0))="USD",КурсUSD,IF(INDEX(Материалы!$I$2:$I$9000,MATCH($H47,Материалы!$M$2:$M$9000,0))="EUR",КурсEUR,1))*(1+IFERROR(INDEX(Работы!$I$2:$I$6000,MATCH($C47,Работы!$A$2:$A$6000,0))/100,0))*(1-MEDIAN(0,N(ДисконтТендер),1)),0))</f>
        <v>0</v>
      </c>
      <c r="L47" s="6">
        <f t="shared" si="1"/>
        <v>0</v>
      </c>
      <c r="M47" s="6">
        <f t="shared" si="2"/>
        <v>0</v>
      </c>
      <c r="N47" s="6">
        <f t="shared" si="3"/>
        <v>0</v>
      </c>
      <c r="O47" t="str">
        <f>IF($N47&gt;0,MAX($O$1:$O46)+1,"")</f>
        <v/>
      </c>
      <c r="P47" t="str">
        <f>IF($C47="","",IFERROR(INDEX(Работы!$D$2:$D$6000,MATCH($C47,Работы!$A$2:$A$6000,0)),""))</f>
        <v/>
      </c>
      <c r="Q47" t="str">
        <f t="shared" si="4"/>
        <v/>
      </c>
      <c r="R47" t="str">
        <f t="shared" si="5"/>
        <v/>
      </c>
      <c r="S47" t="str">
        <f>IF($P47="","",$P47&amp;" · "&amp;IFERROR(INDEX(Работы!$E$2:$E$6000,MATCH($C47,Работы!$A$2:$A$6000,0)),""))</f>
        <v/>
      </c>
    </row>
    <row r="48" spans="1:19" x14ac:dyDescent="0.3">
      <c r="A48" s="4"/>
      <c r="B48" s="4"/>
      <c r="C48" t="str">
        <f t="shared" si="0"/>
        <v/>
      </c>
      <c r="D48" s="5" t="str">
        <f>IF($C48="","",IF(AND(LEFT($F48,3)="ДОК",$H48&lt;&gt;""),IFERROR(INDEX(Документация!$G$2:$G$57,MATCH($H48,Документация!$F$2:$F$57,0)),"— вариант не найден —"),IFERROR(INDEX(Работы!$B$2:$B$6000,MATCH($C48,Работы!$A$2:$A$6000,0)),"— нет такого кода —")))</f>
        <v/>
      </c>
      <c r="E48" t="str">
        <f>IF($C48="","",IF(AND(LEFT($F48,3)="ДОК",$H48&lt;&gt;""),IFERROR(INDEX(Документация!$D$2:$D$57,MATCH($H48,Документация!$F$2:$F$57,0)),""),IFERROR(INDEX(Работы!$C$2:$C$6000,MATCH($C48,Работы!$A$2:$A$6000,0)),"")))</f>
        <v/>
      </c>
      <c r="F48" t="str">
        <f>IF($C48="","",IFERROR(INDEX(Работы!$G$2:$G$6000,MATCH($C48,Работы!$A$2:$A$6000,0))&amp;"",""))</f>
        <v/>
      </c>
      <c r="G48" s="4"/>
      <c r="H48" s="4"/>
      <c r="I48" s="5" t="str">
        <f>IF((LEFT($F48,3)="ДОК"),"",IF($H48="","",IFERROR(INDEX(Материалы!$B$2:$B$9000,MATCH($H48,Материалы!$M$2:$M$9000,0)),"")))</f>
        <v/>
      </c>
      <c r="J48" s="6">
        <f>IF(AND(LEFT($F48,3)="ДОК",$H48&lt;&gt;""),IFERROR(INDEX(Документация!$E$2:$E$57,MATCH($H48,Документация!$F$2:$F$57,0)),0),IFERROR(INDEX(Работы!$H$2:$H$6000,MATCH($C48,Работы!$A$2:$A$6000,0)),0))*(1-MEDIAN(0,N(ДисконтТендер),1))</f>
        <v>0</v>
      </c>
      <c r="K48" s="6">
        <f>IF(OR((LEFT($F48,3)="ДОК"),$H48=""),0,IFERROR(INDEX(Материалы!$H$2:$H$9000,MATCH($H48,Материалы!$M$2:$M$9000,0))*IF(INDEX(Материалы!$I$2:$I$9000,MATCH($H48,Материалы!$M$2:$M$9000,0))="USD",КурсUSD,IF(INDEX(Материалы!$I$2:$I$9000,MATCH($H48,Материалы!$M$2:$M$9000,0))="EUR",КурсEUR,1))*(1+IFERROR(INDEX(Работы!$I$2:$I$6000,MATCH($C48,Работы!$A$2:$A$6000,0))/100,0))*(1-MEDIAN(0,N(ДисконтТендер),1)),0))</f>
        <v>0</v>
      </c>
      <c r="L48" s="6">
        <f t="shared" si="1"/>
        <v>0</v>
      </c>
      <c r="M48" s="6">
        <f t="shared" si="2"/>
        <v>0</v>
      </c>
      <c r="N48" s="6">
        <f t="shared" si="3"/>
        <v>0</v>
      </c>
      <c r="O48" t="str">
        <f>IF($N48&gt;0,MAX($O$1:$O47)+1,"")</f>
        <v/>
      </c>
      <c r="P48" t="str">
        <f>IF($C48="","",IFERROR(INDEX(Работы!$D$2:$D$6000,MATCH($C48,Работы!$A$2:$A$6000,0)),""))</f>
        <v/>
      </c>
      <c r="Q48" t="str">
        <f t="shared" si="4"/>
        <v/>
      </c>
      <c r="R48" t="str">
        <f t="shared" si="5"/>
        <v/>
      </c>
      <c r="S48" t="str">
        <f>IF($P48="","",$P48&amp;" · "&amp;IFERROR(INDEX(Работы!$E$2:$E$6000,MATCH($C48,Работы!$A$2:$A$6000,0)),""))</f>
        <v/>
      </c>
    </row>
    <row r="49" spans="1:19" x14ac:dyDescent="0.3">
      <c r="A49" s="4"/>
      <c r="B49" s="4"/>
      <c r="C49" t="str">
        <f t="shared" si="0"/>
        <v/>
      </c>
      <c r="D49" s="5" t="str">
        <f>IF($C49="","",IF(AND(LEFT($F49,3)="ДОК",$H49&lt;&gt;""),IFERROR(INDEX(Документация!$G$2:$G$57,MATCH($H49,Документация!$F$2:$F$57,0)),"— вариант не найден —"),IFERROR(INDEX(Работы!$B$2:$B$6000,MATCH($C49,Работы!$A$2:$A$6000,0)),"— нет такого кода —")))</f>
        <v/>
      </c>
      <c r="E49" t="str">
        <f>IF($C49="","",IF(AND(LEFT($F49,3)="ДОК",$H49&lt;&gt;""),IFERROR(INDEX(Документация!$D$2:$D$57,MATCH($H49,Документация!$F$2:$F$57,0)),""),IFERROR(INDEX(Работы!$C$2:$C$6000,MATCH($C49,Работы!$A$2:$A$6000,0)),"")))</f>
        <v/>
      </c>
      <c r="F49" t="str">
        <f>IF($C49="","",IFERROR(INDEX(Работы!$G$2:$G$6000,MATCH($C49,Работы!$A$2:$A$6000,0))&amp;"",""))</f>
        <v/>
      </c>
      <c r="G49" s="4"/>
      <c r="H49" s="4"/>
      <c r="I49" s="5" t="str">
        <f>IF((LEFT($F49,3)="ДОК"),"",IF($H49="","",IFERROR(INDEX(Материалы!$B$2:$B$9000,MATCH($H49,Материалы!$M$2:$M$9000,0)),"")))</f>
        <v/>
      </c>
      <c r="J49" s="6">
        <f>IF(AND(LEFT($F49,3)="ДОК",$H49&lt;&gt;""),IFERROR(INDEX(Документация!$E$2:$E$57,MATCH($H49,Документация!$F$2:$F$57,0)),0),IFERROR(INDEX(Работы!$H$2:$H$6000,MATCH($C49,Работы!$A$2:$A$6000,0)),0))*(1-MEDIAN(0,N(ДисконтТендер),1))</f>
        <v>0</v>
      </c>
      <c r="K49" s="6">
        <f>IF(OR((LEFT($F49,3)="ДОК"),$H49=""),0,IFERROR(INDEX(Материалы!$H$2:$H$9000,MATCH($H49,Материалы!$M$2:$M$9000,0))*IF(INDEX(Материалы!$I$2:$I$9000,MATCH($H49,Материалы!$M$2:$M$9000,0))="USD",КурсUSD,IF(INDEX(Материалы!$I$2:$I$9000,MATCH($H49,Материалы!$M$2:$M$9000,0))="EUR",КурсEUR,1))*(1+IFERROR(INDEX(Работы!$I$2:$I$6000,MATCH($C49,Работы!$A$2:$A$6000,0))/100,0))*(1-MEDIAN(0,N(ДисконтТендер),1)),0))</f>
        <v>0</v>
      </c>
      <c r="L49" s="6">
        <f t="shared" si="1"/>
        <v>0</v>
      </c>
      <c r="M49" s="6">
        <f t="shared" si="2"/>
        <v>0</v>
      </c>
      <c r="N49" s="6">
        <f t="shared" si="3"/>
        <v>0</v>
      </c>
      <c r="O49" t="str">
        <f>IF($N49&gt;0,MAX($O$1:$O48)+1,"")</f>
        <v/>
      </c>
      <c r="P49" t="str">
        <f>IF($C49="","",IFERROR(INDEX(Работы!$D$2:$D$6000,MATCH($C49,Работы!$A$2:$A$6000,0)),""))</f>
        <v/>
      </c>
      <c r="Q49" t="str">
        <f t="shared" si="4"/>
        <v/>
      </c>
      <c r="R49" t="str">
        <f t="shared" si="5"/>
        <v/>
      </c>
      <c r="S49" t="str">
        <f>IF($P49="","",$P49&amp;" · "&amp;IFERROR(INDEX(Работы!$E$2:$E$6000,MATCH($C49,Работы!$A$2:$A$6000,0)),""))</f>
        <v/>
      </c>
    </row>
    <row r="50" spans="1:19" x14ac:dyDescent="0.3">
      <c r="A50" s="4"/>
      <c r="B50" s="4"/>
      <c r="C50" t="str">
        <f t="shared" si="0"/>
        <v/>
      </c>
      <c r="D50" s="5" t="str">
        <f>IF($C50="","",IF(AND(LEFT($F50,3)="ДОК",$H50&lt;&gt;""),IFERROR(INDEX(Документация!$G$2:$G$57,MATCH($H50,Документация!$F$2:$F$57,0)),"— вариант не найден —"),IFERROR(INDEX(Работы!$B$2:$B$6000,MATCH($C50,Работы!$A$2:$A$6000,0)),"— нет такого кода —")))</f>
        <v/>
      </c>
      <c r="E50" t="str">
        <f>IF($C50="","",IF(AND(LEFT($F50,3)="ДОК",$H50&lt;&gt;""),IFERROR(INDEX(Документация!$D$2:$D$57,MATCH($H50,Документация!$F$2:$F$57,0)),""),IFERROR(INDEX(Работы!$C$2:$C$6000,MATCH($C50,Работы!$A$2:$A$6000,0)),"")))</f>
        <v/>
      </c>
      <c r="F50" t="str">
        <f>IF($C50="","",IFERROR(INDEX(Работы!$G$2:$G$6000,MATCH($C50,Работы!$A$2:$A$6000,0))&amp;"",""))</f>
        <v/>
      </c>
      <c r="G50" s="4"/>
      <c r="H50" s="4"/>
      <c r="I50" s="5" t="str">
        <f>IF((LEFT($F50,3)="ДОК"),"",IF($H50="","",IFERROR(INDEX(Материалы!$B$2:$B$9000,MATCH($H50,Материалы!$M$2:$M$9000,0)),"")))</f>
        <v/>
      </c>
      <c r="J50" s="6">
        <f>IF(AND(LEFT($F50,3)="ДОК",$H50&lt;&gt;""),IFERROR(INDEX(Документация!$E$2:$E$57,MATCH($H50,Документация!$F$2:$F$57,0)),0),IFERROR(INDEX(Работы!$H$2:$H$6000,MATCH($C50,Работы!$A$2:$A$6000,0)),0))*(1-MEDIAN(0,N(ДисконтТендер),1))</f>
        <v>0</v>
      </c>
      <c r="K50" s="6">
        <f>IF(OR((LEFT($F50,3)="ДОК"),$H50=""),0,IFERROR(INDEX(Материалы!$H$2:$H$9000,MATCH($H50,Материалы!$M$2:$M$9000,0))*IF(INDEX(Материалы!$I$2:$I$9000,MATCH($H50,Материалы!$M$2:$M$9000,0))="USD",КурсUSD,IF(INDEX(Материалы!$I$2:$I$9000,MATCH($H50,Материалы!$M$2:$M$9000,0))="EUR",КурсEUR,1))*(1+IFERROR(INDEX(Работы!$I$2:$I$6000,MATCH($C50,Работы!$A$2:$A$6000,0))/100,0))*(1-MEDIAN(0,N(ДисконтТендер),1)),0))</f>
        <v>0</v>
      </c>
      <c r="L50" s="6">
        <f t="shared" si="1"/>
        <v>0</v>
      </c>
      <c r="M50" s="6">
        <f t="shared" si="2"/>
        <v>0</v>
      </c>
      <c r="N50" s="6">
        <f t="shared" si="3"/>
        <v>0</v>
      </c>
      <c r="O50" t="str">
        <f>IF($N50&gt;0,MAX($O$1:$O49)+1,"")</f>
        <v/>
      </c>
      <c r="P50" t="str">
        <f>IF($C50="","",IFERROR(INDEX(Работы!$D$2:$D$6000,MATCH($C50,Работы!$A$2:$A$6000,0)),""))</f>
        <v/>
      </c>
      <c r="Q50" t="str">
        <f t="shared" si="4"/>
        <v/>
      </c>
      <c r="R50" t="str">
        <f t="shared" si="5"/>
        <v/>
      </c>
      <c r="S50" t="str">
        <f>IF($P50="","",$P50&amp;" · "&amp;IFERROR(INDEX(Работы!$E$2:$E$6000,MATCH($C50,Работы!$A$2:$A$6000,0)),""))</f>
        <v/>
      </c>
    </row>
    <row r="51" spans="1:19" x14ac:dyDescent="0.3">
      <c r="A51" s="4"/>
      <c r="B51" s="4"/>
      <c r="C51" t="str">
        <f t="shared" si="0"/>
        <v/>
      </c>
      <c r="D51" s="5" t="str">
        <f>IF($C51="","",IF(AND(LEFT($F51,3)="ДОК",$H51&lt;&gt;""),IFERROR(INDEX(Документация!$G$2:$G$57,MATCH($H51,Документация!$F$2:$F$57,0)),"— вариант не найден —"),IFERROR(INDEX(Работы!$B$2:$B$6000,MATCH($C51,Работы!$A$2:$A$6000,0)),"— нет такого кода —")))</f>
        <v/>
      </c>
      <c r="E51" t="str">
        <f>IF($C51="","",IF(AND(LEFT($F51,3)="ДОК",$H51&lt;&gt;""),IFERROR(INDEX(Документация!$D$2:$D$57,MATCH($H51,Документация!$F$2:$F$57,0)),""),IFERROR(INDEX(Работы!$C$2:$C$6000,MATCH($C51,Работы!$A$2:$A$6000,0)),"")))</f>
        <v/>
      </c>
      <c r="F51" t="str">
        <f>IF($C51="","",IFERROR(INDEX(Работы!$G$2:$G$6000,MATCH($C51,Работы!$A$2:$A$6000,0))&amp;"",""))</f>
        <v/>
      </c>
      <c r="G51" s="4"/>
      <c r="H51" s="4"/>
      <c r="I51" s="5" t="str">
        <f>IF((LEFT($F51,3)="ДОК"),"",IF($H51="","",IFERROR(INDEX(Материалы!$B$2:$B$9000,MATCH($H51,Материалы!$M$2:$M$9000,0)),"")))</f>
        <v/>
      </c>
      <c r="J51" s="6">
        <f>IF(AND(LEFT($F51,3)="ДОК",$H51&lt;&gt;""),IFERROR(INDEX(Документация!$E$2:$E$57,MATCH($H51,Документация!$F$2:$F$57,0)),0),IFERROR(INDEX(Работы!$H$2:$H$6000,MATCH($C51,Работы!$A$2:$A$6000,0)),0))*(1-MEDIAN(0,N(ДисконтТендер),1))</f>
        <v>0</v>
      </c>
      <c r="K51" s="6">
        <f>IF(OR((LEFT($F51,3)="ДОК"),$H51=""),0,IFERROR(INDEX(Материалы!$H$2:$H$9000,MATCH($H51,Материалы!$M$2:$M$9000,0))*IF(INDEX(Материалы!$I$2:$I$9000,MATCH($H51,Материалы!$M$2:$M$9000,0))="USD",КурсUSD,IF(INDEX(Материалы!$I$2:$I$9000,MATCH($H51,Материалы!$M$2:$M$9000,0))="EUR",КурсEUR,1))*(1+IFERROR(INDEX(Работы!$I$2:$I$6000,MATCH($C51,Работы!$A$2:$A$6000,0))/100,0))*(1-MEDIAN(0,N(ДисконтТендер),1)),0))</f>
        <v>0</v>
      </c>
      <c r="L51" s="6">
        <f t="shared" si="1"/>
        <v>0</v>
      </c>
      <c r="M51" s="6">
        <f t="shared" si="2"/>
        <v>0</v>
      </c>
      <c r="N51" s="6">
        <f t="shared" si="3"/>
        <v>0</v>
      </c>
      <c r="O51" t="str">
        <f>IF($N51&gt;0,MAX($O$1:$O50)+1,"")</f>
        <v/>
      </c>
      <c r="P51" t="str">
        <f>IF($C51="","",IFERROR(INDEX(Работы!$D$2:$D$6000,MATCH($C51,Работы!$A$2:$A$6000,0)),""))</f>
        <v/>
      </c>
      <c r="Q51" t="str">
        <f t="shared" si="4"/>
        <v/>
      </c>
      <c r="R51" t="str">
        <f t="shared" si="5"/>
        <v/>
      </c>
      <c r="S51" t="str">
        <f>IF($P51="","",$P51&amp;" · "&amp;IFERROR(INDEX(Работы!$E$2:$E$6000,MATCH($C51,Работы!$A$2:$A$6000,0)),""))</f>
        <v/>
      </c>
    </row>
    <row r="52" spans="1:19" x14ac:dyDescent="0.3">
      <c r="A52" s="4"/>
      <c r="B52" s="4"/>
      <c r="C52" t="str">
        <f t="shared" si="0"/>
        <v/>
      </c>
      <c r="D52" s="5" t="str">
        <f>IF($C52="","",IF(AND(LEFT($F52,3)="ДОК",$H52&lt;&gt;""),IFERROR(INDEX(Документация!$G$2:$G$57,MATCH($H52,Документация!$F$2:$F$57,0)),"— вариант не найден —"),IFERROR(INDEX(Работы!$B$2:$B$6000,MATCH($C52,Работы!$A$2:$A$6000,0)),"— нет такого кода —")))</f>
        <v/>
      </c>
      <c r="E52" t="str">
        <f>IF($C52="","",IF(AND(LEFT($F52,3)="ДОК",$H52&lt;&gt;""),IFERROR(INDEX(Документация!$D$2:$D$57,MATCH($H52,Документация!$F$2:$F$57,0)),""),IFERROR(INDEX(Работы!$C$2:$C$6000,MATCH($C52,Работы!$A$2:$A$6000,0)),"")))</f>
        <v/>
      </c>
      <c r="F52" t="str">
        <f>IF($C52="","",IFERROR(INDEX(Работы!$G$2:$G$6000,MATCH($C52,Работы!$A$2:$A$6000,0))&amp;"",""))</f>
        <v/>
      </c>
      <c r="G52" s="4"/>
      <c r="H52" s="4"/>
      <c r="I52" s="5" t="str">
        <f>IF((LEFT($F52,3)="ДОК"),"",IF($H52="","",IFERROR(INDEX(Материалы!$B$2:$B$9000,MATCH($H52,Материалы!$M$2:$M$9000,0)),"")))</f>
        <v/>
      </c>
      <c r="J52" s="6">
        <f>IF(AND(LEFT($F52,3)="ДОК",$H52&lt;&gt;""),IFERROR(INDEX(Документация!$E$2:$E$57,MATCH($H52,Документация!$F$2:$F$57,0)),0),IFERROR(INDEX(Работы!$H$2:$H$6000,MATCH($C52,Работы!$A$2:$A$6000,0)),0))*(1-MEDIAN(0,N(ДисконтТендер),1))</f>
        <v>0</v>
      </c>
      <c r="K52" s="6">
        <f>IF(OR((LEFT($F52,3)="ДОК"),$H52=""),0,IFERROR(INDEX(Материалы!$H$2:$H$9000,MATCH($H52,Материалы!$M$2:$M$9000,0))*IF(INDEX(Материалы!$I$2:$I$9000,MATCH($H52,Материалы!$M$2:$M$9000,0))="USD",КурсUSD,IF(INDEX(Материалы!$I$2:$I$9000,MATCH($H52,Материалы!$M$2:$M$9000,0))="EUR",КурсEUR,1))*(1+IFERROR(INDEX(Работы!$I$2:$I$6000,MATCH($C52,Работы!$A$2:$A$6000,0))/100,0))*(1-MEDIAN(0,N(ДисконтТендер),1)),0))</f>
        <v>0</v>
      </c>
      <c r="L52" s="6">
        <f t="shared" si="1"/>
        <v>0</v>
      </c>
      <c r="M52" s="6">
        <f t="shared" si="2"/>
        <v>0</v>
      </c>
      <c r="N52" s="6">
        <f t="shared" si="3"/>
        <v>0</v>
      </c>
      <c r="O52" t="str">
        <f>IF($N52&gt;0,MAX($O$1:$O51)+1,"")</f>
        <v/>
      </c>
      <c r="P52" t="str">
        <f>IF($C52="","",IFERROR(INDEX(Работы!$D$2:$D$6000,MATCH($C52,Работы!$A$2:$A$6000,0)),""))</f>
        <v/>
      </c>
      <c r="Q52" t="str">
        <f t="shared" si="4"/>
        <v/>
      </c>
      <c r="R52" t="str">
        <f t="shared" si="5"/>
        <v/>
      </c>
      <c r="S52" t="str">
        <f>IF($P52="","",$P52&amp;" · "&amp;IFERROR(INDEX(Работы!$E$2:$E$6000,MATCH($C52,Работы!$A$2:$A$6000,0)),""))</f>
        <v/>
      </c>
    </row>
    <row r="53" spans="1:19" x14ac:dyDescent="0.3">
      <c r="A53" s="4"/>
      <c r="B53" s="4"/>
      <c r="C53" t="str">
        <f t="shared" si="0"/>
        <v/>
      </c>
      <c r="D53" s="5" t="str">
        <f>IF($C53="","",IF(AND(LEFT($F53,3)="ДОК",$H53&lt;&gt;""),IFERROR(INDEX(Документация!$G$2:$G$57,MATCH($H53,Документация!$F$2:$F$57,0)),"— вариант не найден —"),IFERROR(INDEX(Работы!$B$2:$B$6000,MATCH($C53,Работы!$A$2:$A$6000,0)),"— нет такого кода —")))</f>
        <v/>
      </c>
      <c r="E53" t="str">
        <f>IF($C53="","",IF(AND(LEFT($F53,3)="ДОК",$H53&lt;&gt;""),IFERROR(INDEX(Документация!$D$2:$D$57,MATCH($H53,Документация!$F$2:$F$57,0)),""),IFERROR(INDEX(Работы!$C$2:$C$6000,MATCH($C53,Работы!$A$2:$A$6000,0)),"")))</f>
        <v/>
      </c>
      <c r="F53" t="str">
        <f>IF($C53="","",IFERROR(INDEX(Работы!$G$2:$G$6000,MATCH($C53,Работы!$A$2:$A$6000,0))&amp;"",""))</f>
        <v/>
      </c>
      <c r="G53" s="4"/>
      <c r="H53" s="4"/>
      <c r="I53" s="5" t="str">
        <f>IF((LEFT($F53,3)="ДОК"),"",IF($H53="","",IFERROR(INDEX(Материалы!$B$2:$B$9000,MATCH($H53,Материалы!$M$2:$M$9000,0)),"")))</f>
        <v/>
      </c>
      <c r="J53" s="6">
        <f>IF(AND(LEFT($F53,3)="ДОК",$H53&lt;&gt;""),IFERROR(INDEX(Документация!$E$2:$E$57,MATCH($H53,Документация!$F$2:$F$57,0)),0),IFERROR(INDEX(Работы!$H$2:$H$6000,MATCH($C53,Работы!$A$2:$A$6000,0)),0))*(1-MEDIAN(0,N(ДисконтТендер),1))</f>
        <v>0</v>
      </c>
      <c r="K53" s="6">
        <f>IF(OR((LEFT($F53,3)="ДОК"),$H53=""),0,IFERROR(INDEX(Материалы!$H$2:$H$9000,MATCH($H53,Материалы!$M$2:$M$9000,0))*IF(INDEX(Материалы!$I$2:$I$9000,MATCH($H53,Материалы!$M$2:$M$9000,0))="USD",КурсUSD,IF(INDEX(Материалы!$I$2:$I$9000,MATCH($H53,Материалы!$M$2:$M$9000,0))="EUR",КурсEUR,1))*(1+IFERROR(INDEX(Работы!$I$2:$I$6000,MATCH($C53,Работы!$A$2:$A$6000,0))/100,0))*(1-MEDIAN(0,N(ДисконтТендер),1)),0))</f>
        <v>0</v>
      </c>
      <c r="L53" s="6">
        <f t="shared" si="1"/>
        <v>0</v>
      </c>
      <c r="M53" s="6">
        <f t="shared" si="2"/>
        <v>0</v>
      </c>
      <c r="N53" s="6">
        <f t="shared" si="3"/>
        <v>0</v>
      </c>
      <c r="O53" t="str">
        <f>IF($N53&gt;0,MAX($O$1:$O52)+1,"")</f>
        <v/>
      </c>
      <c r="P53" t="str">
        <f>IF($C53="","",IFERROR(INDEX(Работы!$D$2:$D$6000,MATCH($C53,Работы!$A$2:$A$6000,0)),""))</f>
        <v/>
      </c>
      <c r="Q53" t="str">
        <f t="shared" si="4"/>
        <v/>
      </c>
      <c r="R53" t="str">
        <f t="shared" si="5"/>
        <v/>
      </c>
      <c r="S53" t="str">
        <f>IF($P53="","",$P53&amp;" · "&amp;IFERROR(INDEX(Работы!$E$2:$E$6000,MATCH($C53,Работы!$A$2:$A$6000,0)),""))</f>
        <v/>
      </c>
    </row>
    <row r="54" spans="1:19" x14ac:dyDescent="0.3">
      <c r="A54" s="4"/>
      <c r="B54" s="4"/>
      <c r="C54" t="str">
        <f t="shared" si="0"/>
        <v/>
      </c>
      <c r="D54" s="5" t="str">
        <f>IF($C54="","",IF(AND(LEFT($F54,3)="ДОК",$H54&lt;&gt;""),IFERROR(INDEX(Документация!$G$2:$G$57,MATCH($H54,Документация!$F$2:$F$57,0)),"— вариант не найден —"),IFERROR(INDEX(Работы!$B$2:$B$6000,MATCH($C54,Работы!$A$2:$A$6000,0)),"— нет такого кода —")))</f>
        <v/>
      </c>
      <c r="E54" t="str">
        <f>IF($C54="","",IF(AND(LEFT($F54,3)="ДОК",$H54&lt;&gt;""),IFERROR(INDEX(Документация!$D$2:$D$57,MATCH($H54,Документация!$F$2:$F$57,0)),""),IFERROR(INDEX(Работы!$C$2:$C$6000,MATCH($C54,Работы!$A$2:$A$6000,0)),"")))</f>
        <v/>
      </c>
      <c r="F54" t="str">
        <f>IF($C54="","",IFERROR(INDEX(Работы!$G$2:$G$6000,MATCH($C54,Работы!$A$2:$A$6000,0))&amp;"",""))</f>
        <v/>
      </c>
      <c r="G54" s="4"/>
      <c r="H54" s="4"/>
      <c r="I54" s="5" t="str">
        <f>IF((LEFT($F54,3)="ДОК"),"",IF($H54="","",IFERROR(INDEX(Материалы!$B$2:$B$9000,MATCH($H54,Материалы!$M$2:$M$9000,0)),"")))</f>
        <v/>
      </c>
      <c r="J54" s="6">
        <f>IF(AND(LEFT($F54,3)="ДОК",$H54&lt;&gt;""),IFERROR(INDEX(Документация!$E$2:$E$57,MATCH($H54,Документация!$F$2:$F$57,0)),0),IFERROR(INDEX(Работы!$H$2:$H$6000,MATCH($C54,Работы!$A$2:$A$6000,0)),0))*(1-MEDIAN(0,N(ДисконтТендер),1))</f>
        <v>0</v>
      </c>
      <c r="K54" s="6">
        <f>IF(OR((LEFT($F54,3)="ДОК"),$H54=""),0,IFERROR(INDEX(Материалы!$H$2:$H$9000,MATCH($H54,Материалы!$M$2:$M$9000,0))*IF(INDEX(Материалы!$I$2:$I$9000,MATCH($H54,Материалы!$M$2:$M$9000,0))="USD",КурсUSD,IF(INDEX(Материалы!$I$2:$I$9000,MATCH($H54,Материалы!$M$2:$M$9000,0))="EUR",КурсEUR,1))*(1+IFERROR(INDEX(Работы!$I$2:$I$6000,MATCH($C54,Работы!$A$2:$A$6000,0))/100,0))*(1-MEDIAN(0,N(ДисконтТендер),1)),0))</f>
        <v>0</v>
      </c>
      <c r="L54" s="6">
        <f t="shared" si="1"/>
        <v>0</v>
      </c>
      <c r="M54" s="6">
        <f t="shared" si="2"/>
        <v>0</v>
      </c>
      <c r="N54" s="6">
        <f t="shared" si="3"/>
        <v>0</v>
      </c>
      <c r="O54" t="str">
        <f>IF($N54&gt;0,MAX($O$1:$O53)+1,"")</f>
        <v/>
      </c>
      <c r="P54" t="str">
        <f>IF($C54="","",IFERROR(INDEX(Работы!$D$2:$D$6000,MATCH($C54,Работы!$A$2:$A$6000,0)),""))</f>
        <v/>
      </c>
      <c r="Q54" t="str">
        <f t="shared" si="4"/>
        <v/>
      </c>
      <c r="R54" t="str">
        <f t="shared" si="5"/>
        <v/>
      </c>
      <c r="S54" t="str">
        <f>IF($P54="","",$P54&amp;" · "&amp;IFERROR(INDEX(Работы!$E$2:$E$6000,MATCH($C54,Работы!$A$2:$A$6000,0)),""))</f>
        <v/>
      </c>
    </row>
    <row r="55" spans="1:19" x14ac:dyDescent="0.3">
      <c r="A55" s="4"/>
      <c r="B55" s="4"/>
      <c r="C55" t="str">
        <f t="shared" si="0"/>
        <v/>
      </c>
      <c r="D55" s="5" t="str">
        <f>IF($C55="","",IF(AND(LEFT($F55,3)="ДОК",$H55&lt;&gt;""),IFERROR(INDEX(Документация!$G$2:$G$57,MATCH($H55,Документация!$F$2:$F$57,0)),"— вариант не найден —"),IFERROR(INDEX(Работы!$B$2:$B$6000,MATCH($C55,Работы!$A$2:$A$6000,0)),"— нет такого кода —")))</f>
        <v/>
      </c>
      <c r="E55" t="str">
        <f>IF($C55="","",IF(AND(LEFT($F55,3)="ДОК",$H55&lt;&gt;""),IFERROR(INDEX(Документация!$D$2:$D$57,MATCH($H55,Документация!$F$2:$F$57,0)),""),IFERROR(INDEX(Работы!$C$2:$C$6000,MATCH($C55,Работы!$A$2:$A$6000,0)),"")))</f>
        <v/>
      </c>
      <c r="F55" t="str">
        <f>IF($C55="","",IFERROR(INDEX(Работы!$G$2:$G$6000,MATCH($C55,Работы!$A$2:$A$6000,0))&amp;"",""))</f>
        <v/>
      </c>
      <c r="G55" s="4"/>
      <c r="H55" s="4"/>
      <c r="I55" s="5" t="str">
        <f>IF((LEFT($F55,3)="ДОК"),"",IF($H55="","",IFERROR(INDEX(Материалы!$B$2:$B$9000,MATCH($H55,Материалы!$M$2:$M$9000,0)),"")))</f>
        <v/>
      </c>
      <c r="J55" s="6">
        <f>IF(AND(LEFT($F55,3)="ДОК",$H55&lt;&gt;""),IFERROR(INDEX(Документация!$E$2:$E$57,MATCH($H55,Документация!$F$2:$F$57,0)),0),IFERROR(INDEX(Работы!$H$2:$H$6000,MATCH($C55,Работы!$A$2:$A$6000,0)),0))*(1-MEDIAN(0,N(ДисконтТендер),1))</f>
        <v>0</v>
      </c>
      <c r="K55" s="6">
        <f>IF(OR((LEFT($F55,3)="ДОК"),$H55=""),0,IFERROR(INDEX(Материалы!$H$2:$H$9000,MATCH($H55,Материалы!$M$2:$M$9000,0))*IF(INDEX(Материалы!$I$2:$I$9000,MATCH($H55,Материалы!$M$2:$M$9000,0))="USD",КурсUSD,IF(INDEX(Материалы!$I$2:$I$9000,MATCH($H55,Материалы!$M$2:$M$9000,0))="EUR",КурсEUR,1))*(1+IFERROR(INDEX(Работы!$I$2:$I$6000,MATCH($C55,Работы!$A$2:$A$6000,0))/100,0))*(1-MEDIAN(0,N(ДисконтТендер),1)),0))</f>
        <v>0</v>
      </c>
      <c r="L55" s="6">
        <f t="shared" si="1"/>
        <v>0</v>
      </c>
      <c r="M55" s="6">
        <f t="shared" si="2"/>
        <v>0</v>
      </c>
      <c r="N55" s="6">
        <f t="shared" si="3"/>
        <v>0</v>
      </c>
      <c r="O55" t="str">
        <f>IF($N55&gt;0,MAX($O$1:$O54)+1,"")</f>
        <v/>
      </c>
      <c r="P55" t="str">
        <f>IF($C55="","",IFERROR(INDEX(Работы!$D$2:$D$6000,MATCH($C55,Работы!$A$2:$A$6000,0)),""))</f>
        <v/>
      </c>
      <c r="Q55" t="str">
        <f t="shared" si="4"/>
        <v/>
      </c>
      <c r="R55" t="str">
        <f t="shared" si="5"/>
        <v/>
      </c>
      <c r="S55" t="str">
        <f>IF($P55="","",$P55&amp;" · "&amp;IFERROR(INDEX(Работы!$E$2:$E$6000,MATCH($C55,Работы!$A$2:$A$6000,0)),""))</f>
        <v/>
      </c>
    </row>
    <row r="56" spans="1:19" x14ac:dyDescent="0.3">
      <c r="A56" s="4"/>
      <c r="B56" s="4"/>
      <c r="C56" t="str">
        <f t="shared" si="0"/>
        <v/>
      </c>
      <c r="D56" s="5" t="str">
        <f>IF($C56="","",IF(AND(LEFT($F56,3)="ДОК",$H56&lt;&gt;""),IFERROR(INDEX(Документация!$G$2:$G$57,MATCH($H56,Документация!$F$2:$F$57,0)),"— вариант не найден —"),IFERROR(INDEX(Работы!$B$2:$B$6000,MATCH($C56,Работы!$A$2:$A$6000,0)),"— нет такого кода —")))</f>
        <v/>
      </c>
      <c r="E56" t="str">
        <f>IF($C56="","",IF(AND(LEFT($F56,3)="ДОК",$H56&lt;&gt;""),IFERROR(INDEX(Документация!$D$2:$D$57,MATCH($H56,Документация!$F$2:$F$57,0)),""),IFERROR(INDEX(Работы!$C$2:$C$6000,MATCH($C56,Работы!$A$2:$A$6000,0)),"")))</f>
        <v/>
      </c>
      <c r="F56" t="str">
        <f>IF($C56="","",IFERROR(INDEX(Работы!$G$2:$G$6000,MATCH($C56,Работы!$A$2:$A$6000,0))&amp;"",""))</f>
        <v/>
      </c>
      <c r="G56" s="4"/>
      <c r="H56" s="4"/>
      <c r="I56" s="5" t="str">
        <f>IF((LEFT($F56,3)="ДОК"),"",IF($H56="","",IFERROR(INDEX(Материалы!$B$2:$B$9000,MATCH($H56,Материалы!$M$2:$M$9000,0)),"")))</f>
        <v/>
      </c>
      <c r="J56" s="6">
        <f>IF(AND(LEFT($F56,3)="ДОК",$H56&lt;&gt;""),IFERROR(INDEX(Документация!$E$2:$E$57,MATCH($H56,Документация!$F$2:$F$57,0)),0),IFERROR(INDEX(Работы!$H$2:$H$6000,MATCH($C56,Работы!$A$2:$A$6000,0)),0))*(1-MEDIAN(0,N(ДисконтТендер),1))</f>
        <v>0</v>
      </c>
      <c r="K56" s="6">
        <f>IF(OR((LEFT($F56,3)="ДОК"),$H56=""),0,IFERROR(INDEX(Материалы!$H$2:$H$9000,MATCH($H56,Материалы!$M$2:$M$9000,0))*IF(INDEX(Материалы!$I$2:$I$9000,MATCH($H56,Материалы!$M$2:$M$9000,0))="USD",КурсUSD,IF(INDEX(Материалы!$I$2:$I$9000,MATCH($H56,Материалы!$M$2:$M$9000,0))="EUR",КурсEUR,1))*(1+IFERROR(INDEX(Работы!$I$2:$I$6000,MATCH($C56,Работы!$A$2:$A$6000,0))/100,0))*(1-MEDIAN(0,N(ДисконтТендер),1)),0))</f>
        <v>0</v>
      </c>
      <c r="L56" s="6">
        <f t="shared" si="1"/>
        <v>0</v>
      </c>
      <c r="M56" s="6">
        <f t="shared" si="2"/>
        <v>0</v>
      </c>
      <c r="N56" s="6">
        <f t="shared" si="3"/>
        <v>0</v>
      </c>
      <c r="O56" t="str">
        <f>IF($N56&gt;0,MAX($O$1:$O55)+1,"")</f>
        <v/>
      </c>
      <c r="P56" t="str">
        <f>IF($C56="","",IFERROR(INDEX(Работы!$D$2:$D$6000,MATCH($C56,Работы!$A$2:$A$6000,0)),""))</f>
        <v/>
      </c>
      <c r="Q56" t="str">
        <f t="shared" si="4"/>
        <v/>
      </c>
      <c r="R56" t="str">
        <f t="shared" si="5"/>
        <v/>
      </c>
      <c r="S56" t="str">
        <f>IF($P56="","",$P56&amp;" · "&amp;IFERROR(INDEX(Работы!$E$2:$E$6000,MATCH($C56,Работы!$A$2:$A$6000,0)),""))</f>
        <v/>
      </c>
    </row>
    <row r="57" spans="1:19" x14ac:dyDescent="0.3">
      <c r="A57" s="4"/>
      <c r="B57" s="4"/>
      <c r="C57" t="str">
        <f t="shared" si="0"/>
        <v/>
      </c>
      <c r="D57" s="5" t="str">
        <f>IF($C57="","",IF(AND(LEFT($F57,3)="ДОК",$H57&lt;&gt;""),IFERROR(INDEX(Документация!$G$2:$G$57,MATCH($H57,Документация!$F$2:$F$57,0)),"— вариант не найден —"),IFERROR(INDEX(Работы!$B$2:$B$6000,MATCH($C57,Работы!$A$2:$A$6000,0)),"— нет такого кода —")))</f>
        <v/>
      </c>
      <c r="E57" t="str">
        <f>IF($C57="","",IF(AND(LEFT($F57,3)="ДОК",$H57&lt;&gt;""),IFERROR(INDEX(Документация!$D$2:$D$57,MATCH($H57,Документация!$F$2:$F$57,0)),""),IFERROR(INDEX(Работы!$C$2:$C$6000,MATCH($C57,Работы!$A$2:$A$6000,0)),"")))</f>
        <v/>
      </c>
      <c r="F57" t="str">
        <f>IF($C57="","",IFERROR(INDEX(Работы!$G$2:$G$6000,MATCH($C57,Работы!$A$2:$A$6000,0))&amp;"",""))</f>
        <v/>
      </c>
      <c r="G57" s="4"/>
      <c r="H57" s="4"/>
      <c r="I57" s="5" t="str">
        <f>IF((LEFT($F57,3)="ДОК"),"",IF($H57="","",IFERROR(INDEX(Материалы!$B$2:$B$9000,MATCH($H57,Материалы!$M$2:$M$9000,0)),"")))</f>
        <v/>
      </c>
      <c r="J57" s="6">
        <f>IF(AND(LEFT($F57,3)="ДОК",$H57&lt;&gt;""),IFERROR(INDEX(Документация!$E$2:$E$57,MATCH($H57,Документация!$F$2:$F$57,0)),0),IFERROR(INDEX(Работы!$H$2:$H$6000,MATCH($C57,Работы!$A$2:$A$6000,0)),0))*(1-MEDIAN(0,N(ДисконтТендер),1))</f>
        <v>0</v>
      </c>
      <c r="K57" s="6">
        <f>IF(OR((LEFT($F57,3)="ДОК"),$H57=""),0,IFERROR(INDEX(Материалы!$H$2:$H$9000,MATCH($H57,Материалы!$M$2:$M$9000,0))*IF(INDEX(Материалы!$I$2:$I$9000,MATCH($H57,Материалы!$M$2:$M$9000,0))="USD",КурсUSD,IF(INDEX(Материалы!$I$2:$I$9000,MATCH($H57,Материалы!$M$2:$M$9000,0))="EUR",КурсEUR,1))*(1+IFERROR(INDEX(Работы!$I$2:$I$6000,MATCH($C57,Работы!$A$2:$A$6000,0))/100,0))*(1-MEDIAN(0,N(ДисконтТендер),1)),0))</f>
        <v>0</v>
      </c>
      <c r="L57" s="6">
        <f t="shared" si="1"/>
        <v>0</v>
      </c>
      <c r="M57" s="6">
        <f t="shared" si="2"/>
        <v>0</v>
      </c>
      <c r="N57" s="6">
        <f t="shared" si="3"/>
        <v>0</v>
      </c>
      <c r="O57" t="str">
        <f>IF($N57&gt;0,MAX($O$1:$O56)+1,"")</f>
        <v/>
      </c>
      <c r="P57" t="str">
        <f>IF($C57="","",IFERROR(INDEX(Работы!$D$2:$D$6000,MATCH($C57,Работы!$A$2:$A$6000,0)),""))</f>
        <v/>
      </c>
      <c r="Q57" t="str">
        <f t="shared" si="4"/>
        <v/>
      </c>
      <c r="R57" t="str">
        <f t="shared" si="5"/>
        <v/>
      </c>
      <c r="S57" t="str">
        <f>IF($P57="","",$P57&amp;" · "&amp;IFERROR(INDEX(Работы!$E$2:$E$6000,MATCH($C57,Работы!$A$2:$A$6000,0)),""))</f>
        <v/>
      </c>
    </row>
    <row r="58" spans="1:19" x14ac:dyDescent="0.3">
      <c r="A58" s="4"/>
      <c r="B58" s="4"/>
      <c r="C58" t="str">
        <f t="shared" si="0"/>
        <v/>
      </c>
      <c r="D58" s="5" t="str">
        <f>IF($C58="","",IF(AND(LEFT($F58,3)="ДОК",$H58&lt;&gt;""),IFERROR(INDEX(Документация!$G$2:$G$57,MATCH($H58,Документация!$F$2:$F$57,0)),"— вариант не найден —"),IFERROR(INDEX(Работы!$B$2:$B$6000,MATCH($C58,Работы!$A$2:$A$6000,0)),"— нет такого кода —")))</f>
        <v/>
      </c>
      <c r="E58" t="str">
        <f>IF($C58="","",IF(AND(LEFT($F58,3)="ДОК",$H58&lt;&gt;""),IFERROR(INDEX(Документация!$D$2:$D$57,MATCH($H58,Документация!$F$2:$F$57,0)),""),IFERROR(INDEX(Работы!$C$2:$C$6000,MATCH($C58,Работы!$A$2:$A$6000,0)),"")))</f>
        <v/>
      </c>
      <c r="F58" t="str">
        <f>IF($C58="","",IFERROR(INDEX(Работы!$G$2:$G$6000,MATCH($C58,Работы!$A$2:$A$6000,0))&amp;"",""))</f>
        <v/>
      </c>
      <c r="G58" s="4"/>
      <c r="H58" s="4"/>
      <c r="I58" s="5" t="str">
        <f>IF((LEFT($F58,3)="ДОК"),"",IF($H58="","",IFERROR(INDEX(Материалы!$B$2:$B$9000,MATCH($H58,Материалы!$M$2:$M$9000,0)),"")))</f>
        <v/>
      </c>
      <c r="J58" s="6">
        <f>IF(AND(LEFT($F58,3)="ДОК",$H58&lt;&gt;""),IFERROR(INDEX(Документация!$E$2:$E$57,MATCH($H58,Документация!$F$2:$F$57,0)),0),IFERROR(INDEX(Работы!$H$2:$H$6000,MATCH($C58,Работы!$A$2:$A$6000,0)),0))*(1-MEDIAN(0,N(ДисконтТендер),1))</f>
        <v>0</v>
      </c>
      <c r="K58" s="6">
        <f>IF(OR((LEFT($F58,3)="ДОК"),$H58=""),0,IFERROR(INDEX(Материалы!$H$2:$H$9000,MATCH($H58,Материалы!$M$2:$M$9000,0))*IF(INDEX(Материалы!$I$2:$I$9000,MATCH($H58,Материалы!$M$2:$M$9000,0))="USD",КурсUSD,IF(INDEX(Материалы!$I$2:$I$9000,MATCH($H58,Материалы!$M$2:$M$9000,0))="EUR",КурсEUR,1))*(1+IFERROR(INDEX(Работы!$I$2:$I$6000,MATCH($C58,Работы!$A$2:$A$6000,0))/100,0))*(1-MEDIAN(0,N(ДисконтТендер),1)),0))</f>
        <v>0</v>
      </c>
      <c r="L58" s="6">
        <f t="shared" si="1"/>
        <v>0</v>
      </c>
      <c r="M58" s="6">
        <f t="shared" si="2"/>
        <v>0</v>
      </c>
      <c r="N58" s="6">
        <f t="shared" si="3"/>
        <v>0</v>
      </c>
      <c r="O58" t="str">
        <f>IF($N58&gt;0,MAX($O$1:$O57)+1,"")</f>
        <v/>
      </c>
      <c r="P58" t="str">
        <f>IF($C58="","",IFERROR(INDEX(Работы!$D$2:$D$6000,MATCH($C58,Работы!$A$2:$A$6000,0)),""))</f>
        <v/>
      </c>
      <c r="Q58" t="str">
        <f t="shared" si="4"/>
        <v/>
      </c>
      <c r="R58" t="str">
        <f t="shared" si="5"/>
        <v/>
      </c>
      <c r="S58" t="str">
        <f>IF($P58="","",$P58&amp;" · "&amp;IFERROR(INDEX(Работы!$E$2:$E$6000,MATCH($C58,Работы!$A$2:$A$6000,0)),""))</f>
        <v/>
      </c>
    </row>
    <row r="59" spans="1:19" x14ac:dyDescent="0.3">
      <c r="A59" s="4"/>
      <c r="B59" s="4"/>
      <c r="C59" t="str">
        <f t="shared" si="0"/>
        <v/>
      </c>
      <c r="D59" s="5" t="str">
        <f>IF($C59="","",IF(AND(LEFT($F59,3)="ДОК",$H59&lt;&gt;""),IFERROR(INDEX(Документация!$G$2:$G$57,MATCH($H59,Документация!$F$2:$F$57,0)),"— вариант не найден —"),IFERROR(INDEX(Работы!$B$2:$B$6000,MATCH($C59,Работы!$A$2:$A$6000,0)),"— нет такого кода —")))</f>
        <v/>
      </c>
      <c r="E59" t="str">
        <f>IF($C59="","",IF(AND(LEFT($F59,3)="ДОК",$H59&lt;&gt;""),IFERROR(INDEX(Документация!$D$2:$D$57,MATCH($H59,Документация!$F$2:$F$57,0)),""),IFERROR(INDEX(Работы!$C$2:$C$6000,MATCH($C59,Работы!$A$2:$A$6000,0)),"")))</f>
        <v/>
      </c>
      <c r="F59" t="str">
        <f>IF($C59="","",IFERROR(INDEX(Работы!$G$2:$G$6000,MATCH($C59,Работы!$A$2:$A$6000,0))&amp;"",""))</f>
        <v/>
      </c>
      <c r="G59" s="4"/>
      <c r="H59" s="4"/>
      <c r="I59" s="5" t="str">
        <f>IF((LEFT($F59,3)="ДОК"),"",IF($H59="","",IFERROR(INDEX(Материалы!$B$2:$B$9000,MATCH($H59,Материалы!$M$2:$M$9000,0)),"")))</f>
        <v/>
      </c>
      <c r="J59" s="6">
        <f>IF(AND(LEFT($F59,3)="ДОК",$H59&lt;&gt;""),IFERROR(INDEX(Документация!$E$2:$E$57,MATCH($H59,Документация!$F$2:$F$57,0)),0),IFERROR(INDEX(Работы!$H$2:$H$6000,MATCH($C59,Работы!$A$2:$A$6000,0)),0))*(1-MEDIAN(0,N(ДисконтТендер),1))</f>
        <v>0</v>
      </c>
      <c r="K59" s="6">
        <f>IF(OR((LEFT($F59,3)="ДОК"),$H59=""),0,IFERROR(INDEX(Материалы!$H$2:$H$9000,MATCH($H59,Материалы!$M$2:$M$9000,0))*IF(INDEX(Материалы!$I$2:$I$9000,MATCH($H59,Материалы!$M$2:$M$9000,0))="USD",КурсUSD,IF(INDEX(Материалы!$I$2:$I$9000,MATCH($H59,Материалы!$M$2:$M$9000,0))="EUR",КурсEUR,1))*(1+IFERROR(INDEX(Работы!$I$2:$I$6000,MATCH($C59,Работы!$A$2:$A$6000,0))/100,0))*(1-MEDIAN(0,N(ДисконтТендер),1)),0))</f>
        <v>0</v>
      </c>
      <c r="L59" s="6">
        <f t="shared" si="1"/>
        <v>0</v>
      </c>
      <c r="M59" s="6">
        <f t="shared" si="2"/>
        <v>0</v>
      </c>
      <c r="N59" s="6">
        <f t="shared" si="3"/>
        <v>0</v>
      </c>
      <c r="O59" t="str">
        <f>IF($N59&gt;0,MAX($O$1:$O58)+1,"")</f>
        <v/>
      </c>
      <c r="P59" t="str">
        <f>IF($C59="","",IFERROR(INDEX(Работы!$D$2:$D$6000,MATCH($C59,Работы!$A$2:$A$6000,0)),""))</f>
        <v/>
      </c>
      <c r="Q59" t="str">
        <f t="shared" si="4"/>
        <v/>
      </c>
      <c r="R59" t="str">
        <f t="shared" si="5"/>
        <v/>
      </c>
      <c r="S59" t="str">
        <f>IF($P59="","",$P59&amp;" · "&amp;IFERROR(INDEX(Работы!$E$2:$E$6000,MATCH($C59,Работы!$A$2:$A$6000,0)),""))</f>
        <v/>
      </c>
    </row>
    <row r="60" spans="1:19" x14ac:dyDescent="0.3">
      <c r="A60" s="4"/>
      <c r="B60" s="4"/>
      <c r="C60" t="str">
        <f t="shared" si="0"/>
        <v/>
      </c>
      <c r="D60" s="5" t="str">
        <f>IF($C60="","",IF(AND(LEFT($F60,3)="ДОК",$H60&lt;&gt;""),IFERROR(INDEX(Документация!$G$2:$G$57,MATCH($H60,Документация!$F$2:$F$57,0)),"— вариант не найден —"),IFERROR(INDEX(Работы!$B$2:$B$6000,MATCH($C60,Работы!$A$2:$A$6000,0)),"— нет такого кода —")))</f>
        <v/>
      </c>
      <c r="E60" t="str">
        <f>IF($C60="","",IF(AND(LEFT($F60,3)="ДОК",$H60&lt;&gt;""),IFERROR(INDEX(Документация!$D$2:$D$57,MATCH($H60,Документация!$F$2:$F$57,0)),""),IFERROR(INDEX(Работы!$C$2:$C$6000,MATCH($C60,Работы!$A$2:$A$6000,0)),"")))</f>
        <v/>
      </c>
      <c r="F60" t="str">
        <f>IF($C60="","",IFERROR(INDEX(Работы!$G$2:$G$6000,MATCH($C60,Работы!$A$2:$A$6000,0))&amp;"",""))</f>
        <v/>
      </c>
      <c r="G60" s="4"/>
      <c r="H60" s="4"/>
      <c r="I60" s="5" t="str">
        <f>IF((LEFT($F60,3)="ДОК"),"",IF($H60="","",IFERROR(INDEX(Материалы!$B$2:$B$9000,MATCH($H60,Материалы!$M$2:$M$9000,0)),"")))</f>
        <v/>
      </c>
      <c r="J60" s="6">
        <f>IF(AND(LEFT($F60,3)="ДОК",$H60&lt;&gt;""),IFERROR(INDEX(Документация!$E$2:$E$57,MATCH($H60,Документация!$F$2:$F$57,0)),0),IFERROR(INDEX(Работы!$H$2:$H$6000,MATCH($C60,Работы!$A$2:$A$6000,0)),0))*(1-MEDIAN(0,N(ДисконтТендер),1))</f>
        <v>0</v>
      </c>
      <c r="K60" s="6">
        <f>IF(OR((LEFT($F60,3)="ДОК"),$H60=""),0,IFERROR(INDEX(Материалы!$H$2:$H$9000,MATCH($H60,Материалы!$M$2:$M$9000,0))*IF(INDEX(Материалы!$I$2:$I$9000,MATCH($H60,Материалы!$M$2:$M$9000,0))="USD",КурсUSD,IF(INDEX(Материалы!$I$2:$I$9000,MATCH($H60,Материалы!$M$2:$M$9000,0))="EUR",КурсEUR,1))*(1+IFERROR(INDEX(Работы!$I$2:$I$6000,MATCH($C60,Работы!$A$2:$A$6000,0))/100,0))*(1-MEDIAN(0,N(ДисконтТендер),1)),0))</f>
        <v>0</v>
      </c>
      <c r="L60" s="6">
        <f t="shared" si="1"/>
        <v>0</v>
      </c>
      <c r="M60" s="6">
        <f t="shared" si="2"/>
        <v>0</v>
      </c>
      <c r="N60" s="6">
        <f t="shared" si="3"/>
        <v>0</v>
      </c>
      <c r="O60" t="str">
        <f>IF($N60&gt;0,MAX($O$1:$O59)+1,"")</f>
        <v/>
      </c>
      <c r="P60" t="str">
        <f>IF($C60="","",IFERROR(INDEX(Работы!$D$2:$D$6000,MATCH($C60,Работы!$A$2:$A$6000,0)),""))</f>
        <v/>
      </c>
      <c r="Q60" t="str">
        <f t="shared" si="4"/>
        <v/>
      </c>
      <c r="R60" t="str">
        <f t="shared" si="5"/>
        <v/>
      </c>
      <c r="S60" t="str">
        <f>IF($P60="","",$P60&amp;" · "&amp;IFERROR(INDEX(Работы!$E$2:$E$6000,MATCH($C60,Работы!$A$2:$A$6000,0)),""))</f>
        <v/>
      </c>
    </row>
    <row r="61" spans="1:19" x14ac:dyDescent="0.3">
      <c r="A61" s="4"/>
      <c r="B61" s="4"/>
      <c r="C61" t="str">
        <f t="shared" si="0"/>
        <v/>
      </c>
      <c r="D61" s="5" t="str">
        <f>IF($C61="","",IF(AND(LEFT($F61,3)="ДОК",$H61&lt;&gt;""),IFERROR(INDEX(Документация!$G$2:$G$57,MATCH($H61,Документация!$F$2:$F$57,0)),"— вариант не найден —"),IFERROR(INDEX(Работы!$B$2:$B$6000,MATCH($C61,Работы!$A$2:$A$6000,0)),"— нет такого кода —")))</f>
        <v/>
      </c>
      <c r="E61" t="str">
        <f>IF($C61="","",IF(AND(LEFT($F61,3)="ДОК",$H61&lt;&gt;""),IFERROR(INDEX(Документация!$D$2:$D$57,MATCH($H61,Документация!$F$2:$F$57,0)),""),IFERROR(INDEX(Работы!$C$2:$C$6000,MATCH($C61,Работы!$A$2:$A$6000,0)),"")))</f>
        <v/>
      </c>
      <c r="F61" t="str">
        <f>IF($C61="","",IFERROR(INDEX(Работы!$G$2:$G$6000,MATCH($C61,Работы!$A$2:$A$6000,0))&amp;"",""))</f>
        <v/>
      </c>
      <c r="G61" s="4"/>
      <c r="H61" s="4"/>
      <c r="I61" s="5" t="str">
        <f>IF((LEFT($F61,3)="ДОК"),"",IF($H61="","",IFERROR(INDEX(Материалы!$B$2:$B$9000,MATCH($H61,Материалы!$M$2:$M$9000,0)),"")))</f>
        <v/>
      </c>
      <c r="J61" s="6">
        <f>IF(AND(LEFT($F61,3)="ДОК",$H61&lt;&gt;""),IFERROR(INDEX(Документация!$E$2:$E$57,MATCH($H61,Документация!$F$2:$F$57,0)),0),IFERROR(INDEX(Работы!$H$2:$H$6000,MATCH($C61,Работы!$A$2:$A$6000,0)),0))*(1-MEDIAN(0,N(ДисконтТендер),1))</f>
        <v>0</v>
      </c>
      <c r="K61" s="6">
        <f>IF(OR((LEFT($F61,3)="ДОК"),$H61=""),0,IFERROR(INDEX(Материалы!$H$2:$H$9000,MATCH($H61,Материалы!$M$2:$M$9000,0))*IF(INDEX(Материалы!$I$2:$I$9000,MATCH($H61,Материалы!$M$2:$M$9000,0))="USD",КурсUSD,IF(INDEX(Материалы!$I$2:$I$9000,MATCH($H61,Материалы!$M$2:$M$9000,0))="EUR",КурсEUR,1))*(1+IFERROR(INDEX(Работы!$I$2:$I$6000,MATCH($C61,Работы!$A$2:$A$6000,0))/100,0))*(1-MEDIAN(0,N(ДисконтТендер),1)),0))</f>
        <v>0</v>
      </c>
      <c r="L61" s="6">
        <f t="shared" si="1"/>
        <v>0</v>
      </c>
      <c r="M61" s="6">
        <f t="shared" si="2"/>
        <v>0</v>
      </c>
      <c r="N61" s="6">
        <f t="shared" si="3"/>
        <v>0</v>
      </c>
      <c r="O61" t="str">
        <f>IF($N61&gt;0,MAX($O$1:$O60)+1,"")</f>
        <v/>
      </c>
      <c r="P61" t="str">
        <f>IF($C61="","",IFERROR(INDEX(Работы!$D$2:$D$6000,MATCH($C61,Работы!$A$2:$A$6000,0)),""))</f>
        <v/>
      </c>
      <c r="Q61" t="str">
        <f t="shared" si="4"/>
        <v/>
      </c>
      <c r="R61" t="str">
        <f t="shared" si="5"/>
        <v/>
      </c>
      <c r="S61" t="str">
        <f>IF($P61="","",$P61&amp;" · "&amp;IFERROR(INDEX(Работы!$E$2:$E$6000,MATCH($C61,Работы!$A$2:$A$6000,0)),""))</f>
        <v/>
      </c>
    </row>
    <row r="62" spans="1:19" x14ac:dyDescent="0.3">
      <c r="A62" s="4"/>
      <c r="B62" s="4"/>
      <c r="C62" t="str">
        <f t="shared" si="0"/>
        <v/>
      </c>
      <c r="D62" s="5" t="str">
        <f>IF($C62="","",IF(AND(LEFT($F62,3)="ДОК",$H62&lt;&gt;""),IFERROR(INDEX(Документация!$G$2:$G$57,MATCH($H62,Документация!$F$2:$F$57,0)),"— вариант не найден —"),IFERROR(INDEX(Работы!$B$2:$B$6000,MATCH($C62,Работы!$A$2:$A$6000,0)),"— нет такого кода —")))</f>
        <v/>
      </c>
      <c r="E62" t="str">
        <f>IF($C62="","",IF(AND(LEFT($F62,3)="ДОК",$H62&lt;&gt;""),IFERROR(INDEX(Документация!$D$2:$D$57,MATCH($H62,Документация!$F$2:$F$57,0)),""),IFERROR(INDEX(Работы!$C$2:$C$6000,MATCH($C62,Работы!$A$2:$A$6000,0)),"")))</f>
        <v/>
      </c>
      <c r="F62" t="str">
        <f>IF($C62="","",IFERROR(INDEX(Работы!$G$2:$G$6000,MATCH($C62,Работы!$A$2:$A$6000,0))&amp;"",""))</f>
        <v/>
      </c>
      <c r="G62" s="4"/>
      <c r="H62" s="4"/>
      <c r="I62" s="5" t="str">
        <f>IF((LEFT($F62,3)="ДОК"),"",IF($H62="","",IFERROR(INDEX(Материалы!$B$2:$B$9000,MATCH($H62,Материалы!$M$2:$M$9000,0)),"")))</f>
        <v/>
      </c>
      <c r="J62" s="6">
        <f>IF(AND(LEFT($F62,3)="ДОК",$H62&lt;&gt;""),IFERROR(INDEX(Документация!$E$2:$E$57,MATCH($H62,Документация!$F$2:$F$57,0)),0),IFERROR(INDEX(Работы!$H$2:$H$6000,MATCH($C62,Работы!$A$2:$A$6000,0)),0))*(1-MEDIAN(0,N(ДисконтТендер),1))</f>
        <v>0</v>
      </c>
      <c r="K62" s="6">
        <f>IF(OR((LEFT($F62,3)="ДОК"),$H62=""),0,IFERROR(INDEX(Материалы!$H$2:$H$9000,MATCH($H62,Материалы!$M$2:$M$9000,0))*IF(INDEX(Материалы!$I$2:$I$9000,MATCH($H62,Материалы!$M$2:$M$9000,0))="USD",КурсUSD,IF(INDEX(Материалы!$I$2:$I$9000,MATCH($H62,Материалы!$M$2:$M$9000,0))="EUR",КурсEUR,1))*(1+IFERROR(INDEX(Работы!$I$2:$I$6000,MATCH($C62,Работы!$A$2:$A$6000,0))/100,0))*(1-MEDIAN(0,N(ДисконтТендер),1)),0))</f>
        <v>0</v>
      </c>
      <c r="L62" s="6">
        <f t="shared" si="1"/>
        <v>0</v>
      </c>
      <c r="M62" s="6">
        <f t="shared" si="2"/>
        <v>0</v>
      </c>
      <c r="N62" s="6">
        <f t="shared" si="3"/>
        <v>0</v>
      </c>
      <c r="O62" t="str">
        <f>IF($N62&gt;0,MAX($O$1:$O61)+1,"")</f>
        <v/>
      </c>
      <c r="P62" t="str">
        <f>IF($C62="","",IFERROR(INDEX(Работы!$D$2:$D$6000,MATCH($C62,Работы!$A$2:$A$6000,0)),""))</f>
        <v/>
      </c>
      <c r="Q62" t="str">
        <f t="shared" si="4"/>
        <v/>
      </c>
      <c r="R62" t="str">
        <f t="shared" si="5"/>
        <v/>
      </c>
      <c r="S62" t="str">
        <f>IF($P62="","",$P62&amp;" · "&amp;IFERROR(INDEX(Работы!$E$2:$E$6000,MATCH($C62,Работы!$A$2:$A$6000,0)),""))</f>
        <v/>
      </c>
    </row>
    <row r="63" spans="1:19" x14ac:dyDescent="0.3">
      <c r="A63" s="4"/>
      <c r="B63" s="4"/>
      <c r="C63" t="str">
        <f t="shared" si="0"/>
        <v/>
      </c>
      <c r="D63" s="5" t="str">
        <f>IF($C63="","",IF(AND(LEFT($F63,3)="ДОК",$H63&lt;&gt;""),IFERROR(INDEX(Документация!$G$2:$G$57,MATCH($H63,Документация!$F$2:$F$57,0)),"— вариант не найден —"),IFERROR(INDEX(Работы!$B$2:$B$6000,MATCH($C63,Работы!$A$2:$A$6000,0)),"— нет такого кода —")))</f>
        <v/>
      </c>
      <c r="E63" t="str">
        <f>IF($C63="","",IF(AND(LEFT($F63,3)="ДОК",$H63&lt;&gt;""),IFERROR(INDEX(Документация!$D$2:$D$57,MATCH($H63,Документация!$F$2:$F$57,0)),""),IFERROR(INDEX(Работы!$C$2:$C$6000,MATCH($C63,Работы!$A$2:$A$6000,0)),"")))</f>
        <v/>
      </c>
      <c r="F63" t="str">
        <f>IF($C63="","",IFERROR(INDEX(Работы!$G$2:$G$6000,MATCH($C63,Работы!$A$2:$A$6000,0))&amp;"",""))</f>
        <v/>
      </c>
      <c r="G63" s="4"/>
      <c r="H63" s="4"/>
      <c r="I63" s="5" t="str">
        <f>IF((LEFT($F63,3)="ДОК"),"",IF($H63="","",IFERROR(INDEX(Материалы!$B$2:$B$9000,MATCH($H63,Материалы!$M$2:$M$9000,0)),"")))</f>
        <v/>
      </c>
      <c r="J63" s="6">
        <f>IF(AND(LEFT($F63,3)="ДОК",$H63&lt;&gt;""),IFERROR(INDEX(Документация!$E$2:$E$57,MATCH($H63,Документация!$F$2:$F$57,0)),0),IFERROR(INDEX(Работы!$H$2:$H$6000,MATCH($C63,Работы!$A$2:$A$6000,0)),0))*(1-MEDIAN(0,N(ДисконтТендер),1))</f>
        <v>0</v>
      </c>
      <c r="K63" s="6">
        <f>IF(OR((LEFT($F63,3)="ДОК"),$H63=""),0,IFERROR(INDEX(Материалы!$H$2:$H$9000,MATCH($H63,Материалы!$M$2:$M$9000,0))*IF(INDEX(Материалы!$I$2:$I$9000,MATCH($H63,Материалы!$M$2:$M$9000,0))="USD",КурсUSD,IF(INDEX(Материалы!$I$2:$I$9000,MATCH($H63,Материалы!$M$2:$M$9000,0))="EUR",КурсEUR,1))*(1+IFERROR(INDEX(Работы!$I$2:$I$6000,MATCH($C63,Работы!$A$2:$A$6000,0))/100,0))*(1-MEDIAN(0,N(ДисконтТендер),1)),0))</f>
        <v>0</v>
      </c>
      <c r="L63" s="6">
        <f t="shared" si="1"/>
        <v>0</v>
      </c>
      <c r="M63" s="6">
        <f t="shared" si="2"/>
        <v>0</v>
      </c>
      <c r="N63" s="6">
        <f t="shared" si="3"/>
        <v>0</v>
      </c>
      <c r="O63" t="str">
        <f>IF($N63&gt;0,MAX($O$1:$O62)+1,"")</f>
        <v/>
      </c>
      <c r="P63" t="str">
        <f>IF($C63="","",IFERROR(INDEX(Работы!$D$2:$D$6000,MATCH($C63,Работы!$A$2:$A$6000,0)),""))</f>
        <v/>
      </c>
      <c r="Q63" t="str">
        <f t="shared" si="4"/>
        <v/>
      </c>
      <c r="R63" t="str">
        <f t="shared" si="5"/>
        <v/>
      </c>
      <c r="S63" t="str">
        <f>IF($P63="","",$P63&amp;" · "&amp;IFERROR(INDEX(Работы!$E$2:$E$6000,MATCH($C63,Работы!$A$2:$A$6000,0)),""))</f>
        <v/>
      </c>
    </row>
    <row r="64" spans="1:19" x14ac:dyDescent="0.3">
      <c r="A64" s="4"/>
      <c r="B64" s="4"/>
      <c r="C64" t="str">
        <f t="shared" si="0"/>
        <v/>
      </c>
      <c r="D64" s="5" t="str">
        <f>IF($C64="","",IF(AND(LEFT($F64,3)="ДОК",$H64&lt;&gt;""),IFERROR(INDEX(Документация!$G$2:$G$57,MATCH($H64,Документация!$F$2:$F$57,0)),"— вариант не найден —"),IFERROR(INDEX(Работы!$B$2:$B$6000,MATCH($C64,Работы!$A$2:$A$6000,0)),"— нет такого кода —")))</f>
        <v/>
      </c>
      <c r="E64" t="str">
        <f>IF($C64="","",IF(AND(LEFT($F64,3)="ДОК",$H64&lt;&gt;""),IFERROR(INDEX(Документация!$D$2:$D$57,MATCH($H64,Документация!$F$2:$F$57,0)),""),IFERROR(INDEX(Работы!$C$2:$C$6000,MATCH($C64,Работы!$A$2:$A$6000,0)),"")))</f>
        <v/>
      </c>
      <c r="F64" t="str">
        <f>IF($C64="","",IFERROR(INDEX(Работы!$G$2:$G$6000,MATCH($C64,Работы!$A$2:$A$6000,0))&amp;"",""))</f>
        <v/>
      </c>
      <c r="G64" s="4"/>
      <c r="H64" s="4"/>
      <c r="I64" s="5" t="str">
        <f>IF((LEFT($F64,3)="ДОК"),"",IF($H64="","",IFERROR(INDEX(Материалы!$B$2:$B$9000,MATCH($H64,Материалы!$M$2:$M$9000,0)),"")))</f>
        <v/>
      </c>
      <c r="J64" s="6">
        <f>IF(AND(LEFT($F64,3)="ДОК",$H64&lt;&gt;""),IFERROR(INDEX(Документация!$E$2:$E$57,MATCH($H64,Документация!$F$2:$F$57,0)),0),IFERROR(INDEX(Работы!$H$2:$H$6000,MATCH($C64,Работы!$A$2:$A$6000,0)),0))*(1-MEDIAN(0,N(ДисконтТендер),1))</f>
        <v>0</v>
      </c>
      <c r="K64" s="6">
        <f>IF(OR((LEFT($F64,3)="ДОК"),$H64=""),0,IFERROR(INDEX(Материалы!$H$2:$H$9000,MATCH($H64,Материалы!$M$2:$M$9000,0))*IF(INDEX(Материалы!$I$2:$I$9000,MATCH($H64,Материалы!$M$2:$M$9000,0))="USD",КурсUSD,IF(INDEX(Материалы!$I$2:$I$9000,MATCH($H64,Материалы!$M$2:$M$9000,0))="EUR",КурсEUR,1))*(1+IFERROR(INDEX(Работы!$I$2:$I$6000,MATCH($C64,Работы!$A$2:$A$6000,0))/100,0))*(1-MEDIAN(0,N(ДисконтТендер),1)),0))</f>
        <v>0</v>
      </c>
      <c r="L64" s="6">
        <f t="shared" si="1"/>
        <v>0</v>
      </c>
      <c r="M64" s="6">
        <f t="shared" si="2"/>
        <v>0</v>
      </c>
      <c r="N64" s="6">
        <f t="shared" si="3"/>
        <v>0</v>
      </c>
      <c r="O64" t="str">
        <f>IF($N64&gt;0,MAX($O$1:$O63)+1,"")</f>
        <v/>
      </c>
      <c r="P64" t="str">
        <f>IF($C64="","",IFERROR(INDEX(Работы!$D$2:$D$6000,MATCH($C64,Работы!$A$2:$A$6000,0)),""))</f>
        <v/>
      </c>
      <c r="Q64" t="str">
        <f t="shared" si="4"/>
        <v/>
      </c>
      <c r="R64" t="str">
        <f t="shared" si="5"/>
        <v/>
      </c>
      <c r="S64" t="str">
        <f>IF($P64="","",$P64&amp;" · "&amp;IFERROR(INDEX(Работы!$E$2:$E$6000,MATCH($C64,Работы!$A$2:$A$6000,0)),""))</f>
        <v/>
      </c>
    </row>
    <row r="65" spans="1:19" x14ac:dyDescent="0.3">
      <c r="A65" s="4"/>
      <c r="B65" s="4"/>
      <c r="C65" t="str">
        <f t="shared" si="0"/>
        <v/>
      </c>
      <c r="D65" s="5" t="str">
        <f>IF($C65="","",IF(AND(LEFT($F65,3)="ДОК",$H65&lt;&gt;""),IFERROR(INDEX(Документация!$G$2:$G$57,MATCH($H65,Документация!$F$2:$F$57,0)),"— вариант не найден —"),IFERROR(INDEX(Работы!$B$2:$B$6000,MATCH($C65,Работы!$A$2:$A$6000,0)),"— нет такого кода —")))</f>
        <v/>
      </c>
      <c r="E65" t="str">
        <f>IF($C65="","",IF(AND(LEFT($F65,3)="ДОК",$H65&lt;&gt;""),IFERROR(INDEX(Документация!$D$2:$D$57,MATCH($H65,Документация!$F$2:$F$57,0)),""),IFERROR(INDEX(Работы!$C$2:$C$6000,MATCH($C65,Работы!$A$2:$A$6000,0)),"")))</f>
        <v/>
      </c>
      <c r="F65" t="str">
        <f>IF($C65="","",IFERROR(INDEX(Работы!$G$2:$G$6000,MATCH($C65,Работы!$A$2:$A$6000,0))&amp;"",""))</f>
        <v/>
      </c>
      <c r="G65" s="4"/>
      <c r="H65" s="4"/>
      <c r="I65" s="5" t="str">
        <f>IF((LEFT($F65,3)="ДОК"),"",IF($H65="","",IFERROR(INDEX(Материалы!$B$2:$B$9000,MATCH($H65,Материалы!$M$2:$M$9000,0)),"")))</f>
        <v/>
      </c>
      <c r="J65" s="6">
        <f>IF(AND(LEFT($F65,3)="ДОК",$H65&lt;&gt;""),IFERROR(INDEX(Документация!$E$2:$E$57,MATCH($H65,Документация!$F$2:$F$57,0)),0),IFERROR(INDEX(Работы!$H$2:$H$6000,MATCH($C65,Работы!$A$2:$A$6000,0)),0))*(1-MEDIAN(0,N(ДисконтТендер),1))</f>
        <v>0</v>
      </c>
      <c r="K65" s="6">
        <f>IF(OR((LEFT($F65,3)="ДОК"),$H65=""),0,IFERROR(INDEX(Материалы!$H$2:$H$9000,MATCH($H65,Материалы!$M$2:$M$9000,0))*IF(INDEX(Материалы!$I$2:$I$9000,MATCH($H65,Материалы!$M$2:$M$9000,0))="USD",КурсUSD,IF(INDEX(Материалы!$I$2:$I$9000,MATCH($H65,Материалы!$M$2:$M$9000,0))="EUR",КурсEUR,1))*(1+IFERROR(INDEX(Работы!$I$2:$I$6000,MATCH($C65,Работы!$A$2:$A$6000,0))/100,0))*(1-MEDIAN(0,N(ДисконтТендер),1)),0))</f>
        <v>0</v>
      </c>
      <c r="L65" s="6">
        <f t="shared" si="1"/>
        <v>0</v>
      </c>
      <c r="M65" s="6">
        <f t="shared" si="2"/>
        <v>0</v>
      </c>
      <c r="N65" s="6">
        <f t="shared" si="3"/>
        <v>0</v>
      </c>
      <c r="O65" t="str">
        <f>IF($N65&gt;0,MAX($O$1:$O64)+1,"")</f>
        <v/>
      </c>
      <c r="P65" t="str">
        <f>IF($C65="","",IFERROR(INDEX(Работы!$D$2:$D$6000,MATCH($C65,Работы!$A$2:$A$6000,0)),""))</f>
        <v/>
      </c>
      <c r="Q65" t="str">
        <f t="shared" si="4"/>
        <v/>
      </c>
      <c r="R65" t="str">
        <f t="shared" si="5"/>
        <v/>
      </c>
      <c r="S65" t="str">
        <f>IF($P65="","",$P65&amp;" · "&amp;IFERROR(INDEX(Работы!$E$2:$E$6000,MATCH($C65,Работы!$A$2:$A$6000,0)),""))</f>
        <v/>
      </c>
    </row>
    <row r="66" spans="1:19" x14ac:dyDescent="0.3">
      <c r="A66" s="4"/>
      <c r="B66" s="4"/>
      <c r="C66" t="str">
        <f t="shared" ref="C66:C129" si="6">IF($B66="","",IFERROR(LEFT($B66,FIND(" — ",$B66)-1),$B66))</f>
        <v/>
      </c>
      <c r="D66" s="5" t="str">
        <f>IF($C66="","",IF(AND(LEFT($F66,3)="ДОК",$H66&lt;&gt;""),IFERROR(INDEX(Документация!$G$2:$G$57,MATCH($H66,Документация!$F$2:$F$57,0)),"— вариант не найден —"),IFERROR(INDEX(Работы!$B$2:$B$6000,MATCH($C66,Работы!$A$2:$A$6000,0)),"— нет такого кода —")))</f>
        <v/>
      </c>
      <c r="E66" t="str">
        <f>IF($C66="","",IF(AND(LEFT($F66,3)="ДОК",$H66&lt;&gt;""),IFERROR(INDEX(Документация!$D$2:$D$57,MATCH($H66,Документация!$F$2:$F$57,0)),""),IFERROR(INDEX(Работы!$C$2:$C$6000,MATCH($C66,Работы!$A$2:$A$6000,0)),"")))</f>
        <v/>
      </c>
      <c r="F66" t="str">
        <f>IF($C66="","",IFERROR(INDEX(Работы!$G$2:$G$6000,MATCH($C66,Работы!$A$2:$A$6000,0))&amp;"",""))</f>
        <v/>
      </c>
      <c r="G66" s="4"/>
      <c r="H66" s="4"/>
      <c r="I66" s="5" t="str">
        <f>IF((LEFT($F66,3)="ДОК"),"",IF($H66="","",IFERROR(INDEX(Материалы!$B$2:$B$9000,MATCH($H66,Материалы!$M$2:$M$9000,0)),"")))</f>
        <v/>
      </c>
      <c r="J66" s="6">
        <f>IF(AND(LEFT($F66,3)="ДОК",$H66&lt;&gt;""),IFERROR(INDEX(Документация!$E$2:$E$57,MATCH($H66,Документация!$F$2:$F$57,0)),0),IFERROR(INDEX(Работы!$H$2:$H$6000,MATCH($C66,Работы!$A$2:$A$6000,0)),0))*(1-MEDIAN(0,N(ДисконтТендер),1))</f>
        <v>0</v>
      </c>
      <c r="K66" s="6">
        <f>IF(OR((LEFT($F66,3)="ДОК"),$H66=""),0,IFERROR(INDEX(Материалы!$H$2:$H$9000,MATCH($H66,Материалы!$M$2:$M$9000,0))*IF(INDEX(Материалы!$I$2:$I$9000,MATCH($H66,Материалы!$M$2:$M$9000,0))="USD",КурсUSD,IF(INDEX(Материалы!$I$2:$I$9000,MATCH($H66,Материалы!$M$2:$M$9000,0))="EUR",КурсEUR,1))*(1+IFERROR(INDEX(Работы!$I$2:$I$6000,MATCH($C66,Работы!$A$2:$A$6000,0))/100,0))*(1-MEDIAN(0,N(ДисконтТендер),1)),0))</f>
        <v>0</v>
      </c>
      <c r="L66" s="6">
        <f t="shared" ref="L66:L129" si="7">IF($G66&lt;&gt;"",ROUND($G66*$J66,2),0)</f>
        <v>0</v>
      </c>
      <c r="M66" s="6">
        <f t="shared" ref="M66:M129" si="8">IF($G66&lt;&gt;"",ROUND($G66*$K66,2),0)</f>
        <v>0</v>
      </c>
      <c r="N66" s="6">
        <f t="shared" ref="N66:N129" si="9">$L66+$M66</f>
        <v>0</v>
      </c>
      <c r="O66" t="str">
        <f>IF($N66&gt;0,MAX($O$1:$O65)+1,"")</f>
        <v/>
      </c>
      <c r="P66" t="str">
        <f>IF($C66="","",IFERROR(INDEX(Работы!$D$2:$D$6000,MATCH($C66,Работы!$A$2:$A$6000,0)),""))</f>
        <v/>
      </c>
      <c r="Q66" t="str">
        <f t="shared" ref="Q66:Q129" si="10">IF($O66="","",IF($O66=1,1,IF($P66&lt;&gt;IFERROR(INDEX($P$2:$P$501,MATCH($O66-1,$O$2:$O$501,0)),"~"),1,0)))</f>
        <v/>
      </c>
      <c r="R66" t="str">
        <f t="shared" ref="R66:R129" si="11">IF($O66="","",$O66+SUMIFS($Q$2:$Q$501,$O$2:$O$501,"&lt;="&amp;$O66))</f>
        <v/>
      </c>
      <c r="S66" t="str">
        <f>IF($P66="","",$P66&amp;" · "&amp;IFERROR(INDEX(Работы!$E$2:$E$6000,MATCH($C66,Работы!$A$2:$A$6000,0)),""))</f>
        <v/>
      </c>
    </row>
    <row r="67" spans="1:19" x14ac:dyDescent="0.3">
      <c r="A67" s="4"/>
      <c r="B67" s="4"/>
      <c r="C67" t="str">
        <f t="shared" si="6"/>
        <v/>
      </c>
      <c r="D67" s="5" t="str">
        <f>IF($C67="","",IF(AND(LEFT($F67,3)="ДОК",$H67&lt;&gt;""),IFERROR(INDEX(Документация!$G$2:$G$57,MATCH($H67,Документация!$F$2:$F$57,0)),"— вариант не найден —"),IFERROR(INDEX(Работы!$B$2:$B$6000,MATCH($C67,Работы!$A$2:$A$6000,0)),"— нет такого кода —")))</f>
        <v/>
      </c>
      <c r="E67" t="str">
        <f>IF($C67="","",IF(AND(LEFT($F67,3)="ДОК",$H67&lt;&gt;""),IFERROR(INDEX(Документация!$D$2:$D$57,MATCH($H67,Документация!$F$2:$F$57,0)),""),IFERROR(INDEX(Работы!$C$2:$C$6000,MATCH($C67,Работы!$A$2:$A$6000,0)),"")))</f>
        <v/>
      </c>
      <c r="F67" t="str">
        <f>IF($C67="","",IFERROR(INDEX(Работы!$G$2:$G$6000,MATCH($C67,Работы!$A$2:$A$6000,0))&amp;"",""))</f>
        <v/>
      </c>
      <c r="G67" s="4"/>
      <c r="H67" s="4"/>
      <c r="I67" s="5" t="str">
        <f>IF((LEFT($F67,3)="ДОК"),"",IF($H67="","",IFERROR(INDEX(Материалы!$B$2:$B$9000,MATCH($H67,Материалы!$M$2:$M$9000,0)),"")))</f>
        <v/>
      </c>
      <c r="J67" s="6">
        <f>IF(AND(LEFT($F67,3)="ДОК",$H67&lt;&gt;""),IFERROR(INDEX(Документация!$E$2:$E$57,MATCH($H67,Документация!$F$2:$F$57,0)),0),IFERROR(INDEX(Работы!$H$2:$H$6000,MATCH($C67,Работы!$A$2:$A$6000,0)),0))*(1-MEDIAN(0,N(ДисконтТендер),1))</f>
        <v>0</v>
      </c>
      <c r="K67" s="6">
        <f>IF(OR((LEFT($F67,3)="ДОК"),$H67=""),0,IFERROR(INDEX(Материалы!$H$2:$H$9000,MATCH($H67,Материалы!$M$2:$M$9000,0))*IF(INDEX(Материалы!$I$2:$I$9000,MATCH($H67,Материалы!$M$2:$M$9000,0))="USD",КурсUSD,IF(INDEX(Материалы!$I$2:$I$9000,MATCH($H67,Материалы!$M$2:$M$9000,0))="EUR",КурсEUR,1))*(1+IFERROR(INDEX(Работы!$I$2:$I$6000,MATCH($C67,Работы!$A$2:$A$6000,0))/100,0))*(1-MEDIAN(0,N(ДисконтТендер),1)),0))</f>
        <v>0</v>
      </c>
      <c r="L67" s="6">
        <f t="shared" si="7"/>
        <v>0</v>
      </c>
      <c r="M67" s="6">
        <f t="shared" si="8"/>
        <v>0</v>
      </c>
      <c r="N67" s="6">
        <f t="shared" si="9"/>
        <v>0</v>
      </c>
      <c r="O67" t="str">
        <f>IF($N67&gt;0,MAX($O$1:$O66)+1,"")</f>
        <v/>
      </c>
      <c r="P67" t="str">
        <f>IF($C67="","",IFERROR(INDEX(Работы!$D$2:$D$6000,MATCH($C67,Работы!$A$2:$A$6000,0)),""))</f>
        <v/>
      </c>
      <c r="Q67" t="str">
        <f t="shared" si="10"/>
        <v/>
      </c>
      <c r="R67" t="str">
        <f t="shared" si="11"/>
        <v/>
      </c>
      <c r="S67" t="str">
        <f>IF($P67="","",$P67&amp;" · "&amp;IFERROR(INDEX(Работы!$E$2:$E$6000,MATCH($C67,Работы!$A$2:$A$6000,0)),""))</f>
        <v/>
      </c>
    </row>
    <row r="68" spans="1:19" x14ac:dyDescent="0.3">
      <c r="A68" s="4"/>
      <c r="B68" s="4"/>
      <c r="C68" t="str">
        <f t="shared" si="6"/>
        <v/>
      </c>
      <c r="D68" s="5" t="str">
        <f>IF($C68="","",IF(AND(LEFT($F68,3)="ДОК",$H68&lt;&gt;""),IFERROR(INDEX(Документация!$G$2:$G$57,MATCH($H68,Документация!$F$2:$F$57,0)),"— вариант не найден —"),IFERROR(INDEX(Работы!$B$2:$B$6000,MATCH($C68,Работы!$A$2:$A$6000,0)),"— нет такого кода —")))</f>
        <v/>
      </c>
      <c r="E68" t="str">
        <f>IF($C68="","",IF(AND(LEFT($F68,3)="ДОК",$H68&lt;&gt;""),IFERROR(INDEX(Документация!$D$2:$D$57,MATCH($H68,Документация!$F$2:$F$57,0)),""),IFERROR(INDEX(Работы!$C$2:$C$6000,MATCH($C68,Работы!$A$2:$A$6000,0)),"")))</f>
        <v/>
      </c>
      <c r="F68" t="str">
        <f>IF($C68="","",IFERROR(INDEX(Работы!$G$2:$G$6000,MATCH($C68,Работы!$A$2:$A$6000,0))&amp;"",""))</f>
        <v/>
      </c>
      <c r="G68" s="4"/>
      <c r="H68" s="4"/>
      <c r="I68" s="5" t="str">
        <f>IF((LEFT($F68,3)="ДОК"),"",IF($H68="","",IFERROR(INDEX(Материалы!$B$2:$B$9000,MATCH($H68,Материалы!$M$2:$M$9000,0)),"")))</f>
        <v/>
      </c>
      <c r="J68" s="6">
        <f>IF(AND(LEFT($F68,3)="ДОК",$H68&lt;&gt;""),IFERROR(INDEX(Документация!$E$2:$E$57,MATCH($H68,Документация!$F$2:$F$57,0)),0),IFERROR(INDEX(Работы!$H$2:$H$6000,MATCH($C68,Работы!$A$2:$A$6000,0)),0))*(1-MEDIAN(0,N(ДисконтТендер),1))</f>
        <v>0</v>
      </c>
      <c r="K68" s="6">
        <f>IF(OR((LEFT($F68,3)="ДОК"),$H68=""),0,IFERROR(INDEX(Материалы!$H$2:$H$9000,MATCH($H68,Материалы!$M$2:$M$9000,0))*IF(INDEX(Материалы!$I$2:$I$9000,MATCH($H68,Материалы!$M$2:$M$9000,0))="USD",КурсUSD,IF(INDEX(Материалы!$I$2:$I$9000,MATCH($H68,Материалы!$M$2:$M$9000,0))="EUR",КурсEUR,1))*(1+IFERROR(INDEX(Работы!$I$2:$I$6000,MATCH($C68,Работы!$A$2:$A$6000,0))/100,0))*(1-MEDIAN(0,N(ДисконтТендер),1)),0))</f>
        <v>0</v>
      </c>
      <c r="L68" s="6">
        <f t="shared" si="7"/>
        <v>0</v>
      </c>
      <c r="M68" s="6">
        <f t="shared" si="8"/>
        <v>0</v>
      </c>
      <c r="N68" s="6">
        <f t="shared" si="9"/>
        <v>0</v>
      </c>
      <c r="O68" t="str">
        <f>IF($N68&gt;0,MAX($O$1:$O67)+1,"")</f>
        <v/>
      </c>
      <c r="P68" t="str">
        <f>IF($C68="","",IFERROR(INDEX(Работы!$D$2:$D$6000,MATCH($C68,Работы!$A$2:$A$6000,0)),""))</f>
        <v/>
      </c>
      <c r="Q68" t="str">
        <f t="shared" si="10"/>
        <v/>
      </c>
      <c r="R68" t="str">
        <f t="shared" si="11"/>
        <v/>
      </c>
      <c r="S68" t="str">
        <f>IF($P68="","",$P68&amp;" · "&amp;IFERROR(INDEX(Работы!$E$2:$E$6000,MATCH($C68,Работы!$A$2:$A$6000,0)),""))</f>
        <v/>
      </c>
    </row>
    <row r="69" spans="1:19" x14ac:dyDescent="0.3">
      <c r="A69" s="4"/>
      <c r="B69" s="4"/>
      <c r="C69" t="str">
        <f t="shared" si="6"/>
        <v/>
      </c>
      <c r="D69" s="5" t="str">
        <f>IF($C69="","",IF(AND(LEFT($F69,3)="ДОК",$H69&lt;&gt;""),IFERROR(INDEX(Документация!$G$2:$G$57,MATCH($H69,Документация!$F$2:$F$57,0)),"— вариант не найден —"),IFERROR(INDEX(Работы!$B$2:$B$6000,MATCH($C69,Работы!$A$2:$A$6000,0)),"— нет такого кода —")))</f>
        <v/>
      </c>
      <c r="E69" t="str">
        <f>IF($C69="","",IF(AND(LEFT($F69,3)="ДОК",$H69&lt;&gt;""),IFERROR(INDEX(Документация!$D$2:$D$57,MATCH($H69,Документация!$F$2:$F$57,0)),""),IFERROR(INDEX(Работы!$C$2:$C$6000,MATCH($C69,Работы!$A$2:$A$6000,0)),"")))</f>
        <v/>
      </c>
      <c r="F69" t="str">
        <f>IF($C69="","",IFERROR(INDEX(Работы!$G$2:$G$6000,MATCH($C69,Работы!$A$2:$A$6000,0))&amp;"",""))</f>
        <v/>
      </c>
      <c r="G69" s="4"/>
      <c r="H69" s="4"/>
      <c r="I69" s="5" t="str">
        <f>IF((LEFT($F69,3)="ДОК"),"",IF($H69="","",IFERROR(INDEX(Материалы!$B$2:$B$9000,MATCH($H69,Материалы!$M$2:$M$9000,0)),"")))</f>
        <v/>
      </c>
      <c r="J69" s="6">
        <f>IF(AND(LEFT($F69,3)="ДОК",$H69&lt;&gt;""),IFERROR(INDEX(Документация!$E$2:$E$57,MATCH($H69,Документация!$F$2:$F$57,0)),0),IFERROR(INDEX(Работы!$H$2:$H$6000,MATCH($C69,Работы!$A$2:$A$6000,0)),0))*(1-MEDIAN(0,N(ДисконтТендер),1))</f>
        <v>0</v>
      </c>
      <c r="K69" s="6">
        <f>IF(OR((LEFT($F69,3)="ДОК"),$H69=""),0,IFERROR(INDEX(Материалы!$H$2:$H$9000,MATCH($H69,Материалы!$M$2:$M$9000,0))*IF(INDEX(Материалы!$I$2:$I$9000,MATCH($H69,Материалы!$M$2:$M$9000,0))="USD",КурсUSD,IF(INDEX(Материалы!$I$2:$I$9000,MATCH($H69,Материалы!$M$2:$M$9000,0))="EUR",КурсEUR,1))*(1+IFERROR(INDEX(Работы!$I$2:$I$6000,MATCH($C69,Работы!$A$2:$A$6000,0))/100,0))*(1-MEDIAN(0,N(ДисконтТендер),1)),0))</f>
        <v>0</v>
      </c>
      <c r="L69" s="6">
        <f t="shared" si="7"/>
        <v>0</v>
      </c>
      <c r="M69" s="6">
        <f t="shared" si="8"/>
        <v>0</v>
      </c>
      <c r="N69" s="6">
        <f t="shared" si="9"/>
        <v>0</v>
      </c>
      <c r="O69" t="str">
        <f>IF($N69&gt;0,MAX($O$1:$O68)+1,"")</f>
        <v/>
      </c>
      <c r="P69" t="str">
        <f>IF($C69="","",IFERROR(INDEX(Работы!$D$2:$D$6000,MATCH($C69,Работы!$A$2:$A$6000,0)),""))</f>
        <v/>
      </c>
      <c r="Q69" t="str">
        <f t="shared" si="10"/>
        <v/>
      </c>
      <c r="R69" t="str">
        <f t="shared" si="11"/>
        <v/>
      </c>
      <c r="S69" t="str">
        <f>IF($P69="","",$P69&amp;" · "&amp;IFERROR(INDEX(Работы!$E$2:$E$6000,MATCH($C69,Работы!$A$2:$A$6000,0)),""))</f>
        <v/>
      </c>
    </row>
    <row r="70" spans="1:19" x14ac:dyDescent="0.3">
      <c r="A70" s="4"/>
      <c r="B70" s="4"/>
      <c r="C70" t="str">
        <f t="shared" si="6"/>
        <v/>
      </c>
      <c r="D70" s="5" t="str">
        <f>IF($C70="","",IF(AND(LEFT($F70,3)="ДОК",$H70&lt;&gt;""),IFERROR(INDEX(Документация!$G$2:$G$57,MATCH($H70,Документация!$F$2:$F$57,0)),"— вариант не найден —"),IFERROR(INDEX(Работы!$B$2:$B$6000,MATCH($C70,Работы!$A$2:$A$6000,0)),"— нет такого кода —")))</f>
        <v/>
      </c>
      <c r="E70" t="str">
        <f>IF($C70="","",IF(AND(LEFT($F70,3)="ДОК",$H70&lt;&gt;""),IFERROR(INDEX(Документация!$D$2:$D$57,MATCH($H70,Документация!$F$2:$F$57,0)),""),IFERROR(INDEX(Работы!$C$2:$C$6000,MATCH($C70,Работы!$A$2:$A$6000,0)),"")))</f>
        <v/>
      </c>
      <c r="F70" t="str">
        <f>IF($C70="","",IFERROR(INDEX(Работы!$G$2:$G$6000,MATCH($C70,Работы!$A$2:$A$6000,0))&amp;"",""))</f>
        <v/>
      </c>
      <c r="G70" s="4"/>
      <c r="H70" s="4"/>
      <c r="I70" s="5" t="str">
        <f>IF((LEFT($F70,3)="ДОК"),"",IF($H70="","",IFERROR(INDEX(Материалы!$B$2:$B$9000,MATCH($H70,Материалы!$M$2:$M$9000,0)),"")))</f>
        <v/>
      </c>
      <c r="J70" s="6">
        <f>IF(AND(LEFT($F70,3)="ДОК",$H70&lt;&gt;""),IFERROR(INDEX(Документация!$E$2:$E$57,MATCH($H70,Документация!$F$2:$F$57,0)),0),IFERROR(INDEX(Работы!$H$2:$H$6000,MATCH($C70,Работы!$A$2:$A$6000,0)),0))*(1-MEDIAN(0,N(ДисконтТендер),1))</f>
        <v>0</v>
      </c>
      <c r="K70" s="6">
        <f>IF(OR((LEFT($F70,3)="ДОК"),$H70=""),0,IFERROR(INDEX(Материалы!$H$2:$H$9000,MATCH($H70,Материалы!$M$2:$M$9000,0))*IF(INDEX(Материалы!$I$2:$I$9000,MATCH($H70,Материалы!$M$2:$M$9000,0))="USD",КурсUSD,IF(INDEX(Материалы!$I$2:$I$9000,MATCH($H70,Материалы!$M$2:$M$9000,0))="EUR",КурсEUR,1))*(1+IFERROR(INDEX(Работы!$I$2:$I$6000,MATCH($C70,Работы!$A$2:$A$6000,0))/100,0))*(1-MEDIAN(0,N(ДисконтТендер),1)),0))</f>
        <v>0</v>
      </c>
      <c r="L70" s="6">
        <f t="shared" si="7"/>
        <v>0</v>
      </c>
      <c r="M70" s="6">
        <f t="shared" si="8"/>
        <v>0</v>
      </c>
      <c r="N70" s="6">
        <f t="shared" si="9"/>
        <v>0</v>
      </c>
      <c r="O70" t="str">
        <f>IF($N70&gt;0,MAX($O$1:$O69)+1,"")</f>
        <v/>
      </c>
      <c r="P70" t="str">
        <f>IF($C70="","",IFERROR(INDEX(Работы!$D$2:$D$6000,MATCH($C70,Работы!$A$2:$A$6000,0)),""))</f>
        <v/>
      </c>
      <c r="Q70" t="str">
        <f t="shared" si="10"/>
        <v/>
      </c>
      <c r="R70" t="str">
        <f t="shared" si="11"/>
        <v/>
      </c>
      <c r="S70" t="str">
        <f>IF($P70="","",$P70&amp;" · "&amp;IFERROR(INDEX(Работы!$E$2:$E$6000,MATCH($C70,Работы!$A$2:$A$6000,0)),""))</f>
        <v/>
      </c>
    </row>
    <row r="71" spans="1:19" x14ac:dyDescent="0.3">
      <c r="A71" s="4"/>
      <c r="B71" s="4"/>
      <c r="C71" t="str">
        <f t="shared" si="6"/>
        <v/>
      </c>
      <c r="D71" s="5" t="str">
        <f>IF($C71="","",IF(AND(LEFT($F71,3)="ДОК",$H71&lt;&gt;""),IFERROR(INDEX(Документация!$G$2:$G$57,MATCH($H71,Документация!$F$2:$F$57,0)),"— вариант не найден —"),IFERROR(INDEX(Работы!$B$2:$B$6000,MATCH($C71,Работы!$A$2:$A$6000,0)),"— нет такого кода —")))</f>
        <v/>
      </c>
      <c r="E71" t="str">
        <f>IF($C71="","",IF(AND(LEFT($F71,3)="ДОК",$H71&lt;&gt;""),IFERROR(INDEX(Документация!$D$2:$D$57,MATCH($H71,Документация!$F$2:$F$57,0)),""),IFERROR(INDEX(Работы!$C$2:$C$6000,MATCH($C71,Работы!$A$2:$A$6000,0)),"")))</f>
        <v/>
      </c>
      <c r="F71" t="str">
        <f>IF($C71="","",IFERROR(INDEX(Работы!$G$2:$G$6000,MATCH($C71,Работы!$A$2:$A$6000,0))&amp;"",""))</f>
        <v/>
      </c>
      <c r="G71" s="4"/>
      <c r="H71" s="4"/>
      <c r="I71" s="5" t="str">
        <f>IF((LEFT($F71,3)="ДОК"),"",IF($H71="","",IFERROR(INDEX(Материалы!$B$2:$B$9000,MATCH($H71,Материалы!$M$2:$M$9000,0)),"")))</f>
        <v/>
      </c>
      <c r="J71" s="6">
        <f>IF(AND(LEFT($F71,3)="ДОК",$H71&lt;&gt;""),IFERROR(INDEX(Документация!$E$2:$E$57,MATCH($H71,Документация!$F$2:$F$57,0)),0),IFERROR(INDEX(Работы!$H$2:$H$6000,MATCH($C71,Работы!$A$2:$A$6000,0)),0))*(1-MEDIAN(0,N(ДисконтТендер),1))</f>
        <v>0</v>
      </c>
      <c r="K71" s="6">
        <f>IF(OR((LEFT($F71,3)="ДОК"),$H71=""),0,IFERROR(INDEX(Материалы!$H$2:$H$9000,MATCH($H71,Материалы!$M$2:$M$9000,0))*IF(INDEX(Материалы!$I$2:$I$9000,MATCH($H71,Материалы!$M$2:$M$9000,0))="USD",КурсUSD,IF(INDEX(Материалы!$I$2:$I$9000,MATCH($H71,Материалы!$M$2:$M$9000,0))="EUR",КурсEUR,1))*(1+IFERROR(INDEX(Работы!$I$2:$I$6000,MATCH($C71,Работы!$A$2:$A$6000,0))/100,0))*(1-MEDIAN(0,N(ДисконтТендер),1)),0))</f>
        <v>0</v>
      </c>
      <c r="L71" s="6">
        <f t="shared" si="7"/>
        <v>0</v>
      </c>
      <c r="M71" s="6">
        <f t="shared" si="8"/>
        <v>0</v>
      </c>
      <c r="N71" s="6">
        <f t="shared" si="9"/>
        <v>0</v>
      </c>
      <c r="O71" t="str">
        <f>IF($N71&gt;0,MAX($O$1:$O70)+1,"")</f>
        <v/>
      </c>
      <c r="P71" t="str">
        <f>IF($C71="","",IFERROR(INDEX(Работы!$D$2:$D$6000,MATCH($C71,Работы!$A$2:$A$6000,0)),""))</f>
        <v/>
      </c>
      <c r="Q71" t="str">
        <f t="shared" si="10"/>
        <v/>
      </c>
      <c r="R71" t="str">
        <f t="shared" si="11"/>
        <v/>
      </c>
      <c r="S71" t="str">
        <f>IF($P71="","",$P71&amp;" · "&amp;IFERROR(INDEX(Работы!$E$2:$E$6000,MATCH($C71,Работы!$A$2:$A$6000,0)),""))</f>
        <v/>
      </c>
    </row>
    <row r="72" spans="1:19" x14ac:dyDescent="0.3">
      <c r="A72" s="4"/>
      <c r="B72" s="4"/>
      <c r="C72" t="str">
        <f t="shared" si="6"/>
        <v/>
      </c>
      <c r="D72" s="5" t="str">
        <f>IF($C72="","",IF(AND(LEFT($F72,3)="ДОК",$H72&lt;&gt;""),IFERROR(INDEX(Документация!$G$2:$G$57,MATCH($H72,Документация!$F$2:$F$57,0)),"— вариант не найден —"),IFERROR(INDEX(Работы!$B$2:$B$6000,MATCH($C72,Работы!$A$2:$A$6000,0)),"— нет такого кода —")))</f>
        <v/>
      </c>
      <c r="E72" t="str">
        <f>IF($C72="","",IF(AND(LEFT($F72,3)="ДОК",$H72&lt;&gt;""),IFERROR(INDEX(Документация!$D$2:$D$57,MATCH($H72,Документация!$F$2:$F$57,0)),""),IFERROR(INDEX(Работы!$C$2:$C$6000,MATCH($C72,Работы!$A$2:$A$6000,0)),"")))</f>
        <v/>
      </c>
      <c r="F72" t="str">
        <f>IF($C72="","",IFERROR(INDEX(Работы!$G$2:$G$6000,MATCH($C72,Работы!$A$2:$A$6000,0))&amp;"",""))</f>
        <v/>
      </c>
      <c r="G72" s="4"/>
      <c r="H72" s="4"/>
      <c r="I72" s="5" t="str">
        <f>IF((LEFT($F72,3)="ДОК"),"",IF($H72="","",IFERROR(INDEX(Материалы!$B$2:$B$9000,MATCH($H72,Материалы!$M$2:$M$9000,0)),"")))</f>
        <v/>
      </c>
      <c r="J72" s="6">
        <f>IF(AND(LEFT($F72,3)="ДОК",$H72&lt;&gt;""),IFERROR(INDEX(Документация!$E$2:$E$57,MATCH($H72,Документация!$F$2:$F$57,0)),0),IFERROR(INDEX(Работы!$H$2:$H$6000,MATCH($C72,Работы!$A$2:$A$6000,0)),0))*(1-MEDIAN(0,N(ДисконтТендер),1))</f>
        <v>0</v>
      </c>
      <c r="K72" s="6">
        <f>IF(OR((LEFT($F72,3)="ДОК"),$H72=""),0,IFERROR(INDEX(Материалы!$H$2:$H$9000,MATCH($H72,Материалы!$M$2:$M$9000,0))*IF(INDEX(Материалы!$I$2:$I$9000,MATCH($H72,Материалы!$M$2:$M$9000,0))="USD",КурсUSD,IF(INDEX(Материалы!$I$2:$I$9000,MATCH($H72,Материалы!$M$2:$M$9000,0))="EUR",КурсEUR,1))*(1+IFERROR(INDEX(Работы!$I$2:$I$6000,MATCH($C72,Работы!$A$2:$A$6000,0))/100,0))*(1-MEDIAN(0,N(ДисконтТендер),1)),0))</f>
        <v>0</v>
      </c>
      <c r="L72" s="6">
        <f t="shared" si="7"/>
        <v>0</v>
      </c>
      <c r="M72" s="6">
        <f t="shared" si="8"/>
        <v>0</v>
      </c>
      <c r="N72" s="6">
        <f t="shared" si="9"/>
        <v>0</v>
      </c>
      <c r="O72" t="str">
        <f>IF($N72&gt;0,MAX($O$1:$O71)+1,"")</f>
        <v/>
      </c>
      <c r="P72" t="str">
        <f>IF($C72="","",IFERROR(INDEX(Работы!$D$2:$D$6000,MATCH($C72,Работы!$A$2:$A$6000,0)),""))</f>
        <v/>
      </c>
      <c r="Q72" t="str">
        <f t="shared" si="10"/>
        <v/>
      </c>
      <c r="R72" t="str">
        <f t="shared" si="11"/>
        <v/>
      </c>
      <c r="S72" t="str">
        <f>IF($P72="","",$P72&amp;" · "&amp;IFERROR(INDEX(Работы!$E$2:$E$6000,MATCH($C72,Работы!$A$2:$A$6000,0)),""))</f>
        <v/>
      </c>
    </row>
    <row r="73" spans="1:19" x14ac:dyDescent="0.3">
      <c r="A73" s="4"/>
      <c r="B73" s="4"/>
      <c r="C73" t="str">
        <f t="shared" si="6"/>
        <v/>
      </c>
      <c r="D73" s="5" t="str">
        <f>IF($C73="","",IF(AND(LEFT($F73,3)="ДОК",$H73&lt;&gt;""),IFERROR(INDEX(Документация!$G$2:$G$57,MATCH($H73,Документация!$F$2:$F$57,0)),"— вариант не найден —"),IFERROR(INDEX(Работы!$B$2:$B$6000,MATCH($C73,Работы!$A$2:$A$6000,0)),"— нет такого кода —")))</f>
        <v/>
      </c>
      <c r="E73" t="str">
        <f>IF($C73="","",IF(AND(LEFT($F73,3)="ДОК",$H73&lt;&gt;""),IFERROR(INDEX(Документация!$D$2:$D$57,MATCH($H73,Документация!$F$2:$F$57,0)),""),IFERROR(INDEX(Работы!$C$2:$C$6000,MATCH($C73,Работы!$A$2:$A$6000,0)),"")))</f>
        <v/>
      </c>
      <c r="F73" t="str">
        <f>IF($C73="","",IFERROR(INDEX(Работы!$G$2:$G$6000,MATCH($C73,Работы!$A$2:$A$6000,0))&amp;"",""))</f>
        <v/>
      </c>
      <c r="G73" s="4"/>
      <c r="H73" s="4"/>
      <c r="I73" s="5" t="str">
        <f>IF((LEFT($F73,3)="ДОК"),"",IF($H73="","",IFERROR(INDEX(Материалы!$B$2:$B$9000,MATCH($H73,Материалы!$M$2:$M$9000,0)),"")))</f>
        <v/>
      </c>
      <c r="J73" s="6">
        <f>IF(AND(LEFT($F73,3)="ДОК",$H73&lt;&gt;""),IFERROR(INDEX(Документация!$E$2:$E$57,MATCH($H73,Документация!$F$2:$F$57,0)),0),IFERROR(INDEX(Работы!$H$2:$H$6000,MATCH($C73,Работы!$A$2:$A$6000,0)),0))*(1-MEDIAN(0,N(ДисконтТендер),1))</f>
        <v>0</v>
      </c>
      <c r="K73" s="6">
        <f>IF(OR((LEFT($F73,3)="ДОК"),$H73=""),0,IFERROR(INDEX(Материалы!$H$2:$H$9000,MATCH($H73,Материалы!$M$2:$M$9000,0))*IF(INDEX(Материалы!$I$2:$I$9000,MATCH($H73,Материалы!$M$2:$M$9000,0))="USD",КурсUSD,IF(INDEX(Материалы!$I$2:$I$9000,MATCH($H73,Материалы!$M$2:$M$9000,0))="EUR",КурсEUR,1))*(1+IFERROR(INDEX(Работы!$I$2:$I$6000,MATCH($C73,Работы!$A$2:$A$6000,0))/100,0))*(1-MEDIAN(0,N(ДисконтТендер),1)),0))</f>
        <v>0</v>
      </c>
      <c r="L73" s="6">
        <f t="shared" si="7"/>
        <v>0</v>
      </c>
      <c r="M73" s="6">
        <f t="shared" si="8"/>
        <v>0</v>
      </c>
      <c r="N73" s="6">
        <f t="shared" si="9"/>
        <v>0</v>
      </c>
      <c r="O73" t="str">
        <f>IF($N73&gt;0,MAX($O$1:$O72)+1,"")</f>
        <v/>
      </c>
      <c r="P73" t="str">
        <f>IF($C73="","",IFERROR(INDEX(Работы!$D$2:$D$6000,MATCH($C73,Работы!$A$2:$A$6000,0)),""))</f>
        <v/>
      </c>
      <c r="Q73" t="str">
        <f t="shared" si="10"/>
        <v/>
      </c>
      <c r="R73" t="str">
        <f t="shared" si="11"/>
        <v/>
      </c>
      <c r="S73" t="str">
        <f>IF($P73="","",$P73&amp;" · "&amp;IFERROR(INDEX(Работы!$E$2:$E$6000,MATCH($C73,Работы!$A$2:$A$6000,0)),""))</f>
        <v/>
      </c>
    </row>
    <row r="74" spans="1:19" x14ac:dyDescent="0.3">
      <c r="A74" s="4"/>
      <c r="B74" s="4"/>
      <c r="C74" t="str">
        <f t="shared" si="6"/>
        <v/>
      </c>
      <c r="D74" s="5" t="str">
        <f>IF($C74="","",IF(AND(LEFT($F74,3)="ДОК",$H74&lt;&gt;""),IFERROR(INDEX(Документация!$G$2:$G$57,MATCH($H74,Документация!$F$2:$F$57,0)),"— вариант не найден —"),IFERROR(INDEX(Работы!$B$2:$B$6000,MATCH($C74,Работы!$A$2:$A$6000,0)),"— нет такого кода —")))</f>
        <v/>
      </c>
      <c r="E74" t="str">
        <f>IF($C74="","",IF(AND(LEFT($F74,3)="ДОК",$H74&lt;&gt;""),IFERROR(INDEX(Документация!$D$2:$D$57,MATCH($H74,Документация!$F$2:$F$57,0)),""),IFERROR(INDEX(Работы!$C$2:$C$6000,MATCH($C74,Работы!$A$2:$A$6000,0)),"")))</f>
        <v/>
      </c>
      <c r="F74" t="str">
        <f>IF($C74="","",IFERROR(INDEX(Работы!$G$2:$G$6000,MATCH($C74,Работы!$A$2:$A$6000,0))&amp;"",""))</f>
        <v/>
      </c>
      <c r="G74" s="4"/>
      <c r="H74" s="4"/>
      <c r="I74" s="5" t="str">
        <f>IF((LEFT($F74,3)="ДОК"),"",IF($H74="","",IFERROR(INDEX(Материалы!$B$2:$B$9000,MATCH($H74,Материалы!$M$2:$M$9000,0)),"")))</f>
        <v/>
      </c>
      <c r="J74" s="6">
        <f>IF(AND(LEFT($F74,3)="ДОК",$H74&lt;&gt;""),IFERROR(INDEX(Документация!$E$2:$E$57,MATCH($H74,Документация!$F$2:$F$57,0)),0),IFERROR(INDEX(Работы!$H$2:$H$6000,MATCH($C74,Работы!$A$2:$A$6000,0)),0))*(1-MEDIAN(0,N(ДисконтТендер),1))</f>
        <v>0</v>
      </c>
      <c r="K74" s="6">
        <f>IF(OR((LEFT($F74,3)="ДОК"),$H74=""),0,IFERROR(INDEX(Материалы!$H$2:$H$9000,MATCH($H74,Материалы!$M$2:$M$9000,0))*IF(INDEX(Материалы!$I$2:$I$9000,MATCH($H74,Материалы!$M$2:$M$9000,0))="USD",КурсUSD,IF(INDEX(Материалы!$I$2:$I$9000,MATCH($H74,Материалы!$M$2:$M$9000,0))="EUR",КурсEUR,1))*(1+IFERROR(INDEX(Работы!$I$2:$I$6000,MATCH($C74,Работы!$A$2:$A$6000,0))/100,0))*(1-MEDIAN(0,N(ДисконтТендер),1)),0))</f>
        <v>0</v>
      </c>
      <c r="L74" s="6">
        <f t="shared" si="7"/>
        <v>0</v>
      </c>
      <c r="M74" s="6">
        <f t="shared" si="8"/>
        <v>0</v>
      </c>
      <c r="N74" s="6">
        <f t="shared" si="9"/>
        <v>0</v>
      </c>
      <c r="O74" t="str">
        <f>IF($N74&gt;0,MAX($O$1:$O73)+1,"")</f>
        <v/>
      </c>
      <c r="P74" t="str">
        <f>IF($C74="","",IFERROR(INDEX(Работы!$D$2:$D$6000,MATCH($C74,Работы!$A$2:$A$6000,0)),""))</f>
        <v/>
      </c>
      <c r="Q74" t="str">
        <f t="shared" si="10"/>
        <v/>
      </c>
      <c r="R74" t="str">
        <f t="shared" si="11"/>
        <v/>
      </c>
      <c r="S74" t="str">
        <f>IF($P74="","",$P74&amp;" · "&amp;IFERROR(INDEX(Работы!$E$2:$E$6000,MATCH($C74,Работы!$A$2:$A$6000,0)),""))</f>
        <v/>
      </c>
    </row>
    <row r="75" spans="1:19" x14ac:dyDescent="0.3">
      <c r="A75" s="4"/>
      <c r="B75" s="4"/>
      <c r="C75" t="str">
        <f t="shared" si="6"/>
        <v/>
      </c>
      <c r="D75" s="5" t="str">
        <f>IF($C75="","",IF(AND(LEFT($F75,3)="ДОК",$H75&lt;&gt;""),IFERROR(INDEX(Документация!$G$2:$G$57,MATCH($H75,Документация!$F$2:$F$57,0)),"— вариант не найден —"),IFERROR(INDEX(Работы!$B$2:$B$6000,MATCH($C75,Работы!$A$2:$A$6000,0)),"— нет такого кода —")))</f>
        <v/>
      </c>
      <c r="E75" t="str">
        <f>IF($C75="","",IF(AND(LEFT($F75,3)="ДОК",$H75&lt;&gt;""),IFERROR(INDEX(Документация!$D$2:$D$57,MATCH($H75,Документация!$F$2:$F$57,0)),""),IFERROR(INDEX(Работы!$C$2:$C$6000,MATCH($C75,Работы!$A$2:$A$6000,0)),"")))</f>
        <v/>
      </c>
      <c r="F75" t="str">
        <f>IF($C75="","",IFERROR(INDEX(Работы!$G$2:$G$6000,MATCH($C75,Работы!$A$2:$A$6000,0))&amp;"",""))</f>
        <v/>
      </c>
      <c r="G75" s="4"/>
      <c r="H75" s="4"/>
      <c r="I75" s="5" t="str">
        <f>IF((LEFT($F75,3)="ДОК"),"",IF($H75="","",IFERROR(INDEX(Материалы!$B$2:$B$9000,MATCH($H75,Материалы!$M$2:$M$9000,0)),"")))</f>
        <v/>
      </c>
      <c r="J75" s="6">
        <f>IF(AND(LEFT($F75,3)="ДОК",$H75&lt;&gt;""),IFERROR(INDEX(Документация!$E$2:$E$57,MATCH($H75,Документация!$F$2:$F$57,0)),0),IFERROR(INDEX(Работы!$H$2:$H$6000,MATCH($C75,Работы!$A$2:$A$6000,0)),0))*(1-MEDIAN(0,N(ДисконтТендер),1))</f>
        <v>0</v>
      </c>
      <c r="K75" s="6">
        <f>IF(OR((LEFT($F75,3)="ДОК"),$H75=""),0,IFERROR(INDEX(Материалы!$H$2:$H$9000,MATCH($H75,Материалы!$M$2:$M$9000,0))*IF(INDEX(Материалы!$I$2:$I$9000,MATCH($H75,Материалы!$M$2:$M$9000,0))="USD",КурсUSD,IF(INDEX(Материалы!$I$2:$I$9000,MATCH($H75,Материалы!$M$2:$M$9000,0))="EUR",КурсEUR,1))*(1+IFERROR(INDEX(Работы!$I$2:$I$6000,MATCH($C75,Работы!$A$2:$A$6000,0))/100,0))*(1-MEDIAN(0,N(ДисконтТендер),1)),0))</f>
        <v>0</v>
      </c>
      <c r="L75" s="6">
        <f t="shared" si="7"/>
        <v>0</v>
      </c>
      <c r="M75" s="6">
        <f t="shared" si="8"/>
        <v>0</v>
      </c>
      <c r="N75" s="6">
        <f t="shared" si="9"/>
        <v>0</v>
      </c>
      <c r="O75" t="str">
        <f>IF($N75&gt;0,MAX($O$1:$O74)+1,"")</f>
        <v/>
      </c>
      <c r="P75" t="str">
        <f>IF($C75="","",IFERROR(INDEX(Работы!$D$2:$D$6000,MATCH($C75,Работы!$A$2:$A$6000,0)),""))</f>
        <v/>
      </c>
      <c r="Q75" t="str">
        <f t="shared" si="10"/>
        <v/>
      </c>
      <c r="R75" t="str">
        <f t="shared" si="11"/>
        <v/>
      </c>
      <c r="S75" t="str">
        <f>IF($P75="","",$P75&amp;" · "&amp;IFERROR(INDEX(Работы!$E$2:$E$6000,MATCH($C75,Работы!$A$2:$A$6000,0)),""))</f>
        <v/>
      </c>
    </row>
    <row r="76" spans="1:19" x14ac:dyDescent="0.3">
      <c r="A76" s="4"/>
      <c r="B76" s="4"/>
      <c r="C76" t="str">
        <f t="shared" si="6"/>
        <v/>
      </c>
      <c r="D76" s="5" t="str">
        <f>IF($C76="","",IF(AND(LEFT($F76,3)="ДОК",$H76&lt;&gt;""),IFERROR(INDEX(Документация!$G$2:$G$57,MATCH($H76,Документация!$F$2:$F$57,0)),"— вариант не найден —"),IFERROR(INDEX(Работы!$B$2:$B$6000,MATCH($C76,Работы!$A$2:$A$6000,0)),"— нет такого кода —")))</f>
        <v/>
      </c>
      <c r="E76" t="str">
        <f>IF($C76="","",IF(AND(LEFT($F76,3)="ДОК",$H76&lt;&gt;""),IFERROR(INDEX(Документация!$D$2:$D$57,MATCH($H76,Документация!$F$2:$F$57,0)),""),IFERROR(INDEX(Работы!$C$2:$C$6000,MATCH($C76,Работы!$A$2:$A$6000,0)),"")))</f>
        <v/>
      </c>
      <c r="F76" t="str">
        <f>IF($C76="","",IFERROR(INDEX(Работы!$G$2:$G$6000,MATCH($C76,Работы!$A$2:$A$6000,0))&amp;"",""))</f>
        <v/>
      </c>
      <c r="G76" s="4"/>
      <c r="H76" s="4"/>
      <c r="I76" s="5" t="str">
        <f>IF((LEFT($F76,3)="ДОК"),"",IF($H76="","",IFERROR(INDEX(Материалы!$B$2:$B$9000,MATCH($H76,Материалы!$M$2:$M$9000,0)),"")))</f>
        <v/>
      </c>
      <c r="J76" s="6">
        <f>IF(AND(LEFT($F76,3)="ДОК",$H76&lt;&gt;""),IFERROR(INDEX(Документация!$E$2:$E$57,MATCH($H76,Документация!$F$2:$F$57,0)),0),IFERROR(INDEX(Работы!$H$2:$H$6000,MATCH($C76,Работы!$A$2:$A$6000,0)),0))*(1-MEDIAN(0,N(ДисконтТендер),1))</f>
        <v>0</v>
      </c>
      <c r="K76" s="6">
        <f>IF(OR((LEFT($F76,3)="ДОК"),$H76=""),0,IFERROR(INDEX(Материалы!$H$2:$H$9000,MATCH($H76,Материалы!$M$2:$M$9000,0))*IF(INDEX(Материалы!$I$2:$I$9000,MATCH($H76,Материалы!$M$2:$M$9000,0))="USD",КурсUSD,IF(INDEX(Материалы!$I$2:$I$9000,MATCH($H76,Материалы!$M$2:$M$9000,0))="EUR",КурсEUR,1))*(1+IFERROR(INDEX(Работы!$I$2:$I$6000,MATCH($C76,Работы!$A$2:$A$6000,0))/100,0))*(1-MEDIAN(0,N(ДисконтТендер),1)),0))</f>
        <v>0</v>
      </c>
      <c r="L76" s="6">
        <f t="shared" si="7"/>
        <v>0</v>
      </c>
      <c r="M76" s="6">
        <f t="shared" si="8"/>
        <v>0</v>
      </c>
      <c r="N76" s="6">
        <f t="shared" si="9"/>
        <v>0</v>
      </c>
      <c r="O76" t="str">
        <f>IF($N76&gt;0,MAX($O$1:$O75)+1,"")</f>
        <v/>
      </c>
      <c r="P76" t="str">
        <f>IF($C76="","",IFERROR(INDEX(Работы!$D$2:$D$6000,MATCH($C76,Работы!$A$2:$A$6000,0)),""))</f>
        <v/>
      </c>
      <c r="Q76" t="str">
        <f t="shared" si="10"/>
        <v/>
      </c>
      <c r="R76" t="str">
        <f t="shared" si="11"/>
        <v/>
      </c>
      <c r="S76" t="str">
        <f>IF($P76="","",$P76&amp;" · "&amp;IFERROR(INDEX(Работы!$E$2:$E$6000,MATCH($C76,Работы!$A$2:$A$6000,0)),""))</f>
        <v/>
      </c>
    </row>
    <row r="77" spans="1:19" x14ac:dyDescent="0.3">
      <c r="A77" s="4"/>
      <c r="B77" s="4"/>
      <c r="C77" t="str">
        <f t="shared" si="6"/>
        <v/>
      </c>
      <c r="D77" s="5" t="str">
        <f>IF($C77="","",IF(AND(LEFT($F77,3)="ДОК",$H77&lt;&gt;""),IFERROR(INDEX(Документация!$G$2:$G$57,MATCH($H77,Документация!$F$2:$F$57,0)),"— вариант не найден —"),IFERROR(INDEX(Работы!$B$2:$B$6000,MATCH($C77,Работы!$A$2:$A$6000,0)),"— нет такого кода —")))</f>
        <v/>
      </c>
      <c r="E77" t="str">
        <f>IF($C77="","",IF(AND(LEFT($F77,3)="ДОК",$H77&lt;&gt;""),IFERROR(INDEX(Документация!$D$2:$D$57,MATCH($H77,Документация!$F$2:$F$57,0)),""),IFERROR(INDEX(Работы!$C$2:$C$6000,MATCH($C77,Работы!$A$2:$A$6000,0)),"")))</f>
        <v/>
      </c>
      <c r="F77" t="str">
        <f>IF($C77="","",IFERROR(INDEX(Работы!$G$2:$G$6000,MATCH($C77,Работы!$A$2:$A$6000,0))&amp;"",""))</f>
        <v/>
      </c>
      <c r="G77" s="4"/>
      <c r="H77" s="4"/>
      <c r="I77" s="5" t="str">
        <f>IF((LEFT($F77,3)="ДОК"),"",IF($H77="","",IFERROR(INDEX(Материалы!$B$2:$B$9000,MATCH($H77,Материалы!$M$2:$M$9000,0)),"")))</f>
        <v/>
      </c>
      <c r="J77" s="6">
        <f>IF(AND(LEFT($F77,3)="ДОК",$H77&lt;&gt;""),IFERROR(INDEX(Документация!$E$2:$E$57,MATCH($H77,Документация!$F$2:$F$57,0)),0),IFERROR(INDEX(Работы!$H$2:$H$6000,MATCH($C77,Работы!$A$2:$A$6000,0)),0))*(1-MEDIAN(0,N(ДисконтТендер),1))</f>
        <v>0</v>
      </c>
      <c r="K77" s="6">
        <f>IF(OR((LEFT($F77,3)="ДОК"),$H77=""),0,IFERROR(INDEX(Материалы!$H$2:$H$9000,MATCH($H77,Материалы!$M$2:$M$9000,0))*IF(INDEX(Материалы!$I$2:$I$9000,MATCH($H77,Материалы!$M$2:$M$9000,0))="USD",КурсUSD,IF(INDEX(Материалы!$I$2:$I$9000,MATCH($H77,Материалы!$M$2:$M$9000,0))="EUR",КурсEUR,1))*(1+IFERROR(INDEX(Работы!$I$2:$I$6000,MATCH($C77,Работы!$A$2:$A$6000,0))/100,0))*(1-MEDIAN(0,N(ДисконтТендер),1)),0))</f>
        <v>0</v>
      </c>
      <c r="L77" s="6">
        <f t="shared" si="7"/>
        <v>0</v>
      </c>
      <c r="M77" s="6">
        <f t="shared" si="8"/>
        <v>0</v>
      </c>
      <c r="N77" s="6">
        <f t="shared" si="9"/>
        <v>0</v>
      </c>
      <c r="O77" t="str">
        <f>IF($N77&gt;0,MAX($O$1:$O76)+1,"")</f>
        <v/>
      </c>
      <c r="P77" t="str">
        <f>IF($C77="","",IFERROR(INDEX(Работы!$D$2:$D$6000,MATCH($C77,Работы!$A$2:$A$6000,0)),""))</f>
        <v/>
      </c>
      <c r="Q77" t="str">
        <f t="shared" si="10"/>
        <v/>
      </c>
      <c r="R77" t="str">
        <f t="shared" si="11"/>
        <v/>
      </c>
      <c r="S77" t="str">
        <f>IF($P77="","",$P77&amp;" · "&amp;IFERROR(INDEX(Работы!$E$2:$E$6000,MATCH($C77,Работы!$A$2:$A$6000,0)),""))</f>
        <v/>
      </c>
    </row>
    <row r="78" spans="1:19" x14ac:dyDescent="0.3">
      <c r="A78" s="4"/>
      <c r="B78" s="4"/>
      <c r="C78" t="str">
        <f t="shared" si="6"/>
        <v/>
      </c>
      <c r="D78" s="5" t="str">
        <f>IF($C78="","",IF(AND(LEFT($F78,3)="ДОК",$H78&lt;&gt;""),IFERROR(INDEX(Документация!$G$2:$G$57,MATCH($H78,Документация!$F$2:$F$57,0)),"— вариант не найден —"),IFERROR(INDEX(Работы!$B$2:$B$6000,MATCH($C78,Работы!$A$2:$A$6000,0)),"— нет такого кода —")))</f>
        <v/>
      </c>
      <c r="E78" t="str">
        <f>IF($C78="","",IF(AND(LEFT($F78,3)="ДОК",$H78&lt;&gt;""),IFERROR(INDEX(Документация!$D$2:$D$57,MATCH($H78,Документация!$F$2:$F$57,0)),""),IFERROR(INDEX(Работы!$C$2:$C$6000,MATCH($C78,Работы!$A$2:$A$6000,0)),"")))</f>
        <v/>
      </c>
      <c r="F78" t="str">
        <f>IF($C78="","",IFERROR(INDEX(Работы!$G$2:$G$6000,MATCH($C78,Работы!$A$2:$A$6000,0))&amp;"",""))</f>
        <v/>
      </c>
      <c r="G78" s="4"/>
      <c r="H78" s="4"/>
      <c r="I78" s="5" t="str">
        <f>IF((LEFT($F78,3)="ДОК"),"",IF($H78="","",IFERROR(INDEX(Материалы!$B$2:$B$9000,MATCH($H78,Материалы!$M$2:$M$9000,0)),"")))</f>
        <v/>
      </c>
      <c r="J78" s="6">
        <f>IF(AND(LEFT($F78,3)="ДОК",$H78&lt;&gt;""),IFERROR(INDEX(Документация!$E$2:$E$57,MATCH($H78,Документация!$F$2:$F$57,0)),0),IFERROR(INDEX(Работы!$H$2:$H$6000,MATCH($C78,Работы!$A$2:$A$6000,0)),0))*(1-MEDIAN(0,N(ДисконтТендер),1))</f>
        <v>0</v>
      </c>
      <c r="K78" s="6">
        <f>IF(OR((LEFT($F78,3)="ДОК"),$H78=""),0,IFERROR(INDEX(Материалы!$H$2:$H$9000,MATCH($H78,Материалы!$M$2:$M$9000,0))*IF(INDEX(Материалы!$I$2:$I$9000,MATCH($H78,Материалы!$M$2:$M$9000,0))="USD",КурсUSD,IF(INDEX(Материалы!$I$2:$I$9000,MATCH($H78,Материалы!$M$2:$M$9000,0))="EUR",КурсEUR,1))*(1+IFERROR(INDEX(Работы!$I$2:$I$6000,MATCH($C78,Работы!$A$2:$A$6000,0))/100,0))*(1-MEDIAN(0,N(ДисконтТендер),1)),0))</f>
        <v>0</v>
      </c>
      <c r="L78" s="6">
        <f t="shared" si="7"/>
        <v>0</v>
      </c>
      <c r="M78" s="6">
        <f t="shared" si="8"/>
        <v>0</v>
      </c>
      <c r="N78" s="6">
        <f t="shared" si="9"/>
        <v>0</v>
      </c>
      <c r="O78" t="str">
        <f>IF($N78&gt;0,MAX($O$1:$O77)+1,"")</f>
        <v/>
      </c>
      <c r="P78" t="str">
        <f>IF($C78="","",IFERROR(INDEX(Работы!$D$2:$D$6000,MATCH($C78,Работы!$A$2:$A$6000,0)),""))</f>
        <v/>
      </c>
      <c r="Q78" t="str">
        <f t="shared" si="10"/>
        <v/>
      </c>
      <c r="R78" t="str">
        <f t="shared" si="11"/>
        <v/>
      </c>
      <c r="S78" t="str">
        <f>IF($P78="","",$P78&amp;" · "&amp;IFERROR(INDEX(Работы!$E$2:$E$6000,MATCH($C78,Работы!$A$2:$A$6000,0)),""))</f>
        <v/>
      </c>
    </row>
    <row r="79" spans="1:19" x14ac:dyDescent="0.3">
      <c r="A79" s="4"/>
      <c r="B79" s="4"/>
      <c r="C79" t="str">
        <f t="shared" si="6"/>
        <v/>
      </c>
      <c r="D79" s="5" t="str">
        <f>IF($C79="","",IF(AND(LEFT($F79,3)="ДОК",$H79&lt;&gt;""),IFERROR(INDEX(Документация!$G$2:$G$57,MATCH($H79,Документация!$F$2:$F$57,0)),"— вариант не найден —"),IFERROR(INDEX(Работы!$B$2:$B$6000,MATCH($C79,Работы!$A$2:$A$6000,0)),"— нет такого кода —")))</f>
        <v/>
      </c>
      <c r="E79" t="str">
        <f>IF($C79="","",IF(AND(LEFT($F79,3)="ДОК",$H79&lt;&gt;""),IFERROR(INDEX(Документация!$D$2:$D$57,MATCH($H79,Документация!$F$2:$F$57,0)),""),IFERROR(INDEX(Работы!$C$2:$C$6000,MATCH($C79,Работы!$A$2:$A$6000,0)),"")))</f>
        <v/>
      </c>
      <c r="F79" t="str">
        <f>IF($C79="","",IFERROR(INDEX(Работы!$G$2:$G$6000,MATCH($C79,Работы!$A$2:$A$6000,0))&amp;"",""))</f>
        <v/>
      </c>
      <c r="G79" s="4"/>
      <c r="H79" s="4"/>
      <c r="I79" s="5" t="str">
        <f>IF((LEFT($F79,3)="ДОК"),"",IF($H79="","",IFERROR(INDEX(Материалы!$B$2:$B$9000,MATCH($H79,Материалы!$M$2:$M$9000,0)),"")))</f>
        <v/>
      </c>
      <c r="J79" s="6">
        <f>IF(AND(LEFT($F79,3)="ДОК",$H79&lt;&gt;""),IFERROR(INDEX(Документация!$E$2:$E$57,MATCH($H79,Документация!$F$2:$F$57,0)),0),IFERROR(INDEX(Работы!$H$2:$H$6000,MATCH($C79,Работы!$A$2:$A$6000,0)),0))*(1-MEDIAN(0,N(ДисконтТендер),1))</f>
        <v>0</v>
      </c>
      <c r="K79" s="6">
        <f>IF(OR((LEFT($F79,3)="ДОК"),$H79=""),0,IFERROR(INDEX(Материалы!$H$2:$H$9000,MATCH($H79,Материалы!$M$2:$M$9000,0))*IF(INDEX(Материалы!$I$2:$I$9000,MATCH($H79,Материалы!$M$2:$M$9000,0))="USD",КурсUSD,IF(INDEX(Материалы!$I$2:$I$9000,MATCH($H79,Материалы!$M$2:$M$9000,0))="EUR",КурсEUR,1))*(1+IFERROR(INDEX(Работы!$I$2:$I$6000,MATCH($C79,Работы!$A$2:$A$6000,0))/100,0))*(1-MEDIAN(0,N(ДисконтТендер),1)),0))</f>
        <v>0</v>
      </c>
      <c r="L79" s="6">
        <f t="shared" si="7"/>
        <v>0</v>
      </c>
      <c r="M79" s="6">
        <f t="shared" si="8"/>
        <v>0</v>
      </c>
      <c r="N79" s="6">
        <f t="shared" si="9"/>
        <v>0</v>
      </c>
      <c r="O79" t="str">
        <f>IF($N79&gt;0,MAX($O$1:$O78)+1,"")</f>
        <v/>
      </c>
      <c r="P79" t="str">
        <f>IF($C79="","",IFERROR(INDEX(Работы!$D$2:$D$6000,MATCH($C79,Работы!$A$2:$A$6000,0)),""))</f>
        <v/>
      </c>
      <c r="Q79" t="str">
        <f t="shared" si="10"/>
        <v/>
      </c>
      <c r="R79" t="str">
        <f t="shared" si="11"/>
        <v/>
      </c>
      <c r="S79" t="str">
        <f>IF($P79="","",$P79&amp;" · "&amp;IFERROR(INDEX(Работы!$E$2:$E$6000,MATCH($C79,Работы!$A$2:$A$6000,0)),""))</f>
        <v/>
      </c>
    </row>
    <row r="80" spans="1:19" x14ac:dyDescent="0.3">
      <c r="A80" s="4"/>
      <c r="B80" s="4"/>
      <c r="C80" t="str">
        <f t="shared" si="6"/>
        <v/>
      </c>
      <c r="D80" s="5" t="str">
        <f>IF($C80="","",IF(AND(LEFT($F80,3)="ДОК",$H80&lt;&gt;""),IFERROR(INDEX(Документация!$G$2:$G$57,MATCH($H80,Документация!$F$2:$F$57,0)),"— вариант не найден —"),IFERROR(INDEX(Работы!$B$2:$B$6000,MATCH($C80,Работы!$A$2:$A$6000,0)),"— нет такого кода —")))</f>
        <v/>
      </c>
      <c r="E80" t="str">
        <f>IF($C80="","",IF(AND(LEFT($F80,3)="ДОК",$H80&lt;&gt;""),IFERROR(INDEX(Документация!$D$2:$D$57,MATCH($H80,Документация!$F$2:$F$57,0)),""),IFERROR(INDEX(Работы!$C$2:$C$6000,MATCH($C80,Работы!$A$2:$A$6000,0)),"")))</f>
        <v/>
      </c>
      <c r="F80" t="str">
        <f>IF($C80="","",IFERROR(INDEX(Работы!$G$2:$G$6000,MATCH($C80,Работы!$A$2:$A$6000,0))&amp;"",""))</f>
        <v/>
      </c>
      <c r="G80" s="4"/>
      <c r="H80" s="4"/>
      <c r="I80" s="5" t="str">
        <f>IF((LEFT($F80,3)="ДОК"),"",IF($H80="","",IFERROR(INDEX(Материалы!$B$2:$B$9000,MATCH($H80,Материалы!$M$2:$M$9000,0)),"")))</f>
        <v/>
      </c>
      <c r="J80" s="6">
        <f>IF(AND(LEFT($F80,3)="ДОК",$H80&lt;&gt;""),IFERROR(INDEX(Документация!$E$2:$E$57,MATCH($H80,Документация!$F$2:$F$57,0)),0),IFERROR(INDEX(Работы!$H$2:$H$6000,MATCH($C80,Работы!$A$2:$A$6000,0)),0))*(1-MEDIAN(0,N(ДисконтТендер),1))</f>
        <v>0</v>
      </c>
      <c r="K80" s="6">
        <f>IF(OR((LEFT($F80,3)="ДОК"),$H80=""),0,IFERROR(INDEX(Материалы!$H$2:$H$9000,MATCH($H80,Материалы!$M$2:$M$9000,0))*IF(INDEX(Материалы!$I$2:$I$9000,MATCH($H80,Материалы!$M$2:$M$9000,0))="USD",КурсUSD,IF(INDEX(Материалы!$I$2:$I$9000,MATCH($H80,Материалы!$M$2:$M$9000,0))="EUR",КурсEUR,1))*(1+IFERROR(INDEX(Работы!$I$2:$I$6000,MATCH($C80,Работы!$A$2:$A$6000,0))/100,0))*(1-MEDIAN(0,N(ДисконтТендер),1)),0))</f>
        <v>0</v>
      </c>
      <c r="L80" s="6">
        <f t="shared" si="7"/>
        <v>0</v>
      </c>
      <c r="M80" s="6">
        <f t="shared" si="8"/>
        <v>0</v>
      </c>
      <c r="N80" s="6">
        <f t="shared" si="9"/>
        <v>0</v>
      </c>
      <c r="O80" t="str">
        <f>IF($N80&gt;0,MAX($O$1:$O79)+1,"")</f>
        <v/>
      </c>
      <c r="P80" t="str">
        <f>IF($C80="","",IFERROR(INDEX(Работы!$D$2:$D$6000,MATCH($C80,Работы!$A$2:$A$6000,0)),""))</f>
        <v/>
      </c>
      <c r="Q80" t="str">
        <f t="shared" si="10"/>
        <v/>
      </c>
      <c r="R80" t="str">
        <f t="shared" si="11"/>
        <v/>
      </c>
      <c r="S80" t="str">
        <f>IF($P80="","",$P80&amp;" · "&amp;IFERROR(INDEX(Работы!$E$2:$E$6000,MATCH($C80,Работы!$A$2:$A$6000,0)),""))</f>
        <v/>
      </c>
    </row>
    <row r="81" spans="1:19" x14ac:dyDescent="0.3">
      <c r="A81" s="4"/>
      <c r="B81" s="4"/>
      <c r="C81" t="str">
        <f t="shared" si="6"/>
        <v/>
      </c>
      <c r="D81" s="5" t="str">
        <f>IF($C81="","",IF(AND(LEFT($F81,3)="ДОК",$H81&lt;&gt;""),IFERROR(INDEX(Документация!$G$2:$G$57,MATCH($H81,Документация!$F$2:$F$57,0)),"— вариант не найден —"),IFERROR(INDEX(Работы!$B$2:$B$6000,MATCH($C81,Работы!$A$2:$A$6000,0)),"— нет такого кода —")))</f>
        <v/>
      </c>
      <c r="E81" t="str">
        <f>IF($C81="","",IF(AND(LEFT($F81,3)="ДОК",$H81&lt;&gt;""),IFERROR(INDEX(Документация!$D$2:$D$57,MATCH($H81,Документация!$F$2:$F$57,0)),""),IFERROR(INDEX(Работы!$C$2:$C$6000,MATCH($C81,Работы!$A$2:$A$6000,0)),"")))</f>
        <v/>
      </c>
      <c r="F81" t="str">
        <f>IF($C81="","",IFERROR(INDEX(Работы!$G$2:$G$6000,MATCH($C81,Работы!$A$2:$A$6000,0))&amp;"",""))</f>
        <v/>
      </c>
      <c r="G81" s="4"/>
      <c r="H81" s="4"/>
      <c r="I81" s="5" t="str">
        <f>IF((LEFT($F81,3)="ДОК"),"",IF($H81="","",IFERROR(INDEX(Материалы!$B$2:$B$9000,MATCH($H81,Материалы!$M$2:$M$9000,0)),"")))</f>
        <v/>
      </c>
      <c r="J81" s="6">
        <f>IF(AND(LEFT($F81,3)="ДОК",$H81&lt;&gt;""),IFERROR(INDEX(Документация!$E$2:$E$57,MATCH($H81,Документация!$F$2:$F$57,0)),0),IFERROR(INDEX(Работы!$H$2:$H$6000,MATCH($C81,Работы!$A$2:$A$6000,0)),0))*(1-MEDIAN(0,N(ДисконтТендер),1))</f>
        <v>0</v>
      </c>
      <c r="K81" s="6">
        <f>IF(OR((LEFT($F81,3)="ДОК"),$H81=""),0,IFERROR(INDEX(Материалы!$H$2:$H$9000,MATCH($H81,Материалы!$M$2:$M$9000,0))*IF(INDEX(Материалы!$I$2:$I$9000,MATCH($H81,Материалы!$M$2:$M$9000,0))="USD",КурсUSD,IF(INDEX(Материалы!$I$2:$I$9000,MATCH($H81,Материалы!$M$2:$M$9000,0))="EUR",КурсEUR,1))*(1+IFERROR(INDEX(Работы!$I$2:$I$6000,MATCH($C81,Работы!$A$2:$A$6000,0))/100,0))*(1-MEDIAN(0,N(ДисконтТендер),1)),0))</f>
        <v>0</v>
      </c>
      <c r="L81" s="6">
        <f t="shared" si="7"/>
        <v>0</v>
      </c>
      <c r="M81" s="6">
        <f t="shared" si="8"/>
        <v>0</v>
      </c>
      <c r="N81" s="6">
        <f t="shared" si="9"/>
        <v>0</v>
      </c>
      <c r="O81" t="str">
        <f>IF($N81&gt;0,MAX($O$1:$O80)+1,"")</f>
        <v/>
      </c>
      <c r="P81" t="str">
        <f>IF($C81="","",IFERROR(INDEX(Работы!$D$2:$D$6000,MATCH($C81,Работы!$A$2:$A$6000,0)),""))</f>
        <v/>
      </c>
      <c r="Q81" t="str">
        <f t="shared" si="10"/>
        <v/>
      </c>
      <c r="R81" t="str">
        <f t="shared" si="11"/>
        <v/>
      </c>
      <c r="S81" t="str">
        <f>IF($P81="","",$P81&amp;" · "&amp;IFERROR(INDEX(Работы!$E$2:$E$6000,MATCH($C81,Работы!$A$2:$A$6000,0)),""))</f>
        <v/>
      </c>
    </row>
    <row r="82" spans="1:19" x14ac:dyDescent="0.3">
      <c r="A82" s="4"/>
      <c r="B82" s="4"/>
      <c r="C82" t="str">
        <f t="shared" si="6"/>
        <v/>
      </c>
      <c r="D82" s="5" t="str">
        <f>IF($C82="","",IF(AND(LEFT($F82,3)="ДОК",$H82&lt;&gt;""),IFERROR(INDEX(Документация!$G$2:$G$57,MATCH($H82,Документация!$F$2:$F$57,0)),"— вариант не найден —"),IFERROR(INDEX(Работы!$B$2:$B$6000,MATCH($C82,Работы!$A$2:$A$6000,0)),"— нет такого кода —")))</f>
        <v/>
      </c>
      <c r="E82" t="str">
        <f>IF($C82="","",IF(AND(LEFT($F82,3)="ДОК",$H82&lt;&gt;""),IFERROR(INDEX(Документация!$D$2:$D$57,MATCH($H82,Документация!$F$2:$F$57,0)),""),IFERROR(INDEX(Работы!$C$2:$C$6000,MATCH($C82,Работы!$A$2:$A$6000,0)),"")))</f>
        <v/>
      </c>
      <c r="F82" t="str">
        <f>IF($C82="","",IFERROR(INDEX(Работы!$G$2:$G$6000,MATCH($C82,Работы!$A$2:$A$6000,0))&amp;"",""))</f>
        <v/>
      </c>
      <c r="G82" s="4"/>
      <c r="H82" s="4"/>
      <c r="I82" s="5" t="str">
        <f>IF((LEFT($F82,3)="ДОК"),"",IF($H82="","",IFERROR(INDEX(Материалы!$B$2:$B$9000,MATCH($H82,Материалы!$M$2:$M$9000,0)),"")))</f>
        <v/>
      </c>
      <c r="J82" s="6">
        <f>IF(AND(LEFT($F82,3)="ДОК",$H82&lt;&gt;""),IFERROR(INDEX(Документация!$E$2:$E$57,MATCH($H82,Документация!$F$2:$F$57,0)),0),IFERROR(INDEX(Работы!$H$2:$H$6000,MATCH($C82,Работы!$A$2:$A$6000,0)),0))*(1-MEDIAN(0,N(ДисконтТендер),1))</f>
        <v>0</v>
      </c>
      <c r="K82" s="6">
        <f>IF(OR((LEFT($F82,3)="ДОК"),$H82=""),0,IFERROR(INDEX(Материалы!$H$2:$H$9000,MATCH($H82,Материалы!$M$2:$M$9000,0))*IF(INDEX(Материалы!$I$2:$I$9000,MATCH($H82,Материалы!$M$2:$M$9000,0))="USD",КурсUSD,IF(INDEX(Материалы!$I$2:$I$9000,MATCH($H82,Материалы!$M$2:$M$9000,0))="EUR",КурсEUR,1))*(1+IFERROR(INDEX(Работы!$I$2:$I$6000,MATCH($C82,Работы!$A$2:$A$6000,0))/100,0))*(1-MEDIAN(0,N(ДисконтТендер),1)),0))</f>
        <v>0</v>
      </c>
      <c r="L82" s="6">
        <f t="shared" si="7"/>
        <v>0</v>
      </c>
      <c r="M82" s="6">
        <f t="shared" si="8"/>
        <v>0</v>
      </c>
      <c r="N82" s="6">
        <f t="shared" si="9"/>
        <v>0</v>
      </c>
      <c r="O82" t="str">
        <f>IF($N82&gt;0,MAX($O$1:$O81)+1,"")</f>
        <v/>
      </c>
      <c r="P82" t="str">
        <f>IF($C82="","",IFERROR(INDEX(Работы!$D$2:$D$6000,MATCH($C82,Работы!$A$2:$A$6000,0)),""))</f>
        <v/>
      </c>
      <c r="Q82" t="str">
        <f t="shared" si="10"/>
        <v/>
      </c>
      <c r="R82" t="str">
        <f t="shared" si="11"/>
        <v/>
      </c>
      <c r="S82" t="str">
        <f>IF($P82="","",$P82&amp;" · "&amp;IFERROR(INDEX(Работы!$E$2:$E$6000,MATCH($C82,Работы!$A$2:$A$6000,0)),""))</f>
        <v/>
      </c>
    </row>
    <row r="83" spans="1:19" x14ac:dyDescent="0.3">
      <c r="A83" s="4"/>
      <c r="B83" s="4"/>
      <c r="C83" t="str">
        <f t="shared" si="6"/>
        <v/>
      </c>
      <c r="D83" s="5" t="str">
        <f>IF($C83="","",IF(AND(LEFT($F83,3)="ДОК",$H83&lt;&gt;""),IFERROR(INDEX(Документация!$G$2:$G$57,MATCH($H83,Документация!$F$2:$F$57,0)),"— вариант не найден —"),IFERROR(INDEX(Работы!$B$2:$B$6000,MATCH($C83,Работы!$A$2:$A$6000,0)),"— нет такого кода —")))</f>
        <v/>
      </c>
      <c r="E83" t="str">
        <f>IF($C83="","",IF(AND(LEFT($F83,3)="ДОК",$H83&lt;&gt;""),IFERROR(INDEX(Документация!$D$2:$D$57,MATCH($H83,Документация!$F$2:$F$57,0)),""),IFERROR(INDEX(Работы!$C$2:$C$6000,MATCH($C83,Работы!$A$2:$A$6000,0)),"")))</f>
        <v/>
      </c>
      <c r="F83" t="str">
        <f>IF($C83="","",IFERROR(INDEX(Работы!$G$2:$G$6000,MATCH($C83,Работы!$A$2:$A$6000,0))&amp;"",""))</f>
        <v/>
      </c>
      <c r="G83" s="4"/>
      <c r="H83" s="4"/>
      <c r="I83" s="5" t="str">
        <f>IF((LEFT($F83,3)="ДОК"),"",IF($H83="","",IFERROR(INDEX(Материалы!$B$2:$B$9000,MATCH($H83,Материалы!$M$2:$M$9000,0)),"")))</f>
        <v/>
      </c>
      <c r="J83" s="6">
        <f>IF(AND(LEFT($F83,3)="ДОК",$H83&lt;&gt;""),IFERROR(INDEX(Документация!$E$2:$E$57,MATCH($H83,Документация!$F$2:$F$57,0)),0),IFERROR(INDEX(Работы!$H$2:$H$6000,MATCH($C83,Работы!$A$2:$A$6000,0)),0))*(1-MEDIAN(0,N(ДисконтТендер),1))</f>
        <v>0</v>
      </c>
      <c r="K83" s="6">
        <f>IF(OR((LEFT($F83,3)="ДОК"),$H83=""),0,IFERROR(INDEX(Материалы!$H$2:$H$9000,MATCH($H83,Материалы!$M$2:$M$9000,0))*IF(INDEX(Материалы!$I$2:$I$9000,MATCH($H83,Материалы!$M$2:$M$9000,0))="USD",КурсUSD,IF(INDEX(Материалы!$I$2:$I$9000,MATCH($H83,Материалы!$M$2:$M$9000,0))="EUR",КурсEUR,1))*(1+IFERROR(INDEX(Работы!$I$2:$I$6000,MATCH($C83,Работы!$A$2:$A$6000,0))/100,0))*(1-MEDIAN(0,N(ДисконтТендер),1)),0))</f>
        <v>0</v>
      </c>
      <c r="L83" s="6">
        <f t="shared" si="7"/>
        <v>0</v>
      </c>
      <c r="M83" s="6">
        <f t="shared" si="8"/>
        <v>0</v>
      </c>
      <c r="N83" s="6">
        <f t="shared" si="9"/>
        <v>0</v>
      </c>
      <c r="O83" t="str">
        <f>IF($N83&gt;0,MAX($O$1:$O82)+1,"")</f>
        <v/>
      </c>
      <c r="P83" t="str">
        <f>IF($C83="","",IFERROR(INDEX(Работы!$D$2:$D$6000,MATCH($C83,Работы!$A$2:$A$6000,0)),""))</f>
        <v/>
      </c>
      <c r="Q83" t="str">
        <f t="shared" si="10"/>
        <v/>
      </c>
      <c r="R83" t="str">
        <f t="shared" si="11"/>
        <v/>
      </c>
      <c r="S83" t="str">
        <f>IF($P83="","",$P83&amp;" · "&amp;IFERROR(INDEX(Работы!$E$2:$E$6000,MATCH($C83,Работы!$A$2:$A$6000,0)),""))</f>
        <v/>
      </c>
    </row>
    <row r="84" spans="1:19" x14ac:dyDescent="0.3">
      <c r="A84" s="4"/>
      <c r="B84" s="4"/>
      <c r="C84" t="str">
        <f t="shared" si="6"/>
        <v/>
      </c>
      <c r="D84" s="5" t="str">
        <f>IF($C84="","",IF(AND(LEFT($F84,3)="ДОК",$H84&lt;&gt;""),IFERROR(INDEX(Документация!$G$2:$G$57,MATCH($H84,Документация!$F$2:$F$57,0)),"— вариант не найден —"),IFERROR(INDEX(Работы!$B$2:$B$6000,MATCH($C84,Работы!$A$2:$A$6000,0)),"— нет такого кода —")))</f>
        <v/>
      </c>
      <c r="E84" t="str">
        <f>IF($C84="","",IF(AND(LEFT($F84,3)="ДОК",$H84&lt;&gt;""),IFERROR(INDEX(Документация!$D$2:$D$57,MATCH($H84,Документация!$F$2:$F$57,0)),""),IFERROR(INDEX(Работы!$C$2:$C$6000,MATCH($C84,Работы!$A$2:$A$6000,0)),"")))</f>
        <v/>
      </c>
      <c r="F84" t="str">
        <f>IF($C84="","",IFERROR(INDEX(Работы!$G$2:$G$6000,MATCH($C84,Работы!$A$2:$A$6000,0))&amp;"",""))</f>
        <v/>
      </c>
      <c r="G84" s="4"/>
      <c r="H84" s="4"/>
      <c r="I84" s="5" t="str">
        <f>IF((LEFT($F84,3)="ДОК"),"",IF($H84="","",IFERROR(INDEX(Материалы!$B$2:$B$9000,MATCH($H84,Материалы!$M$2:$M$9000,0)),"")))</f>
        <v/>
      </c>
      <c r="J84" s="6">
        <f>IF(AND(LEFT($F84,3)="ДОК",$H84&lt;&gt;""),IFERROR(INDEX(Документация!$E$2:$E$57,MATCH($H84,Документация!$F$2:$F$57,0)),0),IFERROR(INDEX(Работы!$H$2:$H$6000,MATCH($C84,Работы!$A$2:$A$6000,0)),0))*(1-MEDIAN(0,N(ДисконтТендер),1))</f>
        <v>0</v>
      </c>
      <c r="K84" s="6">
        <f>IF(OR((LEFT($F84,3)="ДОК"),$H84=""),0,IFERROR(INDEX(Материалы!$H$2:$H$9000,MATCH($H84,Материалы!$M$2:$M$9000,0))*IF(INDEX(Материалы!$I$2:$I$9000,MATCH($H84,Материалы!$M$2:$M$9000,0))="USD",КурсUSD,IF(INDEX(Материалы!$I$2:$I$9000,MATCH($H84,Материалы!$M$2:$M$9000,0))="EUR",КурсEUR,1))*(1+IFERROR(INDEX(Работы!$I$2:$I$6000,MATCH($C84,Работы!$A$2:$A$6000,0))/100,0))*(1-MEDIAN(0,N(ДисконтТендер),1)),0))</f>
        <v>0</v>
      </c>
      <c r="L84" s="6">
        <f t="shared" si="7"/>
        <v>0</v>
      </c>
      <c r="M84" s="6">
        <f t="shared" si="8"/>
        <v>0</v>
      </c>
      <c r="N84" s="6">
        <f t="shared" si="9"/>
        <v>0</v>
      </c>
      <c r="O84" t="str">
        <f>IF($N84&gt;0,MAX($O$1:$O83)+1,"")</f>
        <v/>
      </c>
      <c r="P84" t="str">
        <f>IF($C84="","",IFERROR(INDEX(Работы!$D$2:$D$6000,MATCH($C84,Работы!$A$2:$A$6000,0)),""))</f>
        <v/>
      </c>
      <c r="Q84" t="str">
        <f t="shared" si="10"/>
        <v/>
      </c>
      <c r="R84" t="str">
        <f t="shared" si="11"/>
        <v/>
      </c>
      <c r="S84" t="str">
        <f>IF($P84="","",$P84&amp;" · "&amp;IFERROR(INDEX(Работы!$E$2:$E$6000,MATCH($C84,Работы!$A$2:$A$6000,0)),""))</f>
        <v/>
      </c>
    </row>
    <row r="85" spans="1:19" x14ac:dyDescent="0.3">
      <c r="A85" s="4"/>
      <c r="B85" s="4"/>
      <c r="C85" t="str">
        <f t="shared" si="6"/>
        <v/>
      </c>
      <c r="D85" s="5" t="str">
        <f>IF($C85="","",IF(AND(LEFT($F85,3)="ДОК",$H85&lt;&gt;""),IFERROR(INDEX(Документация!$G$2:$G$57,MATCH($H85,Документация!$F$2:$F$57,0)),"— вариант не найден —"),IFERROR(INDEX(Работы!$B$2:$B$6000,MATCH($C85,Работы!$A$2:$A$6000,0)),"— нет такого кода —")))</f>
        <v/>
      </c>
      <c r="E85" t="str">
        <f>IF($C85="","",IF(AND(LEFT($F85,3)="ДОК",$H85&lt;&gt;""),IFERROR(INDEX(Документация!$D$2:$D$57,MATCH($H85,Документация!$F$2:$F$57,0)),""),IFERROR(INDEX(Работы!$C$2:$C$6000,MATCH($C85,Работы!$A$2:$A$6000,0)),"")))</f>
        <v/>
      </c>
      <c r="F85" t="str">
        <f>IF($C85="","",IFERROR(INDEX(Работы!$G$2:$G$6000,MATCH($C85,Работы!$A$2:$A$6000,0))&amp;"",""))</f>
        <v/>
      </c>
      <c r="G85" s="4"/>
      <c r="H85" s="4"/>
      <c r="I85" s="5" t="str">
        <f>IF((LEFT($F85,3)="ДОК"),"",IF($H85="","",IFERROR(INDEX(Материалы!$B$2:$B$9000,MATCH($H85,Материалы!$M$2:$M$9000,0)),"")))</f>
        <v/>
      </c>
      <c r="J85" s="6">
        <f>IF(AND(LEFT($F85,3)="ДОК",$H85&lt;&gt;""),IFERROR(INDEX(Документация!$E$2:$E$57,MATCH($H85,Документация!$F$2:$F$57,0)),0),IFERROR(INDEX(Работы!$H$2:$H$6000,MATCH($C85,Работы!$A$2:$A$6000,0)),0))*(1-MEDIAN(0,N(ДисконтТендер),1))</f>
        <v>0</v>
      </c>
      <c r="K85" s="6">
        <f>IF(OR((LEFT($F85,3)="ДОК"),$H85=""),0,IFERROR(INDEX(Материалы!$H$2:$H$9000,MATCH($H85,Материалы!$M$2:$M$9000,0))*IF(INDEX(Материалы!$I$2:$I$9000,MATCH($H85,Материалы!$M$2:$M$9000,0))="USD",КурсUSD,IF(INDEX(Материалы!$I$2:$I$9000,MATCH($H85,Материалы!$M$2:$M$9000,0))="EUR",КурсEUR,1))*(1+IFERROR(INDEX(Работы!$I$2:$I$6000,MATCH($C85,Работы!$A$2:$A$6000,0))/100,0))*(1-MEDIAN(0,N(ДисконтТендер),1)),0))</f>
        <v>0</v>
      </c>
      <c r="L85" s="6">
        <f t="shared" si="7"/>
        <v>0</v>
      </c>
      <c r="M85" s="6">
        <f t="shared" si="8"/>
        <v>0</v>
      </c>
      <c r="N85" s="6">
        <f t="shared" si="9"/>
        <v>0</v>
      </c>
      <c r="O85" t="str">
        <f>IF($N85&gt;0,MAX($O$1:$O84)+1,"")</f>
        <v/>
      </c>
      <c r="P85" t="str">
        <f>IF($C85="","",IFERROR(INDEX(Работы!$D$2:$D$6000,MATCH($C85,Работы!$A$2:$A$6000,0)),""))</f>
        <v/>
      </c>
      <c r="Q85" t="str">
        <f t="shared" si="10"/>
        <v/>
      </c>
      <c r="R85" t="str">
        <f t="shared" si="11"/>
        <v/>
      </c>
      <c r="S85" t="str">
        <f>IF($P85="","",$P85&amp;" · "&amp;IFERROR(INDEX(Работы!$E$2:$E$6000,MATCH($C85,Работы!$A$2:$A$6000,0)),""))</f>
        <v/>
      </c>
    </row>
    <row r="86" spans="1:19" x14ac:dyDescent="0.3">
      <c r="A86" s="4"/>
      <c r="B86" s="4"/>
      <c r="C86" t="str">
        <f t="shared" si="6"/>
        <v/>
      </c>
      <c r="D86" s="5" t="str">
        <f>IF($C86="","",IF(AND(LEFT($F86,3)="ДОК",$H86&lt;&gt;""),IFERROR(INDEX(Документация!$G$2:$G$57,MATCH($H86,Документация!$F$2:$F$57,0)),"— вариант не найден —"),IFERROR(INDEX(Работы!$B$2:$B$6000,MATCH($C86,Работы!$A$2:$A$6000,0)),"— нет такого кода —")))</f>
        <v/>
      </c>
      <c r="E86" t="str">
        <f>IF($C86="","",IF(AND(LEFT($F86,3)="ДОК",$H86&lt;&gt;""),IFERROR(INDEX(Документация!$D$2:$D$57,MATCH($H86,Документация!$F$2:$F$57,0)),""),IFERROR(INDEX(Работы!$C$2:$C$6000,MATCH($C86,Работы!$A$2:$A$6000,0)),"")))</f>
        <v/>
      </c>
      <c r="F86" t="str">
        <f>IF($C86="","",IFERROR(INDEX(Работы!$G$2:$G$6000,MATCH($C86,Работы!$A$2:$A$6000,0))&amp;"",""))</f>
        <v/>
      </c>
      <c r="G86" s="4"/>
      <c r="H86" s="4"/>
      <c r="I86" s="5" t="str">
        <f>IF((LEFT($F86,3)="ДОК"),"",IF($H86="","",IFERROR(INDEX(Материалы!$B$2:$B$9000,MATCH($H86,Материалы!$M$2:$M$9000,0)),"")))</f>
        <v/>
      </c>
      <c r="J86" s="6">
        <f>IF(AND(LEFT($F86,3)="ДОК",$H86&lt;&gt;""),IFERROR(INDEX(Документация!$E$2:$E$57,MATCH($H86,Документация!$F$2:$F$57,0)),0),IFERROR(INDEX(Работы!$H$2:$H$6000,MATCH($C86,Работы!$A$2:$A$6000,0)),0))*(1-MEDIAN(0,N(ДисконтТендер),1))</f>
        <v>0</v>
      </c>
      <c r="K86" s="6">
        <f>IF(OR((LEFT($F86,3)="ДОК"),$H86=""),0,IFERROR(INDEX(Материалы!$H$2:$H$9000,MATCH($H86,Материалы!$M$2:$M$9000,0))*IF(INDEX(Материалы!$I$2:$I$9000,MATCH($H86,Материалы!$M$2:$M$9000,0))="USD",КурсUSD,IF(INDEX(Материалы!$I$2:$I$9000,MATCH($H86,Материалы!$M$2:$M$9000,0))="EUR",КурсEUR,1))*(1+IFERROR(INDEX(Работы!$I$2:$I$6000,MATCH($C86,Работы!$A$2:$A$6000,0))/100,0))*(1-MEDIAN(0,N(ДисконтТендер),1)),0))</f>
        <v>0</v>
      </c>
      <c r="L86" s="6">
        <f t="shared" si="7"/>
        <v>0</v>
      </c>
      <c r="M86" s="6">
        <f t="shared" si="8"/>
        <v>0</v>
      </c>
      <c r="N86" s="6">
        <f t="shared" si="9"/>
        <v>0</v>
      </c>
      <c r="O86" t="str">
        <f>IF($N86&gt;0,MAX($O$1:$O85)+1,"")</f>
        <v/>
      </c>
      <c r="P86" t="str">
        <f>IF($C86="","",IFERROR(INDEX(Работы!$D$2:$D$6000,MATCH($C86,Работы!$A$2:$A$6000,0)),""))</f>
        <v/>
      </c>
      <c r="Q86" t="str">
        <f t="shared" si="10"/>
        <v/>
      </c>
      <c r="R86" t="str">
        <f t="shared" si="11"/>
        <v/>
      </c>
      <c r="S86" t="str">
        <f>IF($P86="","",$P86&amp;" · "&amp;IFERROR(INDEX(Работы!$E$2:$E$6000,MATCH($C86,Работы!$A$2:$A$6000,0)),""))</f>
        <v/>
      </c>
    </row>
    <row r="87" spans="1:19" x14ac:dyDescent="0.3">
      <c r="A87" s="4"/>
      <c r="B87" s="4"/>
      <c r="C87" t="str">
        <f t="shared" si="6"/>
        <v/>
      </c>
      <c r="D87" s="5" t="str">
        <f>IF($C87="","",IF(AND(LEFT($F87,3)="ДОК",$H87&lt;&gt;""),IFERROR(INDEX(Документация!$G$2:$G$57,MATCH($H87,Документация!$F$2:$F$57,0)),"— вариант не найден —"),IFERROR(INDEX(Работы!$B$2:$B$6000,MATCH($C87,Работы!$A$2:$A$6000,0)),"— нет такого кода —")))</f>
        <v/>
      </c>
      <c r="E87" t="str">
        <f>IF($C87="","",IF(AND(LEFT($F87,3)="ДОК",$H87&lt;&gt;""),IFERROR(INDEX(Документация!$D$2:$D$57,MATCH($H87,Документация!$F$2:$F$57,0)),""),IFERROR(INDEX(Работы!$C$2:$C$6000,MATCH($C87,Работы!$A$2:$A$6000,0)),"")))</f>
        <v/>
      </c>
      <c r="F87" t="str">
        <f>IF($C87="","",IFERROR(INDEX(Работы!$G$2:$G$6000,MATCH($C87,Работы!$A$2:$A$6000,0))&amp;"",""))</f>
        <v/>
      </c>
      <c r="G87" s="4"/>
      <c r="H87" s="4"/>
      <c r="I87" s="5" t="str">
        <f>IF((LEFT($F87,3)="ДОК"),"",IF($H87="","",IFERROR(INDEX(Материалы!$B$2:$B$9000,MATCH($H87,Материалы!$M$2:$M$9000,0)),"")))</f>
        <v/>
      </c>
      <c r="J87" s="6">
        <f>IF(AND(LEFT($F87,3)="ДОК",$H87&lt;&gt;""),IFERROR(INDEX(Документация!$E$2:$E$57,MATCH($H87,Документация!$F$2:$F$57,0)),0),IFERROR(INDEX(Работы!$H$2:$H$6000,MATCH($C87,Работы!$A$2:$A$6000,0)),0))*(1-MEDIAN(0,N(ДисконтТендер),1))</f>
        <v>0</v>
      </c>
      <c r="K87" s="6">
        <f>IF(OR((LEFT($F87,3)="ДОК"),$H87=""),0,IFERROR(INDEX(Материалы!$H$2:$H$9000,MATCH($H87,Материалы!$M$2:$M$9000,0))*IF(INDEX(Материалы!$I$2:$I$9000,MATCH($H87,Материалы!$M$2:$M$9000,0))="USD",КурсUSD,IF(INDEX(Материалы!$I$2:$I$9000,MATCH($H87,Материалы!$M$2:$M$9000,0))="EUR",КурсEUR,1))*(1+IFERROR(INDEX(Работы!$I$2:$I$6000,MATCH($C87,Работы!$A$2:$A$6000,0))/100,0))*(1-MEDIAN(0,N(ДисконтТендер),1)),0))</f>
        <v>0</v>
      </c>
      <c r="L87" s="6">
        <f t="shared" si="7"/>
        <v>0</v>
      </c>
      <c r="M87" s="6">
        <f t="shared" si="8"/>
        <v>0</v>
      </c>
      <c r="N87" s="6">
        <f t="shared" si="9"/>
        <v>0</v>
      </c>
      <c r="O87" t="str">
        <f>IF($N87&gt;0,MAX($O$1:$O86)+1,"")</f>
        <v/>
      </c>
      <c r="P87" t="str">
        <f>IF($C87="","",IFERROR(INDEX(Работы!$D$2:$D$6000,MATCH($C87,Работы!$A$2:$A$6000,0)),""))</f>
        <v/>
      </c>
      <c r="Q87" t="str">
        <f t="shared" si="10"/>
        <v/>
      </c>
      <c r="R87" t="str">
        <f t="shared" si="11"/>
        <v/>
      </c>
      <c r="S87" t="str">
        <f>IF($P87="","",$P87&amp;" · "&amp;IFERROR(INDEX(Работы!$E$2:$E$6000,MATCH($C87,Работы!$A$2:$A$6000,0)),""))</f>
        <v/>
      </c>
    </row>
    <row r="88" spans="1:19" x14ac:dyDescent="0.3">
      <c r="A88" s="4"/>
      <c r="B88" s="4"/>
      <c r="C88" t="str">
        <f t="shared" si="6"/>
        <v/>
      </c>
      <c r="D88" s="5" t="str">
        <f>IF($C88="","",IF(AND(LEFT($F88,3)="ДОК",$H88&lt;&gt;""),IFERROR(INDEX(Документация!$G$2:$G$57,MATCH($H88,Документация!$F$2:$F$57,0)),"— вариант не найден —"),IFERROR(INDEX(Работы!$B$2:$B$6000,MATCH($C88,Работы!$A$2:$A$6000,0)),"— нет такого кода —")))</f>
        <v/>
      </c>
      <c r="E88" t="str">
        <f>IF($C88="","",IF(AND(LEFT($F88,3)="ДОК",$H88&lt;&gt;""),IFERROR(INDEX(Документация!$D$2:$D$57,MATCH($H88,Документация!$F$2:$F$57,0)),""),IFERROR(INDEX(Работы!$C$2:$C$6000,MATCH($C88,Работы!$A$2:$A$6000,0)),"")))</f>
        <v/>
      </c>
      <c r="F88" t="str">
        <f>IF($C88="","",IFERROR(INDEX(Работы!$G$2:$G$6000,MATCH($C88,Работы!$A$2:$A$6000,0))&amp;"",""))</f>
        <v/>
      </c>
      <c r="G88" s="4"/>
      <c r="H88" s="4"/>
      <c r="I88" s="5" t="str">
        <f>IF((LEFT($F88,3)="ДОК"),"",IF($H88="","",IFERROR(INDEX(Материалы!$B$2:$B$9000,MATCH($H88,Материалы!$M$2:$M$9000,0)),"")))</f>
        <v/>
      </c>
      <c r="J88" s="6">
        <f>IF(AND(LEFT($F88,3)="ДОК",$H88&lt;&gt;""),IFERROR(INDEX(Документация!$E$2:$E$57,MATCH($H88,Документация!$F$2:$F$57,0)),0),IFERROR(INDEX(Работы!$H$2:$H$6000,MATCH($C88,Работы!$A$2:$A$6000,0)),0))*(1-MEDIAN(0,N(ДисконтТендер),1))</f>
        <v>0</v>
      </c>
      <c r="K88" s="6">
        <f>IF(OR((LEFT($F88,3)="ДОК"),$H88=""),0,IFERROR(INDEX(Материалы!$H$2:$H$9000,MATCH($H88,Материалы!$M$2:$M$9000,0))*IF(INDEX(Материалы!$I$2:$I$9000,MATCH($H88,Материалы!$M$2:$M$9000,0))="USD",КурсUSD,IF(INDEX(Материалы!$I$2:$I$9000,MATCH($H88,Материалы!$M$2:$M$9000,0))="EUR",КурсEUR,1))*(1+IFERROR(INDEX(Работы!$I$2:$I$6000,MATCH($C88,Работы!$A$2:$A$6000,0))/100,0))*(1-MEDIAN(0,N(ДисконтТендер),1)),0))</f>
        <v>0</v>
      </c>
      <c r="L88" s="6">
        <f t="shared" si="7"/>
        <v>0</v>
      </c>
      <c r="M88" s="6">
        <f t="shared" si="8"/>
        <v>0</v>
      </c>
      <c r="N88" s="6">
        <f t="shared" si="9"/>
        <v>0</v>
      </c>
      <c r="O88" t="str">
        <f>IF($N88&gt;0,MAX($O$1:$O87)+1,"")</f>
        <v/>
      </c>
      <c r="P88" t="str">
        <f>IF($C88="","",IFERROR(INDEX(Работы!$D$2:$D$6000,MATCH($C88,Работы!$A$2:$A$6000,0)),""))</f>
        <v/>
      </c>
      <c r="Q88" t="str">
        <f t="shared" si="10"/>
        <v/>
      </c>
      <c r="R88" t="str">
        <f t="shared" si="11"/>
        <v/>
      </c>
      <c r="S88" t="str">
        <f>IF($P88="","",$P88&amp;" · "&amp;IFERROR(INDEX(Работы!$E$2:$E$6000,MATCH($C88,Работы!$A$2:$A$6000,0)),""))</f>
        <v/>
      </c>
    </row>
    <row r="89" spans="1:19" x14ac:dyDescent="0.3">
      <c r="A89" s="4"/>
      <c r="B89" s="4"/>
      <c r="C89" t="str">
        <f t="shared" si="6"/>
        <v/>
      </c>
      <c r="D89" s="5" t="str">
        <f>IF($C89="","",IF(AND(LEFT($F89,3)="ДОК",$H89&lt;&gt;""),IFERROR(INDEX(Документация!$G$2:$G$57,MATCH($H89,Документация!$F$2:$F$57,0)),"— вариант не найден —"),IFERROR(INDEX(Работы!$B$2:$B$6000,MATCH($C89,Работы!$A$2:$A$6000,0)),"— нет такого кода —")))</f>
        <v/>
      </c>
      <c r="E89" t="str">
        <f>IF($C89="","",IF(AND(LEFT($F89,3)="ДОК",$H89&lt;&gt;""),IFERROR(INDEX(Документация!$D$2:$D$57,MATCH($H89,Документация!$F$2:$F$57,0)),""),IFERROR(INDEX(Работы!$C$2:$C$6000,MATCH($C89,Работы!$A$2:$A$6000,0)),"")))</f>
        <v/>
      </c>
      <c r="F89" t="str">
        <f>IF($C89="","",IFERROR(INDEX(Работы!$G$2:$G$6000,MATCH($C89,Работы!$A$2:$A$6000,0))&amp;"",""))</f>
        <v/>
      </c>
      <c r="G89" s="4"/>
      <c r="H89" s="4"/>
      <c r="I89" s="5" t="str">
        <f>IF((LEFT($F89,3)="ДОК"),"",IF($H89="","",IFERROR(INDEX(Материалы!$B$2:$B$9000,MATCH($H89,Материалы!$M$2:$M$9000,0)),"")))</f>
        <v/>
      </c>
      <c r="J89" s="6">
        <f>IF(AND(LEFT($F89,3)="ДОК",$H89&lt;&gt;""),IFERROR(INDEX(Документация!$E$2:$E$57,MATCH($H89,Документация!$F$2:$F$57,0)),0),IFERROR(INDEX(Работы!$H$2:$H$6000,MATCH($C89,Работы!$A$2:$A$6000,0)),0))*(1-MEDIAN(0,N(ДисконтТендер),1))</f>
        <v>0</v>
      </c>
      <c r="K89" s="6">
        <f>IF(OR((LEFT($F89,3)="ДОК"),$H89=""),0,IFERROR(INDEX(Материалы!$H$2:$H$9000,MATCH($H89,Материалы!$M$2:$M$9000,0))*IF(INDEX(Материалы!$I$2:$I$9000,MATCH($H89,Материалы!$M$2:$M$9000,0))="USD",КурсUSD,IF(INDEX(Материалы!$I$2:$I$9000,MATCH($H89,Материалы!$M$2:$M$9000,0))="EUR",КурсEUR,1))*(1+IFERROR(INDEX(Работы!$I$2:$I$6000,MATCH($C89,Работы!$A$2:$A$6000,0))/100,0))*(1-MEDIAN(0,N(ДисконтТендер),1)),0))</f>
        <v>0</v>
      </c>
      <c r="L89" s="6">
        <f t="shared" si="7"/>
        <v>0</v>
      </c>
      <c r="M89" s="6">
        <f t="shared" si="8"/>
        <v>0</v>
      </c>
      <c r="N89" s="6">
        <f t="shared" si="9"/>
        <v>0</v>
      </c>
      <c r="O89" t="str">
        <f>IF($N89&gt;0,MAX($O$1:$O88)+1,"")</f>
        <v/>
      </c>
      <c r="P89" t="str">
        <f>IF($C89="","",IFERROR(INDEX(Работы!$D$2:$D$6000,MATCH($C89,Работы!$A$2:$A$6000,0)),""))</f>
        <v/>
      </c>
      <c r="Q89" t="str">
        <f t="shared" si="10"/>
        <v/>
      </c>
      <c r="R89" t="str">
        <f t="shared" si="11"/>
        <v/>
      </c>
      <c r="S89" t="str">
        <f>IF($P89="","",$P89&amp;" · "&amp;IFERROR(INDEX(Работы!$E$2:$E$6000,MATCH($C89,Работы!$A$2:$A$6000,0)),""))</f>
        <v/>
      </c>
    </row>
    <row r="90" spans="1:19" x14ac:dyDescent="0.3">
      <c r="A90" s="4"/>
      <c r="B90" s="4"/>
      <c r="C90" t="str">
        <f t="shared" si="6"/>
        <v/>
      </c>
      <c r="D90" s="5" t="str">
        <f>IF($C90="","",IF(AND(LEFT($F90,3)="ДОК",$H90&lt;&gt;""),IFERROR(INDEX(Документация!$G$2:$G$57,MATCH($H90,Документация!$F$2:$F$57,0)),"— вариант не найден —"),IFERROR(INDEX(Работы!$B$2:$B$6000,MATCH($C90,Работы!$A$2:$A$6000,0)),"— нет такого кода —")))</f>
        <v/>
      </c>
      <c r="E90" t="str">
        <f>IF($C90="","",IF(AND(LEFT($F90,3)="ДОК",$H90&lt;&gt;""),IFERROR(INDEX(Документация!$D$2:$D$57,MATCH($H90,Документация!$F$2:$F$57,0)),""),IFERROR(INDEX(Работы!$C$2:$C$6000,MATCH($C90,Работы!$A$2:$A$6000,0)),"")))</f>
        <v/>
      </c>
      <c r="F90" t="str">
        <f>IF($C90="","",IFERROR(INDEX(Работы!$G$2:$G$6000,MATCH($C90,Работы!$A$2:$A$6000,0))&amp;"",""))</f>
        <v/>
      </c>
      <c r="G90" s="4"/>
      <c r="H90" s="4"/>
      <c r="I90" s="5" t="str">
        <f>IF((LEFT($F90,3)="ДОК"),"",IF($H90="","",IFERROR(INDEX(Материалы!$B$2:$B$9000,MATCH($H90,Материалы!$M$2:$M$9000,0)),"")))</f>
        <v/>
      </c>
      <c r="J90" s="6">
        <f>IF(AND(LEFT($F90,3)="ДОК",$H90&lt;&gt;""),IFERROR(INDEX(Документация!$E$2:$E$57,MATCH($H90,Документация!$F$2:$F$57,0)),0),IFERROR(INDEX(Работы!$H$2:$H$6000,MATCH($C90,Работы!$A$2:$A$6000,0)),0))*(1-MEDIAN(0,N(ДисконтТендер),1))</f>
        <v>0</v>
      </c>
      <c r="K90" s="6">
        <f>IF(OR((LEFT($F90,3)="ДОК"),$H90=""),0,IFERROR(INDEX(Материалы!$H$2:$H$9000,MATCH($H90,Материалы!$M$2:$M$9000,0))*IF(INDEX(Материалы!$I$2:$I$9000,MATCH($H90,Материалы!$M$2:$M$9000,0))="USD",КурсUSD,IF(INDEX(Материалы!$I$2:$I$9000,MATCH($H90,Материалы!$M$2:$M$9000,0))="EUR",КурсEUR,1))*(1+IFERROR(INDEX(Работы!$I$2:$I$6000,MATCH($C90,Работы!$A$2:$A$6000,0))/100,0))*(1-MEDIAN(0,N(ДисконтТендер),1)),0))</f>
        <v>0</v>
      </c>
      <c r="L90" s="6">
        <f t="shared" si="7"/>
        <v>0</v>
      </c>
      <c r="M90" s="6">
        <f t="shared" si="8"/>
        <v>0</v>
      </c>
      <c r="N90" s="6">
        <f t="shared" si="9"/>
        <v>0</v>
      </c>
      <c r="O90" t="str">
        <f>IF($N90&gt;0,MAX($O$1:$O89)+1,"")</f>
        <v/>
      </c>
      <c r="P90" t="str">
        <f>IF($C90="","",IFERROR(INDEX(Работы!$D$2:$D$6000,MATCH($C90,Работы!$A$2:$A$6000,0)),""))</f>
        <v/>
      </c>
      <c r="Q90" t="str">
        <f t="shared" si="10"/>
        <v/>
      </c>
      <c r="R90" t="str">
        <f t="shared" si="11"/>
        <v/>
      </c>
      <c r="S90" t="str">
        <f>IF($P90="","",$P90&amp;" · "&amp;IFERROR(INDEX(Работы!$E$2:$E$6000,MATCH($C90,Работы!$A$2:$A$6000,0)),""))</f>
        <v/>
      </c>
    </row>
    <row r="91" spans="1:19" x14ac:dyDescent="0.3">
      <c r="A91" s="4"/>
      <c r="B91" s="4"/>
      <c r="C91" t="str">
        <f t="shared" si="6"/>
        <v/>
      </c>
      <c r="D91" s="5" t="str">
        <f>IF($C91="","",IF(AND(LEFT($F91,3)="ДОК",$H91&lt;&gt;""),IFERROR(INDEX(Документация!$G$2:$G$57,MATCH($H91,Документация!$F$2:$F$57,0)),"— вариант не найден —"),IFERROR(INDEX(Работы!$B$2:$B$6000,MATCH($C91,Работы!$A$2:$A$6000,0)),"— нет такого кода —")))</f>
        <v/>
      </c>
      <c r="E91" t="str">
        <f>IF($C91="","",IF(AND(LEFT($F91,3)="ДОК",$H91&lt;&gt;""),IFERROR(INDEX(Документация!$D$2:$D$57,MATCH($H91,Документация!$F$2:$F$57,0)),""),IFERROR(INDEX(Работы!$C$2:$C$6000,MATCH($C91,Работы!$A$2:$A$6000,0)),"")))</f>
        <v/>
      </c>
      <c r="F91" t="str">
        <f>IF($C91="","",IFERROR(INDEX(Работы!$G$2:$G$6000,MATCH($C91,Работы!$A$2:$A$6000,0))&amp;"",""))</f>
        <v/>
      </c>
      <c r="G91" s="4"/>
      <c r="H91" s="4"/>
      <c r="I91" s="5" t="str">
        <f>IF((LEFT($F91,3)="ДОК"),"",IF($H91="","",IFERROR(INDEX(Материалы!$B$2:$B$9000,MATCH($H91,Материалы!$M$2:$M$9000,0)),"")))</f>
        <v/>
      </c>
      <c r="J91" s="6">
        <f>IF(AND(LEFT($F91,3)="ДОК",$H91&lt;&gt;""),IFERROR(INDEX(Документация!$E$2:$E$57,MATCH($H91,Документация!$F$2:$F$57,0)),0),IFERROR(INDEX(Работы!$H$2:$H$6000,MATCH($C91,Работы!$A$2:$A$6000,0)),0))*(1-MEDIAN(0,N(ДисконтТендер),1))</f>
        <v>0</v>
      </c>
      <c r="K91" s="6">
        <f>IF(OR((LEFT($F91,3)="ДОК"),$H91=""),0,IFERROR(INDEX(Материалы!$H$2:$H$9000,MATCH($H91,Материалы!$M$2:$M$9000,0))*IF(INDEX(Материалы!$I$2:$I$9000,MATCH($H91,Материалы!$M$2:$M$9000,0))="USD",КурсUSD,IF(INDEX(Материалы!$I$2:$I$9000,MATCH($H91,Материалы!$M$2:$M$9000,0))="EUR",КурсEUR,1))*(1+IFERROR(INDEX(Работы!$I$2:$I$6000,MATCH($C91,Работы!$A$2:$A$6000,0))/100,0))*(1-MEDIAN(0,N(ДисконтТендер),1)),0))</f>
        <v>0</v>
      </c>
      <c r="L91" s="6">
        <f t="shared" si="7"/>
        <v>0</v>
      </c>
      <c r="M91" s="6">
        <f t="shared" si="8"/>
        <v>0</v>
      </c>
      <c r="N91" s="6">
        <f t="shared" si="9"/>
        <v>0</v>
      </c>
      <c r="O91" t="str">
        <f>IF($N91&gt;0,MAX($O$1:$O90)+1,"")</f>
        <v/>
      </c>
      <c r="P91" t="str">
        <f>IF($C91="","",IFERROR(INDEX(Работы!$D$2:$D$6000,MATCH($C91,Работы!$A$2:$A$6000,0)),""))</f>
        <v/>
      </c>
      <c r="Q91" t="str">
        <f t="shared" si="10"/>
        <v/>
      </c>
      <c r="R91" t="str">
        <f t="shared" si="11"/>
        <v/>
      </c>
      <c r="S91" t="str">
        <f>IF($P91="","",$P91&amp;" · "&amp;IFERROR(INDEX(Работы!$E$2:$E$6000,MATCH($C91,Работы!$A$2:$A$6000,0)),""))</f>
        <v/>
      </c>
    </row>
    <row r="92" spans="1:19" x14ac:dyDescent="0.3">
      <c r="A92" s="4"/>
      <c r="B92" s="4"/>
      <c r="C92" t="str">
        <f t="shared" si="6"/>
        <v/>
      </c>
      <c r="D92" s="5" t="str">
        <f>IF($C92="","",IF(AND(LEFT($F92,3)="ДОК",$H92&lt;&gt;""),IFERROR(INDEX(Документация!$G$2:$G$57,MATCH($H92,Документация!$F$2:$F$57,0)),"— вариант не найден —"),IFERROR(INDEX(Работы!$B$2:$B$6000,MATCH($C92,Работы!$A$2:$A$6000,0)),"— нет такого кода —")))</f>
        <v/>
      </c>
      <c r="E92" t="str">
        <f>IF($C92="","",IF(AND(LEFT($F92,3)="ДОК",$H92&lt;&gt;""),IFERROR(INDEX(Документация!$D$2:$D$57,MATCH($H92,Документация!$F$2:$F$57,0)),""),IFERROR(INDEX(Работы!$C$2:$C$6000,MATCH($C92,Работы!$A$2:$A$6000,0)),"")))</f>
        <v/>
      </c>
      <c r="F92" t="str">
        <f>IF($C92="","",IFERROR(INDEX(Работы!$G$2:$G$6000,MATCH($C92,Работы!$A$2:$A$6000,0))&amp;"",""))</f>
        <v/>
      </c>
      <c r="G92" s="4"/>
      <c r="H92" s="4"/>
      <c r="I92" s="5" t="str">
        <f>IF((LEFT($F92,3)="ДОК"),"",IF($H92="","",IFERROR(INDEX(Материалы!$B$2:$B$9000,MATCH($H92,Материалы!$M$2:$M$9000,0)),"")))</f>
        <v/>
      </c>
      <c r="J92" s="6">
        <f>IF(AND(LEFT($F92,3)="ДОК",$H92&lt;&gt;""),IFERROR(INDEX(Документация!$E$2:$E$57,MATCH($H92,Документация!$F$2:$F$57,0)),0),IFERROR(INDEX(Работы!$H$2:$H$6000,MATCH($C92,Работы!$A$2:$A$6000,0)),0))*(1-MEDIAN(0,N(ДисконтТендер),1))</f>
        <v>0</v>
      </c>
      <c r="K92" s="6">
        <f>IF(OR((LEFT($F92,3)="ДОК"),$H92=""),0,IFERROR(INDEX(Материалы!$H$2:$H$9000,MATCH($H92,Материалы!$M$2:$M$9000,0))*IF(INDEX(Материалы!$I$2:$I$9000,MATCH($H92,Материалы!$M$2:$M$9000,0))="USD",КурсUSD,IF(INDEX(Материалы!$I$2:$I$9000,MATCH($H92,Материалы!$M$2:$M$9000,0))="EUR",КурсEUR,1))*(1+IFERROR(INDEX(Работы!$I$2:$I$6000,MATCH($C92,Работы!$A$2:$A$6000,0))/100,0))*(1-MEDIAN(0,N(ДисконтТендер),1)),0))</f>
        <v>0</v>
      </c>
      <c r="L92" s="6">
        <f t="shared" si="7"/>
        <v>0</v>
      </c>
      <c r="M92" s="6">
        <f t="shared" si="8"/>
        <v>0</v>
      </c>
      <c r="N92" s="6">
        <f t="shared" si="9"/>
        <v>0</v>
      </c>
      <c r="O92" t="str">
        <f>IF($N92&gt;0,MAX($O$1:$O91)+1,"")</f>
        <v/>
      </c>
      <c r="P92" t="str">
        <f>IF($C92="","",IFERROR(INDEX(Работы!$D$2:$D$6000,MATCH($C92,Работы!$A$2:$A$6000,0)),""))</f>
        <v/>
      </c>
      <c r="Q92" t="str">
        <f t="shared" si="10"/>
        <v/>
      </c>
      <c r="R92" t="str">
        <f t="shared" si="11"/>
        <v/>
      </c>
      <c r="S92" t="str">
        <f>IF($P92="","",$P92&amp;" · "&amp;IFERROR(INDEX(Работы!$E$2:$E$6000,MATCH($C92,Работы!$A$2:$A$6000,0)),""))</f>
        <v/>
      </c>
    </row>
    <row r="93" spans="1:19" x14ac:dyDescent="0.3">
      <c r="A93" s="4"/>
      <c r="B93" s="4"/>
      <c r="C93" t="str">
        <f t="shared" si="6"/>
        <v/>
      </c>
      <c r="D93" s="5" t="str">
        <f>IF($C93="","",IF(AND(LEFT($F93,3)="ДОК",$H93&lt;&gt;""),IFERROR(INDEX(Документация!$G$2:$G$57,MATCH($H93,Документация!$F$2:$F$57,0)),"— вариант не найден —"),IFERROR(INDEX(Работы!$B$2:$B$6000,MATCH($C93,Работы!$A$2:$A$6000,0)),"— нет такого кода —")))</f>
        <v/>
      </c>
      <c r="E93" t="str">
        <f>IF($C93="","",IF(AND(LEFT($F93,3)="ДОК",$H93&lt;&gt;""),IFERROR(INDEX(Документация!$D$2:$D$57,MATCH($H93,Документация!$F$2:$F$57,0)),""),IFERROR(INDEX(Работы!$C$2:$C$6000,MATCH($C93,Работы!$A$2:$A$6000,0)),"")))</f>
        <v/>
      </c>
      <c r="F93" t="str">
        <f>IF($C93="","",IFERROR(INDEX(Работы!$G$2:$G$6000,MATCH($C93,Работы!$A$2:$A$6000,0))&amp;"",""))</f>
        <v/>
      </c>
      <c r="G93" s="4"/>
      <c r="H93" s="4"/>
      <c r="I93" s="5" t="str">
        <f>IF((LEFT($F93,3)="ДОК"),"",IF($H93="","",IFERROR(INDEX(Материалы!$B$2:$B$9000,MATCH($H93,Материалы!$M$2:$M$9000,0)),"")))</f>
        <v/>
      </c>
      <c r="J93" s="6">
        <f>IF(AND(LEFT($F93,3)="ДОК",$H93&lt;&gt;""),IFERROR(INDEX(Документация!$E$2:$E$57,MATCH($H93,Документация!$F$2:$F$57,0)),0),IFERROR(INDEX(Работы!$H$2:$H$6000,MATCH($C93,Работы!$A$2:$A$6000,0)),0))*(1-MEDIAN(0,N(ДисконтТендер),1))</f>
        <v>0</v>
      </c>
      <c r="K93" s="6">
        <f>IF(OR((LEFT($F93,3)="ДОК"),$H93=""),0,IFERROR(INDEX(Материалы!$H$2:$H$9000,MATCH($H93,Материалы!$M$2:$M$9000,0))*IF(INDEX(Материалы!$I$2:$I$9000,MATCH($H93,Материалы!$M$2:$M$9000,0))="USD",КурсUSD,IF(INDEX(Материалы!$I$2:$I$9000,MATCH($H93,Материалы!$M$2:$M$9000,0))="EUR",КурсEUR,1))*(1+IFERROR(INDEX(Работы!$I$2:$I$6000,MATCH($C93,Работы!$A$2:$A$6000,0))/100,0))*(1-MEDIAN(0,N(ДисконтТендер),1)),0))</f>
        <v>0</v>
      </c>
      <c r="L93" s="6">
        <f t="shared" si="7"/>
        <v>0</v>
      </c>
      <c r="M93" s="6">
        <f t="shared" si="8"/>
        <v>0</v>
      </c>
      <c r="N93" s="6">
        <f t="shared" si="9"/>
        <v>0</v>
      </c>
      <c r="O93" t="str">
        <f>IF($N93&gt;0,MAX($O$1:$O92)+1,"")</f>
        <v/>
      </c>
      <c r="P93" t="str">
        <f>IF($C93="","",IFERROR(INDEX(Работы!$D$2:$D$6000,MATCH($C93,Работы!$A$2:$A$6000,0)),""))</f>
        <v/>
      </c>
      <c r="Q93" t="str">
        <f t="shared" si="10"/>
        <v/>
      </c>
      <c r="R93" t="str">
        <f t="shared" si="11"/>
        <v/>
      </c>
      <c r="S93" t="str">
        <f>IF($P93="","",$P93&amp;" · "&amp;IFERROR(INDEX(Работы!$E$2:$E$6000,MATCH($C93,Работы!$A$2:$A$6000,0)),""))</f>
        <v/>
      </c>
    </row>
    <row r="94" spans="1:19" x14ac:dyDescent="0.3">
      <c r="A94" s="4"/>
      <c r="B94" s="4"/>
      <c r="C94" t="str">
        <f t="shared" si="6"/>
        <v/>
      </c>
      <c r="D94" s="5" t="str">
        <f>IF($C94="","",IF(AND(LEFT($F94,3)="ДОК",$H94&lt;&gt;""),IFERROR(INDEX(Документация!$G$2:$G$57,MATCH($H94,Документация!$F$2:$F$57,0)),"— вариант не найден —"),IFERROR(INDEX(Работы!$B$2:$B$6000,MATCH($C94,Работы!$A$2:$A$6000,0)),"— нет такого кода —")))</f>
        <v/>
      </c>
      <c r="E94" t="str">
        <f>IF($C94="","",IF(AND(LEFT($F94,3)="ДОК",$H94&lt;&gt;""),IFERROR(INDEX(Документация!$D$2:$D$57,MATCH($H94,Документация!$F$2:$F$57,0)),""),IFERROR(INDEX(Работы!$C$2:$C$6000,MATCH($C94,Работы!$A$2:$A$6000,0)),"")))</f>
        <v/>
      </c>
      <c r="F94" t="str">
        <f>IF($C94="","",IFERROR(INDEX(Работы!$G$2:$G$6000,MATCH($C94,Работы!$A$2:$A$6000,0))&amp;"",""))</f>
        <v/>
      </c>
      <c r="G94" s="4"/>
      <c r="H94" s="4"/>
      <c r="I94" s="5" t="str">
        <f>IF((LEFT($F94,3)="ДОК"),"",IF($H94="","",IFERROR(INDEX(Материалы!$B$2:$B$9000,MATCH($H94,Материалы!$M$2:$M$9000,0)),"")))</f>
        <v/>
      </c>
      <c r="J94" s="6">
        <f>IF(AND(LEFT($F94,3)="ДОК",$H94&lt;&gt;""),IFERROR(INDEX(Документация!$E$2:$E$57,MATCH($H94,Документация!$F$2:$F$57,0)),0),IFERROR(INDEX(Работы!$H$2:$H$6000,MATCH($C94,Работы!$A$2:$A$6000,0)),0))*(1-MEDIAN(0,N(ДисконтТендер),1))</f>
        <v>0</v>
      </c>
      <c r="K94" s="6">
        <f>IF(OR((LEFT($F94,3)="ДОК"),$H94=""),0,IFERROR(INDEX(Материалы!$H$2:$H$9000,MATCH($H94,Материалы!$M$2:$M$9000,0))*IF(INDEX(Материалы!$I$2:$I$9000,MATCH($H94,Материалы!$M$2:$M$9000,0))="USD",КурсUSD,IF(INDEX(Материалы!$I$2:$I$9000,MATCH($H94,Материалы!$M$2:$M$9000,0))="EUR",КурсEUR,1))*(1+IFERROR(INDEX(Работы!$I$2:$I$6000,MATCH($C94,Работы!$A$2:$A$6000,0))/100,0))*(1-MEDIAN(0,N(ДисконтТендер),1)),0))</f>
        <v>0</v>
      </c>
      <c r="L94" s="6">
        <f t="shared" si="7"/>
        <v>0</v>
      </c>
      <c r="M94" s="6">
        <f t="shared" si="8"/>
        <v>0</v>
      </c>
      <c r="N94" s="6">
        <f t="shared" si="9"/>
        <v>0</v>
      </c>
      <c r="O94" t="str">
        <f>IF($N94&gt;0,MAX($O$1:$O93)+1,"")</f>
        <v/>
      </c>
      <c r="P94" t="str">
        <f>IF($C94="","",IFERROR(INDEX(Работы!$D$2:$D$6000,MATCH($C94,Работы!$A$2:$A$6000,0)),""))</f>
        <v/>
      </c>
      <c r="Q94" t="str">
        <f t="shared" si="10"/>
        <v/>
      </c>
      <c r="R94" t="str">
        <f t="shared" si="11"/>
        <v/>
      </c>
      <c r="S94" t="str">
        <f>IF($P94="","",$P94&amp;" · "&amp;IFERROR(INDEX(Работы!$E$2:$E$6000,MATCH($C94,Работы!$A$2:$A$6000,0)),""))</f>
        <v/>
      </c>
    </row>
    <row r="95" spans="1:19" x14ac:dyDescent="0.3">
      <c r="A95" s="4"/>
      <c r="B95" s="4"/>
      <c r="C95" t="str">
        <f t="shared" si="6"/>
        <v/>
      </c>
      <c r="D95" s="5" t="str">
        <f>IF($C95="","",IF(AND(LEFT($F95,3)="ДОК",$H95&lt;&gt;""),IFERROR(INDEX(Документация!$G$2:$G$57,MATCH($H95,Документация!$F$2:$F$57,0)),"— вариант не найден —"),IFERROR(INDEX(Работы!$B$2:$B$6000,MATCH($C95,Работы!$A$2:$A$6000,0)),"— нет такого кода —")))</f>
        <v/>
      </c>
      <c r="E95" t="str">
        <f>IF($C95="","",IF(AND(LEFT($F95,3)="ДОК",$H95&lt;&gt;""),IFERROR(INDEX(Документация!$D$2:$D$57,MATCH($H95,Документация!$F$2:$F$57,0)),""),IFERROR(INDEX(Работы!$C$2:$C$6000,MATCH($C95,Работы!$A$2:$A$6000,0)),"")))</f>
        <v/>
      </c>
      <c r="F95" t="str">
        <f>IF($C95="","",IFERROR(INDEX(Работы!$G$2:$G$6000,MATCH($C95,Работы!$A$2:$A$6000,0))&amp;"",""))</f>
        <v/>
      </c>
      <c r="G95" s="4"/>
      <c r="H95" s="4"/>
      <c r="I95" s="5" t="str">
        <f>IF((LEFT($F95,3)="ДОК"),"",IF($H95="","",IFERROR(INDEX(Материалы!$B$2:$B$9000,MATCH($H95,Материалы!$M$2:$M$9000,0)),"")))</f>
        <v/>
      </c>
      <c r="J95" s="6">
        <f>IF(AND(LEFT($F95,3)="ДОК",$H95&lt;&gt;""),IFERROR(INDEX(Документация!$E$2:$E$57,MATCH($H95,Документация!$F$2:$F$57,0)),0),IFERROR(INDEX(Работы!$H$2:$H$6000,MATCH($C95,Работы!$A$2:$A$6000,0)),0))*(1-MEDIAN(0,N(ДисконтТендер),1))</f>
        <v>0</v>
      </c>
      <c r="K95" s="6">
        <f>IF(OR((LEFT($F95,3)="ДОК"),$H95=""),0,IFERROR(INDEX(Материалы!$H$2:$H$9000,MATCH($H95,Материалы!$M$2:$M$9000,0))*IF(INDEX(Материалы!$I$2:$I$9000,MATCH($H95,Материалы!$M$2:$M$9000,0))="USD",КурсUSD,IF(INDEX(Материалы!$I$2:$I$9000,MATCH($H95,Материалы!$M$2:$M$9000,0))="EUR",КурсEUR,1))*(1+IFERROR(INDEX(Работы!$I$2:$I$6000,MATCH($C95,Работы!$A$2:$A$6000,0))/100,0))*(1-MEDIAN(0,N(ДисконтТендер),1)),0))</f>
        <v>0</v>
      </c>
      <c r="L95" s="6">
        <f t="shared" si="7"/>
        <v>0</v>
      </c>
      <c r="M95" s="6">
        <f t="shared" si="8"/>
        <v>0</v>
      </c>
      <c r="N95" s="6">
        <f t="shared" si="9"/>
        <v>0</v>
      </c>
      <c r="O95" t="str">
        <f>IF($N95&gt;0,MAX($O$1:$O94)+1,"")</f>
        <v/>
      </c>
      <c r="P95" t="str">
        <f>IF($C95="","",IFERROR(INDEX(Работы!$D$2:$D$6000,MATCH($C95,Работы!$A$2:$A$6000,0)),""))</f>
        <v/>
      </c>
      <c r="Q95" t="str">
        <f t="shared" si="10"/>
        <v/>
      </c>
      <c r="R95" t="str">
        <f t="shared" si="11"/>
        <v/>
      </c>
      <c r="S95" t="str">
        <f>IF($P95="","",$P95&amp;" · "&amp;IFERROR(INDEX(Работы!$E$2:$E$6000,MATCH($C95,Работы!$A$2:$A$6000,0)),""))</f>
        <v/>
      </c>
    </row>
    <row r="96" spans="1:19" x14ac:dyDescent="0.3">
      <c r="A96" s="4"/>
      <c r="B96" s="4"/>
      <c r="C96" t="str">
        <f t="shared" si="6"/>
        <v/>
      </c>
      <c r="D96" s="5" t="str">
        <f>IF($C96="","",IF(AND(LEFT($F96,3)="ДОК",$H96&lt;&gt;""),IFERROR(INDEX(Документация!$G$2:$G$57,MATCH($H96,Документация!$F$2:$F$57,0)),"— вариант не найден —"),IFERROR(INDEX(Работы!$B$2:$B$6000,MATCH($C96,Работы!$A$2:$A$6000,0)),"— нет такого кода —")))</f>
        <v/>
      </c>
      <c r="E96" t="str">
        <f>IF($C96="","",IF(AND(LEFT($F96,3)="ДОК",$H96&lt;&gt;""),IFERROR(INDEX(Документация!$D$2:$D$57,MATCH($H96,Документация!$F$2:$F$57,0)),""),IFERROR(INDEX(Работы!$C$2:$C$6000,MATCH($C96,Работы!$A$2:$A$6000,0)),"")))</f>
        <v/>
      </c>
      <c r="F96" t="str">
        <f>IF($C96="","",IFERROR(INDEX(Работы!$G$2:$G$6000,MATCH($C96,Работы!$A$2:$A$6000,0))&amp;"",""))</f>
        <v/>
      </c>
      <c r="G96" s="4"/>
      <c r="H96" s="4"/>
      <c r="I96" s="5" t="str">
        <f>IF((LEFT($F96,3)="ДОК"),"",IF($H96="","",IFERROR(INDEX(Материалы!$B$2:$B$9000,MATCH($H96,Материалы!$M$2:$M$9000,0)),"")))</f>
        <v/>
      </c>
      <c r="J96" s="6">
        <f>IF(AND(LEFT($F96,3)="ДОК",$H96&lt;&gt;""),IFERROR(INDEX(Документация!$E$2:$E$57,MATCH($H96,Документация!$F$2:$F$57,0)),0),IFERROR(INDEX(Работы!$H$2:$H$6000,MATCH($C96,Работы!$A$2:$A$6000,0)),0))*(1-MEDIAN(0,N(ДисконтТендер),1))</f>
        <v>0</v>
      </c>
      <c r="K96" s="6">
        <f>IF(OR((LEFT($F96,3)="ДОК"),$H96=""),0,IFERROR(INDEX(Материалы!$H$2:$H$9000,MATCH($H96,Материалы!$M$2:$M$9000,0))*IF(INDEX(Материалы!$I$2:$I$9000,MATCH($H96,Материалы!$M$2:$M$9000,0))="USD",КурсUSD,IF(INDEX(Материалы!$I$2:$I$9000,MATCH($H96,Материалы!$M$2:$M$9000,0))="EUR",КурсEUR,1))*(1+IFERROR(INDEX(Работы!$I$2:$I$6000,MATCH($C96,Работы!$A$2:$A$6000,0))/100,0))*(1-MEDIAN(0,N(ДисконтТендер),1)),0))</f>
        <v>0</v>
      </c>
      <c r="L96" s="6">
        <f t="shared" si="7"/>
        <v>0</v>
      </c>
      <c r="M96" s="6">
        <f t="shared" si="8"/>
        <v>0</v>
      </c>
      <c r="N96" s="6">
        <f t="shared" si="9"/>
        <v>0</v>
      </c>
      <c r="O96" t="str">
        <f>IF($N96&gt;0,MAX($O$1:$O95)+1,"")</f>
        <v/>
      </c>
      <c r="P96" t="str">
        <f>IF($C96="","",IFERROR(INDEX(Работы!$D$2:$D$6000,MATCH($C96,Работы!$A$2:$A$6000,0)),""))</f>
        <v/>
      </c>
      <c r="Q96" t="str">
        <f t="shared" si="10"/>
        <v/>
      </c>
      <c r="R96" t="str">
        <f t="shared" si="11"/>
        <v/>
      </c>
      <c r="S96" t="str">
        <f>IF($P96="","",$P96&amp;" · "&amp;IFERROR(INDEX(Работы!$E$2:$E$6000,MATCH($C96,Работы!$A$2:$A$6000,0)),""))</f>
        <v/>
      </c>
    </row>
    <row r="97" spans="1:19" x14ac:dyDescent="0.3">
      <c r="A97" s="4"/>
      <c r="B97" s="4"/>
      <c r="C97" t="str">
        <f t="shared" si="6"/>
        <v/>
      </c>
      <c r="D97" s="5" t="str">
        <f>IF($C97="","",IF(AND(LEFT($F97,3)="ДОК",$H97&lt;&gt;""),IFERROR(INDEX(Документация!$G$2:$G$57,MATCH($H97,Документация!$F$2:$F$57,0)),"— вариант не найден —"),IFERROR(INDEX(Работы!$B$2:$B$6000,MATCH($C97,Работы!$A$2:$A$6000,0)),"— нет такого кода —")))</f>
        <v/>
      </c>
      <c r="E97" t="str">
        <f>IF($C97="","",IF(AND(LEFT($F97,3)="ДОК",$H97&lt;&gt;""),IFERROR(INDEX(Документация!$D$2:$D$57,MATCH($H97,Документация!$F$2:$F$57,0)),""),IFERROR(INDEX(Работы!$C$2:$C$6000,MATCH($C97,Работы!$A$2:$A$6000,0)),"")))</f>
        <v/>
      </c>
      <c r="F97" t="str">
        <f>IF($C97="","",IFERROR(INDEX(Работы!$G$2:$G$6000,MATCH($C97,Работы!$A$2:$A$6000,0))&amp;"",""))</f>
        <v/>
      </c>
      <c r="G97" s="4"/>
      <c r="H97" s="4"/>
      <c r="I97" s="5" t="str">
        <f>IF((LEFT($F97,3)="ДОК"),"",IF($H97="","",IFERROR(INDEX(Материалы!$B$2:$B$9000,MATCH($H97,Материалы!$M$2:$M$9000,0)),"")))</f>
        <v/>
      </c>
      <c r="J97" s="6">
        <f>IF(AND(LEFT($F97,3)="ДОК",$H97&lt;&gt;""),IFERROR(INDEX(Документация!$E$2:$E$57,MATCH($H97,Документация!$F$2:$F$57,0)),0),IFERROR(INDEX(Работы!$H$2:$H$6000,MATCH($C97,Работы!$A$2:$A$6000,0)),0))*(1-MEDIAN(0,N(ДисконтТендер),1))</f>
        <v>0</v>
      </c>
      <c r="K97" s="6">
        <f>IF(OR((LEFT($F97,3)="ДОК"),$H97=""),0,IFERROR(INDEX(Материалы!$H$2:$H$9000,MATCH($H97,Материалы!$M$2:$M$9000,0))*IF(INDEX(Материалы!$I$2:$I$9000,MATCH($H97,Материалы!$M$2:$M$9000,0))="USD",КурсUSD,IF(INDEX(Материалы!$I$2:$I$9000,MATCH($H97,Материалы!$M$2:$M$9000,0))="EUR",КурсEUR,1))*(1+IFERROR(INDEX(Работы!$I$2:$I$6000,MATCH($C97,Работы!$A$2:$A$6000,0))/100,0))*(1-MEDIAN(0,N(ДисконтТендер),1)),0))</f>
        <v>0</v>
      </c>
      <c r="L97" s="6">
        <f t="shared" si="7"/>
        <v>0</v>
      </c>
      <c r="M97" s="6">
        <f t="shared" si="8"/>
        <v>0</v>
      </c>
      <c r="N97" s="6">
        <f t="shared" si="9"/>
        <v>0</v>
      </c>
      <c r="O97" t="str">
        <f>IF($N97&gt;0,MAX($O$1:$O96)+1,"")</f>
        <v/>
      </c>
      <c r="P97" t="str">
        <f>IF($C97="","",IFERROR(INDEX(Работы!$D$2:$D$6000,MATCH($C97,Работы!$A$2:$A$6000,0)),""))</f>
        <v/>
      </c>
      <c r="Q97" t="str">
        <f t="shared" si="10"/>
        <v/>
      </c>
      <c r="R97" t="str">
        <f t="shared" si="11"/>
        <v/>
      </c>
      <c r="S97" t="str">
        <f>IF($P97="","",$P97&amp;" · "&amp;IFERROR(INDEX(Работы!$E$2:$E$6000,MATCH($C97,Работы!$A$2:$A$6000,0)),""))</f>
        <v/>
      </c>
    </row>
    <row r="98" spans="1:19" x14ac:dyDescent="0.3">
      <c r="A98" s="4"/>
      <c r="B98" s="4"/>
      <c r="C98" t="str">
        <f t="shared" si="6"/>
        <v/>
      </c>
      <c r="D98" s="5" t="str">
        <f>IF($C98="","",IF(AND(LEFT($F98,3)="ДОК",$H98&lt;&gt;""),IFERROR(INDEX(Документация!$G$2:$G$57,MATCH($H98,Документация!$F$2:$F$57,0)),"— вариант не найден —"),IFERROR(INDEX(Работы!$B$2:$B$6000,MATCH($C98,Работы!$A$2:$A$6000,0)),"— нет такого кода —")))</f>
        <v/>
      </c>
      <c r="E98" t="str">
        <f>IF($C98="","",IF(AND(LEFT($F98,3)="ДОК",$H98&lt;&gt;""),IFERROR(INDEX(Документация!$D$2:$D$57,MATCH($H98,Документация!$F$2:$F$57,0)),""),IFERROR(INDEX(Работы!$C$2:$C$6000,MATCH($C98,Работы!$A$2:$A$6000,0)),"")))</f>
        <v/>
      </c>
      <c r="F98" t="str">
        <f>IF($C98="","",IFERROR(INDEX(Работы!$G$2:$G$6000,MATCH($C98,Работы!$A$2:$A$6000,0))&amp;"",""))</f>
        <v/>
      </c>
      <c r="G98" s="4"/>
      <c r="H98" s="4"/>
      <c r="I98" s="5" t="str">
        <f>IF((LEFT($F98,3)="ДОК"),"",IF($H98="","",IFERROR(INDEX(Материалы!$B$2:$B$9000,MATCH($H98,Материалы!$M$2:$M$9000,0)),"")))</f>
        <v/>
      </c>
      <c r="J98" s="6">
        <f>IF(AND(LEFT($F98,3)="ДОК",$H98&lt;&gt;""),IFERROR(INDEX(Документация!$E$2:$E$57,MATCH($H98,Документация!$F$2:$F$57,0)),0),IFERROR(INDEX(Работы!$H$2:$H$6000,MATCH($C98,Работы!$A$2:$A$6000,0)),0))*(1-MEDIAN(0,N(ДисконтТендер),1))</f>
        <v>0</v>
      </c>
      <c r="K98" s="6">
        <f>IF(OR((LEFT($F98,3)="ДОК"),$H98=""),0,IFERROR(INDEX(Материалы!$H$2:$H$9000,MATCH($H98,Материалы!$M$2:$M$9000,0))*IF(INDEX(Материалы!$I$2:$I$9000,MATCH($H98,Материалы!$M$2:$M$9000,0))="USD",КурсUSD,IF(INDEX(Материалы!$I$2:$I$9000,MATCH($H98,Материалы!$M$2:$M$9000,0))="EUR",КурсEUR,1))*(1+IFERROR(INDEX(Работы!$I$2:$I$6000,MATCH($C98,Работы!$A$2:$A$6000,0))/100,0))*(1-MEDIAN(0,N(ДисконтТендер),1)),0))</f>
        <v>0</v>
      </c>
      <c r="L98" s="6">
        <f t="shared" si="7"/>
        <v>0</v>
      </c>
      <c r="M98" s="6">
        <f t="shared" si="8"/>
        <v>0</v>
      </c>
      <c r="N98" s="6">
        <f t="shared" si="9"/>
        <v>0</v>
      </c>
      <c r="O98" t="str">
        <f>IF($N98&gt;0,MAX($O$1:$O97)+1,"")</f>
        <v/>
      </c>
      <c r="P98" t="str">
        <f>IF($C98="","",IFERROR(INDEX(Работы!$D$2:$D$6000,MATCH($C98,Работы!$A$2:$A$6000,0)),""))</f>
        <v/>
      </c>
      <c r="Q98" t="str">
        <f t="shared" si="10"/>
        <v/>
      </c>
      <c r="R98" t="str">
        <f t="shared" si="11"/>
        <v/>
      </c>
      <c r="S98" t="str">
        <f>IF($P98="","",$P98&amp;" · "&amp;IFERROR(INDEX(Работы!$E$2:$E$6000,MATCH($C98,Работы!$A$2:$A$6000,0)),""))</f>
        <v/>
      </c>
    </row>
    <row r="99" spans="1:19" x14ac:dyDescent="0.3">
      <c r="A99" s="4"/>
      <c r="B99" s="4"/>
      <c r="C99" t="str">
        <f t="shared" si="6"/>
        <v/>
      </c>
      <c r="D99" s="5" t="str">
        <f>IF($C99="","",IF(AND(LEFT($F99,3)="ДОК",$H99&lt;&gt;""),IFERROR(INDEX(Документация!$G$2:$G$57,MATCH($H99,Документация!$F$2:$F$57,0)),"— вариант не найден —"),IFERROR(INDEX(Работы!$B$2:$B$6000,MATCH($C99,Работы!$A$2:$A$6000,0)),"— нет такого кода —")))</f>
        <v/>
      </c>
      <c r="E99" t="str">
        <f>IF($C99="","",IF(AND(LEFT($F99,3)="ДОК",$H99&lt;&gt;""),IFERROR(INDEX(Документация!$D$2:$D$57,MATCH($H99,Документация!$F$2:$F$57,0)),""),IFERROR(INDEX(Работы!$C$2:$C$6000,MATCH($C99,Работы!$A$2:$A$6000,0)),"")))</f>
        <v/>
      </c>
      <c r="F99" t="str">
        <f>IF($C99="","",IFERROR(INDEX(Работы!$G$2:$G$6000,MATCH($C99,Работы!$A$2:$A$6000,0))&amp;"",""))</f>
        <v/>
      </c>
      <c r="G99" s="4"/>
      <c r="H99" s="4"/>
      <c r="I99" s="5" t="str">
        <f>IF((LEFT($F99,3)="ДОК"),"",IF($H99="","",IFERROR(INDEX(Материалы!$B$2:$B$9000,MATCH($H99,Материалы!$M$2:$M$9000,0)),"")))</f>
        <v/>
      </c>
      <c r="J99" s="6">
        <f>IF(AND(LEFT($F99,3)="ДОК",$H99&lt;&gt;""),IFERROR(INDEX(Документация!$E$2:$E$57,MATCH($H99,Документация!$F$2:$F$57,0)),0),IFERROR(INDEX(Работы!$H$2:$H$6000,MATCH($C99,Работы!$A$2:$A$6000,0)),0))*(1-MEDIAN(0,N(ДисконтТендер),1))</f>
        <v>0</v>
      </c>
      <c r="K99" s="6">
        <f>IF(OR((LEFT($F99,3)="ДОК"),$H99=""),0,IFERROR(INDEX(Материалы!$H$2:$H$9000,MATCH($H99,Материалы!$M$2:$M$9000,0))*IF(INDEX(Материалы!$I$2:$I$9000,MATCH($H99,Материалы!$M$2:$M$9000,0))="USD",КурсUSD,IF(INDEX(Материалы!$I$2:$I$9000,MATCH($H99,Материалы!$M$2:$M$9000,0))="EUR",КурсEUR,1))*(1+IFERROR(INDEX(Работы!$I$2:$I$6000,MATCH($C99,Работы!$A$2:$A$6000,0))/100,0))*(1-MEDIAN(0,N(ДисконтТендер),1)),0))</f>
        <v>0</v>
      </c>
      <c r="L99" s="6">
        <f t="shared" si="7"/>
        <v>0</v>
      </c>
      <c r="M99" s="6">
        <f t="shared" si="8"/>
        <v>0</v>
      </c>
      <c r="N99" s="6">
        <f t="shared" si="9"/>
        <v>0</v>
      </c>
      <c r="O99" t="str">
        <f>IF($N99&gt;0,MAX($O$1:$O98)+1,"")</f>
        <v/>
      </c>
      <c r="P99" t="str">
        <f>IF($C99="","",IFERROR(INDEX(Работы!$D$2:$D$6000,MATCH($C99,Работы!$A$2:$A$6000,0)),""))</f>
        <v/>
      </c>
      <c r="Q99" t="str">
        <f t="shared" si="10"/>
        <v/>
      </c>
      <c r="R99" t="str">
        <f t="shared" si="11"/>
        <v/>
      </c>
      <c r="S99" t="str">
        <f>IF($P99="","",$P99&amp;" · "&amp;IFERROR(INDEX(Работы!$E$2:$E$6000,MATCH($C99,Работы!$A$2:$A$6000,0)),""))</f>
        <v/>
      </c>
    </row>
    <row r="100" spans="1:19" x14ac:dyDescent="0.3">
      <c r="A100" s="4"/>
      <c r="B100" s="4"/>
      <c r="C100" t="str">
        <f t="shared" si="6"/>
        <v/>
      </c>
      <c r="D100" s="5" t="str">
        <f>IF($C100="","",IF(AND(LEFT($F100,3)="ДОК",$H100&lt;&gt;""),IFERROR(INDEX(Документация!$G$2:$G$57,MATCH($H100,Документация!$F$2:$F$57,0)),"— вариант не найден —"),IFERROR(INDEX(Работы!$B$2:$B$6000,MATCH($C100,Работы!$A$2:$A$6000,0)),"— нет такого кода —")))</f>
        <v/>
      </c>
      <c r="E100" t="str">
        <f>IF($C100="","",IF(AND(LEFT($F100,3)="ДОК",$H100&lt;&gt;""),IFERROR(INDEX(Документация!$D$2:$D$57,MATCH($H100,Документация!$F$2:$F$57,0)),""),IFERROR(INDEX(Работы!$C$2:$C$6000,MATCH($C100,Работы!$A$2:$A$6000,0)),"")))</f>
        <v/>
      </c>
      <c r="F100" t="str">
        <f>IF($C100="","",IFERROR(INDEX(Работы!$G$2:$G$6000,MATCH($C100,Работы!$A$2:$A$6000,0))&amp;"",""))</f>
        <v/>
      </c>
      <c r="G100" s="4"/>
      <c r="H100" s="4"/>
      <c r="I100" s="5" t="str">
        <f>IF((LEFT($F100,3)="ДОК"),"",IF($H100="","",IFERROR(INDEX(Материалы!$B$2:$B$9000,MATCH($H100,Материалы!$M$2:$M$9000,0)),"")))</f>
        <v/>
      </c>
      <c r="J100" s="6">
        <f>IF(AND(LEFT($F100,3)="ДОК",$H100&lt;&gt;""),IFERROR(INDEX(Документация!$E$2:$E$57,MATCH($H100,Документация!$F$2:$F$57,0)),0),IFERROR(INDEX(Работы!$H$2:$H$6000,MATCH($C100,Работы!$A$2:$A$6000,0)),0))*(1-MEDIAN(0,N(ДисконтТендер),1))</f>
        <v>0</v>
      </c>
      <c r="K100" s="6">
        <f>IF(OR((LEFT($F100,3)="ДОК"),$H100=""),0,IFERROR(INDEX(Материалы!$H$2:$H$9000,MATCH($H100,Материалы!$M$2:$M$9000,0))*IF(INDEX(Материалы!$I$2:$I$9000,MATCH($H100,Материалы!$M$2:$M$9000,0))="USD",КурсUSD,IF(INDEX(Материалы!$I$2:$I$9000,MATCH($H100,Материалы!$M$2:$M$9000,0))="EUR",КурсEUR,1))*(1+IFERROR(INDEX(Работы!$I$2:$I$6000,MATCH($C100,Работы!$A$2:$A$6000,0))/100,0))*(1-MEDIAN(0,N(ДисконтТендер),1)),0))</f>
        <v>0</v>
      </c>
      <c r="L100" s="6">
        <f t="shared" si="7"/>
        <v>0</v>
      </c>
      <c r="M100" s="6">
        <f t="shared" si="8"/>
        <v>0</v>
      </c>
      <c r="N100" s="6">
        <f t="shared" si="9"/>
        <v>0</v>
      </c>
      <c r="O100" t="str">
        <f>IF($N100&gt;0,MAX($O$1:$O99)+1,"")</f>
        <v/>
      </c>
      <c r="P100" t="str">
        <f>IF($C100="","",IFERROR(INDEX(Работы!$D$2:$D$6000,MATCH($C100,Работы!$A$2:$A$6000,0)),""))</f>
        <v/>
      </c>
      <c r="Q100" t="str">
        <f t="shared" si="10"/>
        <v/>
      </c>
      <c r="R100" t="str">
        <f t="shared" si="11"/>
        <v/>
      </c>
      <c r="S100" t="str">
        <f>IF($P100="","",$P100&amp;" · "&amp;IFERROR(INDEX(Работы!$E$2:$E$6000,MATCH($C100,Работы!$A$2:$A$6000,0)),""))</f>
        <v/>
      </c>
    </row>
    <row r="101" spans="1:19" x14ac:dyDescent="0.3">
      <c r="A101" s="4"/>
      <c r="B101" s="4"/>
      <c r="C101" t="str">
        <f t="shared" si="6"/>
        <v/>
      </c>
      <c r="D101" s="5" t="str">
        <f>IF($C101="","",IF(AND(LEFT($F101,3)="ДОК",$H101&lt;&gt;""),IFERROR(INDEX(Документация!$G$2:$G$57,MATCH($H101,Документация!$F$2:$F$57,0)),"— вариант не найден —"),IFERROR(INDEX(Работы!$B$2:$B$6000,MATCH($C101,Работы!$A$2:$A$6000,0)),"— нет такого кода —")))</f>
        <v/>
      </c>
      <c r="E101" t="str">
        <f>IF($C101="","",IF(AND(LEFT($F101,3)="ДОК",$H101&lt;&gt;""),IFERROR(INDEX(Документация!$D$2:$D$57,MATCH($H101,Документация!$F$2:$F$57,0)),""),IFERROR(INDEX(Работы!$C$2:$C$6000,MATCH($C101,Работы!$A$2:$A$6000,0)),"")))</f>
        <v/>
      </c>
      <c r="F101" t="str">
        <f>IF($C101="","",IFERROR(INDEX(Работы!$G$2:$G$6000,MATCH($C101,Работы!$A$2:$A$6000,0))&amp;"",""))</f>
        <v/>
      </c>
      <c r="G101" s="4"/>
      <c r="H101" s="4"/>
      <c r="I101" s="5" t="str">
        <f>IF((LEFT($F101,3)="ДОК"),"",IF($H101="","",IFERROR(INDEX(Материалы!$B$2:$B$9000,MATCH($H101,Материалы!$M$2:$M$9000,0)),"")))</f>
        <v/>
      </c>
      <c r="J101" s="6">
        <f>IF(AND(LEFT($F101,3)="ДОК",$H101&lt;&gt;""),IFERROR(INDEX(Документация!$E$2:$E$57,MATCH($H101,Документация!$F$2:$F$57,0)),0),IFERROR(INDEX(Работы!$H$2:$H$6000,MATCH($C101,Работы!$A$2:$A$6000,0)),0))*(1-MEDIAN(0,N(ДисконтТендер),1))</f>
        <v>0</v>
      </c>
      <c r="K101" s="6">
        <f>IF(OR((LEFT($F101,3)="ДОК"),$H101=""),0,IFERROR(INDEX(Материалы!$H$2:$H$9000,MATCH($H101,Материалы!$M$2:$M$9000,0))*IF(INDEX(Материалы!$I$2:$I$9000,MATCH($H101,Материалы!$M$2:$M$9000,0))="USD",КурсUSD,IF(INDEX(Материалы!$I$2:$I$9000,MATCH($H101,Материалы!$M$2:$M$9000,0))="EUR",КурсEUR,1))*(1+IFERROR(INDEX(Работы!$I$2:$I$6000,MATCH($C101,Работы!$A$2:$A$6000,0))/100,0))*(1-MEDIAN(0,N(ДисконтТендер),1)),0))</f>
        <v>0</v>
      </c>
      <c r="L101" s="6">
        <f t="shared" si="7"/>
        <v>0</v>
      </c>
      <c r="M101" s="6">
        <f t="shared" si="8"/>
        <v>0</v>
      </c>
      <c r="N101" s="6">
        <f t="shared" si="9"/>
        <v>0</v>
      </c>
      <c r="O101" t="str">
        <f>IF($N101&gt;0,MAX($O$1:$O100)+1,"")</f>
        <v/>
      </c>
      <c r="P101" t="str">
        <f>IF($C101="","",IFERROR(INDEX(Работы!$D$2:$D$6000,MATCH($C101,Работы!$A$2:$A$6000,0)),""))</f>
        <v/>
      </c>
      <c r="Q101" t="str">
        <f t="shared" si="10"/>
        <v/>
      </c>
      <c r="R101" t="str">
        <f t="shared" si="11"/>
        <v/>
      </c>
      <c r="S101" t="str">
        <f>IF($P101="","",$P101&amp;" · "&amp;IFERROR(INDEX(Работы!$E$2:$E$6000,MATCH($C101,Работы!$A$2:$A$6000,0)),""))</f>
        <v/>
      </c>
    </row>
    <row r="102" spans="1:19" x14ac:dyDescent="0.3">
      <c r="A102" s="4"/>
      <c r="B102" s="4"/>
      <c r="C102" t="str">
        <f t="shared" si="6"/>
        <v/>
      </c>
      <c r="D102" s="5" t="str">
        <f>IF($C102="","",IF(AND(LEFT($F102,3)="ДОК",$H102&lt;&gt;""),IFERROR(INDEX(Документация!$G$2:$G$57,MATCH($H102,Документация!$F$2:$F$57,0)),"— вариант не найден —"),IFERROR(INDEX(Работы!$B$2:$B$6000,MATCH($C102,Работы!$A$2:$A$6000,0)),"— нет такого кода —")))</f>
        <v/>
      </c>
      <c r="E102" t="str">
        <f>IF($C102="","",IF(AND(LEFT($F102,3)="ДОК",$H102&lt;&gt;""),IFERROR(INDEX(Документация!$D$2:$D$57,MATCH($H102,Документация!$F$2:$F$57,0)),""),IFERROR(INDEX(Работы!$C$2:$C$6000,MATCH($C102,Работы!$A$2:$A$6000,0)),"")))</f>
        <v/>
      </c>
      <c r="F102" t="str">
        <f>IF($C102="","",IFERROR(INDEX(Работы!$G$2:$G$6000,MATCH($C102,Работы!$A$2:$A$6000,0))&amp;"",""))</f>
        <v/>
      </c>
      <c r="G102" s="4"/>
      <c r="H102" s="4"/>
      <c r="I102" s="5" t="str">
        <f>IF((LEFT($F102,3)="ДОК"),"",IF($H102="","",IFERROR(INDEX(Материалы!$B$2:$B$9000,MATCH($H102,Материалы!$M$2:$M$9000,0)),"")))</f>
        <v/>
      </c>
      <c r="J102" s="6">
        <f>IF(AND(LEFT($F102,3)="ДОК",$H102&lt;&gt;""),IFERROR(INDEX(Документация!$E$2:$E$57,MATCH($H102,Документация!$F$2:$F$57,0)),0),IFERROR(INDEX(Работы!$H$2:$H$6000,MATCH($C102,Работы!$A$2:$A$6000,0)),0))*(1-MEDIAN(0,N(ДисконтТендер),1))</f>
        <v>0</v>
      </c>
      <c r="K102" s="6">
        <f>IF(OR((LEFT($F102,3)="ДОК"),$H102=""),0,IFERROR(INDEX(Материалы!$H$2:$H$9000,MATCH($H102,Материалы!$M$2:$M$9000,0))*IF(INDEX(Материалы!$I$2:$I$9000,MATCH($H102,Материалы!$M$2:$M$9000,0))="USD",КурсUSD,IF(INDEX(Материалы!$I$2:$I$9000,MATCH($H102,Материалы!$M$2:$M$9000,0))="EUR",КурсEUR,1))*(1+IFERROR(INDEX(Работы!$I$2:$I$6000,MATCH($C102,Работы!$A$2:$A$6000,0))/100,0))*(1-MEDIAN(0,N(ДисконтТендер),1)),0))</f>
        <v>0</v>
      </c>
      <c r="L102" s="6">
        <f t="shared" si="7"/>
        <v>0</v>
      </c>
      <c r="M102" s="6">
        <f t="shared" si="8"/>
        <v>0</v>
      </c>
      <c r="N102" s="6">
        <f t="shared" si="9"/>
        <v>0</v>
      </c>
      <c r="O102" t="str">
        <f>IF($N102&gt;0,MAX($O$1:$O101)+1,"")</f>
        <v/>
      </c>
      <c r="P102" t="str">
        <f>IF($C102="","",IFERROR(INDEX(Работы!$D$2:$D$6000,MATCH($C102,Работы!$A$2:$A$6000,0)),""))</f>
        <v/>
      </c>
      <c r="Q102" t="str">
        <f t="shared" si="10"/>
        <v/>
      </c>
      <c r="R102" t="str">
        <f t="shared" si="11"/>
        <v/>
      </c>
      <c r="S102" t="str">
        <f>IF($P102="","",$P102&amp;" · "&amp;IFERROR(INDEX(Работы!$E$2:$E$6000,MATCH($C102,Работы!$A$2:$A$6000,0)),""))</f>
        <v/>
      </c>
    </row>
    <row r="103" spans="1:19" x14ac:dyDescent="0.3">
      <c r="A103" s="4"/>
      <c r="B103" s="4"/>
      <c r="C103" t="str">
        <f t="shared" si="6"/>
        <v/>
      </c>
      <c r="D103" s="5" t="str">
        <f>IF($C103="","",IF(AND(LEFT($F103,3)="ДОК",$H103&lt;&gt;""),IFERROR(INDEX(Документация!$G$2:$G$57,MATCH($H103,Документация!$F$2:$F$57,0)),"— вариант не найден —"),IFERROR(INDEX(Работы!$B$2:$B$6000,MATCH($C103,Работы!$A$2:$A$6000,0)),"— нет такого кода —")))</f>
        <v/>
      </c>
      <c r="E103" t="str">
        <f>IF($C103="","",IF(AND(LEFT($F103,3)="ДОК",$H103&lt;&gt;""),IFERROR(INDEX(Документация!$D$2:$D$57,MATCH($H103,Документация!$F$2:$F$57,0)),""),IFERROR(INDEX(Работы!$C$2:$C$6000,MATCH($C103,Работы!$A$2:$A$6000,0)),"")))</f>
        <v/>
      </c>
      <c r="F103" t="str">
        <f>IF($C103="","",IFERROR(INDEX(Работы!$G$2:$G$6000,MATCH($C103,Работы!$A$2:$A$6000,0))&amp;"",""))</f>
        <v/>
      </c>
      <c r="G103" s="4"/>
      <c r="H103" s="4"/>
      <c r="I103" s="5" t="str">
        <f>IF((LEFT($F103,3)="ДОК"),"",IF($H103="","",IFERROR(INDEX(Материалы!$B$2:$B$9000,MATCH($H103,Материалы!$M$2:$M$9000,0)),"")))</f>
        <v/>
      </c>
      <c r="J103" s="6">
        <f>IF(AND(LEFT($F103,3)="ДОК",$H103&lt;&gt;""),IFERROR(INDEX(Документация!$E$2:$E$57,MATCH($H103,Документация!$F$2:$F$57,0)),0),IFERROR(INDEX(Работы!$H$2:$H$6000,MATCH($C103,Работы!$A$2:$A$6000,0)),0))*(1-MEDIAN(0,N(ДисконтТендер),1))</f>
        <v>0</v>
      </c>
      <c r="K103" s="6">
        <f>IF(OR((LEFT($F103,3)="ДОК"),$H103=""),0,IFERROR(INDEX(Материалы!$H$2:$H$9000,MATCH($H103,Материалы!$M$2:$M$9000,0))*IF(INDEX(Материалы!$I$2:$I$9000,MATCH($H103,Материалы!$M$2:$M$9000,0))="USD",КурсUSD,IF(INDEX(Материалы!$I$2:$I$9000,MATCH($H103,Материалы!$M$2:$M$9000,0))="EUR",КурсEUR,1))*(1+IFERROR(INDEX(Работы!$I$2:$I$6000,MATCH($C103,Работы!$A$2:$A$6000,0))/100,0))*(1-MEDIAN(0,N(ДисконтТендер),1)),0))</f>
        <v>0</v>
      </c>
      <c r="L103" s="6">
        <f t="shared" si="7"/>
        <v>0</v>
      </c>
      <c r="M103" s="6">
        <f t="shared" si="8"/>
        <v>0</v>
      </c>
      <c r="N103" s="6">
        <f t="shared" si="9"/>
        <v>0</v>
      </c>
      <c r="O103" t="str">
        <f>IF($N103&gt;0,MAX($O$1:$O102)+1,"")</f>
        <v/>
      </c>
      <c r="P103" t="str">
        <f>IF($C103="","",IFERROR(INDEX(Работы!$D$2:$D$6000,MATCH($C103,Работы!$A$2:$A$6000,0)),""))</f>
        <v/>
      </c>
      <c r="Q103" t="str">
        <f t="shared" si="10"/>
        <v/>
      </c>
      <c r="R103" t="str">
        <f t="shared" si="11"/>
        <v/>
      </c>
      <c r="S103" t="str">
        <f>IF($P103="","",$P103&amp;" · "&amp;IFERROR(INDEX(Работы!$E$2:$E$6000,MATCH($C103,Работы!$A$2:$A$6000,0)),""))</f>
        <v/>
      </c>
    </row>
    <row r="104" spans="1:19" x14ac:dyDescent="0.3">
      <c r="A104" s="4"/>
      <c r="B104" s="4"/>
      <c r="C104" t="str">
        <f t="shared" si="6"/>
        <v/>
      </c>
      <c r="D104" s="5" t="str">
        <f>IF($C104="","",IF(AND(LEFT($F104,3)="ДОК",$H104&lt;&gt;""),IFERROR(INDEX(Документация!$G$2:$G$57,MATCH($H104,Документация!$F$2:$F$57,0)),"— вариант не найден —"),IFERROR(INDEX(Работы!$B$2:$B$6000,MATCH($C104,Работы!$A$2:$A$6000,0)),"— нет такого кода —")))</f>
        <v/>
      </c>
      <c r="E104" t="str">
        <f>IF($C104="","",IF(AND(LEFT($F104,3)="ДОК",$H104&lt;&gt;""),IFERROR(INDEX(Документация!$D$2:$D$57,MATCH($H104,Документация!$F$2:$F$57,0)),""),IFERROR(INDEX(Работы!$C$2:$C$6000,MATCH($C104,Работы!$A$2:$A$6000,0)),"")))</f>
        <v/>
      </c>
      <c r="F104" t="str">
        <f>IF($C104="","",IFERROR(INDEX(Работы!$G$2:$G$6000,MATCH($C104,Работы!$A$2:$A$6000,0))&amp;"",""))</f>
        <v/>
      </c>
      <c r="G104" s="4"/>
      <c r="H104" s="4"/>
      <c r="I104" s="5" t="str">
        <f>IF((LEFT($F104,3)="ДОК"),"",IF($H104="","",IFERROR(INDEX(Материалы!$B$2:$B$9000,MATCH($H104,Материалы!$M$2:$M$9000,0)),"")))</f>
        <v/>
      </c>
      <c r="J104" s="6">
        <f>IF(AND(LEFT($F104,3)="ДОК",$H104&lt;&gt;""),IFERROR(INDEX(Документация!$E$2:$E$57,MATCH($H104,Документация!$F$2:$F$57,0)),0),IFERROR(INDEX(Работы!$H$2:$H$6000,MATCH($C104,Работы!$A$2:$A$6000,0)),0))*(1-MEDIAN(0,N(ДисконтТендер),1))</f>
        <v>0</v>
      </c>
      <c r="K104" s="6">
        <f>IF(OR((LEFT($F104,3)="ДОК"),$H104=""),0,IFERROR(INDEX(Материалы!$H$2:$H$9000,MATCH($H104,Материалы!$M$2:$M$9000,0))*IF(INDEX(Материалы!$I$2:$I$9000,MATCH($H104,Материалы!$M$2:$M$9000,0))="USD",КурсUSD,IF(INDEX(Материалы!$I$2:$I$9000,MATCH($H104,Материалы!$M$2:$M$9000,0))="EUR",КурсEUR,1))*(1+IFERROR(INDEX(Работы!$I$2:$I$6000,MATCH($C104,Работы!$A$2:$A$6000,0))/100,0))*(1-MEDIAN(0,N(ДисконтТендер),1)),0))</f>
        <v>0</v>
      </c>
      <c r="L104" s="6">
        <f t="shared" si="7"/>
        <v>0</v>
      </c>
      <c r="M104" s="6">
        <f t="shared" si="8"/>
        <v>0</v>
      </c>
      <c r="N104" s="6">
        <f t="shared" si="9"/>
        <v>0</v>
      </c>
      <c r="O104" t="str">
        <f>IF($N104&gt;0,MAX($O$1:$O103)+1,"")</f>
        <v/>
      </c>
      <c r="P104" t="str">
        <f>IF($C104="","",IFERROR(INDEX(Работы!$D$2:$D$6000,MATCH($C104,Работы!$A$2:$A$6000,0)),""))</f>
        <v/>
      </c>
      <c r="Q104" t="str">
        <f t="shared" si="10"/>
        <v/>
      </c>
      <c r="R104" t="str">
        <f t="shared" si="11"/>
        <v/>
      </c>
      <c r="S104" t="str">
        <f>IF($P104="","",$P104&amp;" · "&amp;IFERROR(INDEX(Работы!$E$2:$E$6000,MATCH($C104,Работы!$A$2:$A$6000,0)),""))</f>
        <v/>
      </c>
    </row>
    <row r="105" spans="1:19" x14ac:dyDescent="0.3">
      <c r="A105" s="4"/>
      <c r="B105" s="4"/>
      <c r="C105" t="str">
        <f t="shared" si="6"/>
        <v/>
      </c>
      <c r="D105" s="5" t="str">
        <f>IF($C105="","",IF(AND(LEFT($F105,3)="ДОК",$H105&lt;&gt;""),IFERROR(INDEX(Документация!$G$2:$G$57,MATCH($H105,Документация!$F$2:$F$57,0)),"— вариант не найден —"),IFERROR(INDEX(Работы!$B$2:$B$6000,MATCH($C105,Работы!$A$2:$A$6000,0)),"— нет такого кода —")))</f>
        <v/>
      </c>
      <c r="E105" t="str">
        <f>IF($C105="","",IF(AND(LEFT($F105,3)="ДОК",$H105&lt;&gt;""),IFERROR(INDEX(Документация!$D$2:$D$57,MATCH($H105,Документация!$F$2:$F$57,0)),""),IFERROR(INDEX(Работы!$C$2:$C$6000,MATCH($C105,Работы!$A$2:$A$6000,0)),"")))</f>
        <v/>
      </c>
      <c r="F105" t="str">
        <f>IF($C105="","",IFERROR(INDEX(Работы!$G$2:$G$6000,MATCH($C105,Работы!$A$2:$A$6000,0))&amp;"",""))</f>
        <v/>
      </c>
      <c r="G105" s="4"/>
      <c r="H105" s="4"/>
      <c r="I105" s="5" t="str">
        <f>IF((LEFT($F105,3)="ДОК"),"",IF($H105="","",IFERROR(INDEX(Материалы!$B$2:$B$9000,MATCH($H105,Материалы!$M$2:$M$9000,0)),"")))</f>
        <v/>
      </c>
      <c r="J105" s="6">
        <f>IF(AND(LEFT($F105,3)="ДОК",$H105&lt;&gt;""),IFERROR(INDEX(Документация!$E$2:$E$57,MATCH($H105,Документация!$F$2:$F$57,0)),0),IFERROR(INDEX(Работы!$H$2:$H$6000,MATCH($C105,Работы!$A$2:$A$6000,0)),0))*(1-MEDIAN(0,N(ДисконтТендер),1))</f>
        <v>0</v>
      </c>
      <c r="K105" s="6">
        <f>IF(OR((LEFT($F105,3)="ДОК"),$H105=""),0,IFERROR(INDEX(Материалы!$H$2:$H$9000,MATCH($H105,Материалы!$M$2:$M$9000,0))*IF(INDEX(Материалы!$I$2:$I$9000,MATCH($H105,Материалы!$M$2:$M$9000,0))="USD",КурсUSD,IF(INDEX(Материалы!$I$2:$I$9000,MATCH($H105,Материалы!$M$2:$M$9000,0))="EUR",КурсEUR,1))*(1+IFERROR(INDEX(Работы!$I$2:$I$6000,MATCH($C105,Работы!$A$2:$A$6000,0))/100,0))*(1-MEDIAN(0,N(ДисконтТендер),1)),0))</f>
        <v>0</v>
      </c>
      <c r="L105" s="6">
        <f t="shared" si="7"/>
        <v>0</v>
      </c>
      <c r="M105" s="6">
        <f t="shared" si="8"/>
        <v>0</v>
      </c>
      <c r="N105" s="6">
        <f t="shared" si="9"/>
        <v>0</v>
      </c>
      <c r="O105" t="str">
        <f>IF($N105&gt;0,MAX($O$1:$O104)+1,"")</f>
        <v/>
      </c>
      <c r="P105" t="str">
        <f>IF($C105="","",IFERROR(INDEX(Работы!$D$2:$D$6000,MATCH($C105,Работы!$A$2:$A$6000,0)),""))</f>
        <v/>
      </c>
      <c r="Q105" t="str">
        <f t="shared" si="10"/>
        <v/>
      </c>
      <c r="R105" t="str">
        <f t="shared" si="11"/>
        <v/>
      </c>
      <c r="S105" t="str">
        <f>IF($P105="","",$P105&amp;" · "&amp;IFERROR(INDEX(Работы!$E$2:$E$6000,MATCH($C105,Работы!$A$2:$A$6000,0)),""))</f>
        <v/>
      </c>
    </row>
    <row r="106" spans="1:19" x14ac:dyDescent="0.3">
      <c r="A106" s="4"/>
      <c r="B106" s="4"/>
      <c r="C106" t="str">
        <f t="shared" si="6"/>
        <v/>
      </c>
      <c r="D106" s="5" t="str">
        <f>IF($C106="","",IF(AND(LEFT($F106,3)="ДОК",$H106&lt;&gt;""),IFERROR(INDEX(Документация!$G$2:$G$57,MATCH($H106,Документация!$F$2:$F$57,0)),"— вариант не найден —"),IFERROR(INDEX(Работы!$B$2:$B$6000,MATCH($C106,Работы!$A$2:$A$6000,0)),"— нет такого кода —")))</f>
        <v/>
      </c>
      <c r="E106" t="str">
        <f>IF($C106="","",IF(AND(LEFT($F106,3)="ДОК",$H106&lt;&gt;""),IFERROR(INDEX(Документация!$D$2:$D$57,MATCH($H106,Документация!$F$2:$F$57,0)),""),IFERROR(INDEX(Работы!$C$2:$C$6000,MATCH($C106,Работы!$A$2:$A$6000,0)),"")))</f>
        <v/>
      </c>
      <c r="F106" t="str">
        <f>IF($C106="","",IFERROR(INDEX(Работы!$G$2:$G$6000,MATCH($C106,Работы!$A$2:$A$6000,0))&amp;"",""))</f>
        <v/>
      </c>
      <c r="G106" s="4"/>
      <c r="H106" s="4"/>
      <c r="I106" s="5" t="str">
        <f>IF((LEFT($F106,3)="ДОК"),"",IF($H106="","",IFERROR(INDEX(Материалы!$B$2:$B$9000,MATCH($H106,Материалы!$M$2:$M$9000,0)),"")))</f>
        <v/>
      </c>
      <c r="J106" s="6">
        <f>IF(AND(LEFT($F106,3)="ДОК",$H106&lt;&gt;""),IFERROR(INDEX(Документация!$E$2:$E$57,MATCH($H106,Документация!$F$2:$F$57,0)),0),IFERROR(INDEX(Работы!$H$2:$H$6000,MATCH($C106,Работы!$A$2:$A$6000,0)),0))*(1-MEDIAN(0,N(ДисконтТендер),1))</f>
        <v>0</v>
      </c>
      <c r="K106" s="6">
        <f>IF(OR((LEFT($F106,3)="ДОК"),$H106=""),0,IFERROR(INDEX(Материалы!$H$2:$H$9000,MATCH($H106,Материалы!$M$2:$M$9000,0))*IF(INDEX(Материалы!$I$2:$I$9000,MATCH($H106,Материалы!$M$2:$M$9000,0))="USD",КурсUSD,IF(INDEX(Материалы!$I$2:$I$9000,MATCH($H106,Материалы!$M$2:$M$9000,0))="EUR",КурсEUR,1))*(1+IFERROR(INDEX(Работы!$I$2:$I$6000,MATCH($C106,Работы!$A$2:$A$6000,0))/100,0))*(1-MEDIAN(0,N(ДисконтТендер),1)),0))</f>
        <v>0</v>
      </c>
      <c r="L106" s="6">
        <f t="shared" si="7"/>
        <v>0</v>
      </c>
      <c r="M106" s="6">
        <f t="shared" si="8"/>
        <v>0</v>
      </c>
      <c r="N106" s="6">
        <f t="shared" si="9"/>
        <v>0</v>
      </c>
      <c r="O106" t="str">
        <f>IF($N106&gt;0,MAX($O$1:$O105)+1,"")</f>
        <v/>
      </c>
      <c r="P106" t="str">
        <f>IF($C106="","",IFERROR(INDEX(Работы!$D$2:$D$6000,MATCH($C106,Работы!$A$2:$A$6000,0)),""))</f>
        <v/>
      </c>
      <c r="Q106" t="str">
        <f t="shared" si="10"/>
        <v/>
      </c>
      <c r="R106" t="str">
        <f t="shared" si="11"/>
        <v/>
      </c>
      <c r="S106" t="str">
        <f>IF($P106="","",$P106&amp;" · "&amp;IFERROR(INDEX(Работы!$E$2:$E$6000,MATCH($C106,Работы!$A$2:$A$6000,0)),""))</f>
        <v/>
      </c>
    </row>
    <row r="107" spans="1:19" x14ac:dyDescent="0.3">
      <c r="A107" s="4"/>
      <c r="B107" s="4"/>
      <c r="C107" t="str">
        <f t="shared" si="6"/>
        <v/>
      </c>
      <c r="D107" s="5" t="str">
        <f>IF($C107="","",IF(AND(LEFT($F107,3)="ДОК",$H107&lt;&gt;""),IFERROR(INDEX(Документация!$G$2:$G$57,MATCH($H107,Документация!$F$2:$F$57,0)),"— вариант не найден —"),IFERROR(INDEX(Работы!$B$2:$B$6000,MATCH($C107,Работы!$A$2:$A$6000,0)),"— нет такого кода —")))</f>
        <v/>
      </c>
      <c r="E107" t="str">
        <f>IF($C107="","",IF(AND(LEFT($F107,3)="ДОК",$H107&lt;&gt;""),IFERROR(INDEX(Документация!$D$2:$D$57,MATCH($H107,Документация!$F$2:$F$57,0)),""),IFERROR(INDEX(Работы!$C$2:$C$6000,MATCH($C107,Работы!$A$2:$A$6000,0)),"")))</f>
        <v/>
      </c>
      <c r="F107" t="str">
        <f>IF($C107="","",IFERROR(INDEX(Работы!$G$2:$G$6000,MATCH($C107,Работы!$A$2:$A$6000,0))&amp;"",""))</f>
        <v/>
      </c>
      <c r="G107" s="4"/>
      <c r="H107" s="4"/>
      <c r="I107" s="5" t="str">
        <f>IF((LEFT($F107,3)="ДОК"),"",IF($H107="","",IFERROR(INDEX(Материалы!$B$2:$B$9000,MATCH($H107,Материалы!$M$2:$M$9000,0)),"")))</f>
        <v/>
      </c>
      <c r="J107" s="6">
        <f>IF(AND(LEFT($F107,3)="ДОК",$H107&lt;&gt;""),IFERROR(INDEX(Документация!$E$2:$E$57,MATCH($H107,Документация!$F$2:$F$57,0)),0),IFERROR(INDEX(Работы!$H$2:$H$6000,MATCH($C107,Работы!$A$2:$A$6000,0)),0))*(1-MEDIAN(0,N(ДисконтТендер),1))</f>
        <v>0</v>
      </c>
      <c r="K107" s="6">
        <f>IF(OR((LEFT($F107,3)="ДОК"),$H107=""),0,IFERROR(INDEX(Материалы!$H$2:$H$9000,MATCH($H107,Материалы!$M$2:$M$9000,0))*IF(INDEX(Материалы!$I$2:$I$9000,MATCH($H107,Материалы!$M$2:$M$9000,0))="USD",КурсUSD,IF(INDEX(Материалы!$I$2:$I$9000,MATCH($H107,Материалы!$M$2:$M$9000,0))="EUR",КурсEUR,1))*(1+IFERROR(INDEX(Работы!$I$2:$I$6000,MATCH($C107,Работы!$A$2:$A$6000,0))/100,0))*(1-MEDIAN(0,N(ДисконтТендер),1)),0))</f>
        <v>0</v>
      </c>
      <c r="L107" s="6">
        <f t="shared" si="7"/>
        <v>0</v>
      </c>
      <c r="M107" s="6">
        <f t="shared" si="8"/>
        <v>0</v>
      </c>
      <c r="N107" s="6">
        <f t="shared" si="9"/>
        <v>0</v>
      </c>
      <c r="O107" t="str">
        <f>IF($N107&gt;0,MAX($O$1:$O106)+1,"")</f>
        <v/>
      </c>
      <c r="P107" t="str">
        <f>IF($C107="","",IFERROR(INDEX(Работы!$D$2:$D$6000,MATCH($C107,Работы!$A$2:$A$6000,0)),""))</f>
        <v/>
      </c>
      <c r="Q107" t="str">
        <f t="shared" si="10"/>
        <v/>
      </c>
      <c r="R107" t="str">
        <f t="shared" si="11"/>
        <v/>
      </c>
      <c r="S107" t="str">
        <f>IF($P107="","",$P107&amp;" · "&amp;IFERROR(INDEX(Работы!$E$2:$E$6000,MATCH($C107,Работы!$A$2:$A$6000,0)),""))</f>
        <v/>
      </c>
    </row>
    <row r="108" spans="1:19" x14ac:dyDescent="0.3">
      <c r="A108" s="4"/>
      <c r="B108" s="4"/>
      <c r="C108" t="str">
        <f t="shared" si="6"/>
        <v/>
      </c>
      <c r="D108" s="5" t="str">
        <f>IF($C108="","",IF(AND(LEFT($F108,3)="ДОК",$H108&lt;&gt;""),IFERROR(INDEX(Документация!$G$2:$G$57,MATCH($H108,Документация!$F$2:$F$57,0)),"— вариант не найден —"),IFERROR(INDEX(Работы!$B$2:$B$6000,MATCH($C108,Работы!$A$2:$A$6000,0)),"— нет такого кода —")))</f>
        <v/>
      </c>
      <c r="E108" t="str">
        <f>IF($C108="","",IF(AND(LEFT($F108,3)="ДОК",$H108&lt;&gt;""),IFERROR(INDEX(Документация!$D$2:$D$57,MATCH($H108,Документация!$F$2:$F$57,0)),""),IFERROR(INDEX(Работы!$C$2:$C$6000,MATCH($C108,Работы!$A$2:$A$6000,0)),"")))</f>
        <v/>
      </c>
      <c r="F108" t="str">
        <f>IF($C108="","",IFERROR(INDEX(Работы!$G$2:$G$6000,MATCH($C108,Работы!$A$2:$A$6000,0))&amp;"",""))</f>
        <v/>
      </c>
      <c r="G108" s="4"/>
      <c r="H108" s="4"/>
      <c r="I108" s="5" t="str">
        <f>IF((LEFT($F108,3)="ДОК"),"",IF($H108="","",IFERROR(INDEX(Материалы!$B$2:$B$9000,MATCH($H108,Материалы!$M$2:$M$9000,0)),"")))</f>
        <v/>
      </c>
      <c r="J108" s="6">
        <f>IF(AND(LEFT($F108,3)="ДОК",$H108&lt;&gt;""),IFERROR(INDEX(Документация!$E$2:$E$57,MATCH($H108,Документация!$F$2:$F$57,0)),0),IFERROR(INDEX(Работы!$H$2:$H$6000,MATCH($C108,Работы!$A$2:$A$6000,0)),0))*(1-MEDIAN(0,N(ДисконтТендер),1))</f>
        <v>0</v>
      </c>
      <c r="K108" s="6">
        <f>IF(OR((LEFT($F108,3)="ДОК"),$H108=""),0,IFERROR(INDEX(Материалы!$H$2:$H$9000,MATCH($H108,Материалы!$M$2:$M$9000,0))*IF(INDEX(Материалы!$I$2:$I$9000,MATCH($H108,Материалы!$M$2:$M$9000,0))="USD",КурсUSD,IF(INDEX(Материалы!$I$2:$I$9000,MATCH($H108,Материалы!$M$2:$M$9000,0))="EUR",КурсEUR,1))*(1+IFERROR(INDEX(Работы!$I$2:$I$6000,MATCH($C108,Работы!$A$2:$A$6000,0))/100,0))*(1-MEDIAN(0,N(ДисконтТендер),1)),0))</f>
        <v>0</v>
      </c>
      <c r="L108" s="6">
        <f t="shared" si="7"/>
        <v>0</v>
      </c>
      <c r="M108" s="6">
        <f t="shared" si="8"/>
        <v>0</v>
      </c>
      <c r="N108" s="6">
        <f t="shared" si="9"/>
        <v>0</v>
      </c>
      <c r="O108" t="str">
        <f>IF($N108&gt;0,MAX($O$1:$O107)+1,"")</f>
        <v/>
      </c>
      <c r="P108" t="str">
        <f>IF($C108="","",IFERROR(INDEX(Работы!$D$2:$D$6000,MATCH($C108,Работы!$A$2:$A$6000,0)),""))</f>
        <v/>
      </c>
      <c r="Q108" t="str">
        <f t="shared" si="10"/>
        <v/>
      </c>
      <c r="R108" t="str">
        <f t="shared" si="11"/>
        <v/>
      </c>
      <c r="S108" t="str">
        <f>IF($P108="","",$P108&amp;" · "&amp;IFERROR(INDEX(Работы!$E$2:$E$6000,MATCH($C108,Работы!$A$2:$A$6000,0)),""))</f>
        <v/>
      </c>
    </row>
    <row r="109" spans="1:19" x14ac:dyDescent="0.3">
      <c r="A109" s="4"/>
      <c r="B109" s="4"/>
      <c r="C109" t="str">
        <f t="shared" si="6"/>
        <v/>
      </c>
      <c r="D109" s="5" t="str">
        <f>IF($C109="","",IF(AND(LEFT($F109,3)="ДОК",$H109&lt;&gt;""),IFERROR(INDEX(Документация!$G$2:$G$57,MATCH($H109,Документация!$F$2:$F$57,0)),"— вариант не найден —"),IFERROR(INDEX(Работы!$B$2:$B$6000,MATCH($C109,Работы!$A$2:$A$6000,0)),"— нет такого кода —")))</f>
        <v/>
      </c>
      <c r="E109" t="str">
        <f>IF($C109="","",IF(AND(LEFT($F109,3)="ДОК",$H109&lt;&gt;""),IFERROR(INDEX(Документация!$D$2:$D$57,MATCH($H109,Документация!$F$2:$F$57,0)),""),IFERROR(INDEX(Работы!$C$2:$C$6000,MATCH($C109,Работы!$A$2:$A$6000,0)),"")))</f>
        <v/>
      </c>
      <c r="F109" t="str">
        <f>IF($C109="","",IFERROR(INDEX(Работы!$G$2:$G$6000,MATCH($C109,Работы!$A$2:$A$6000,0))&amp;"",""))</f>
        <v/>
      </c>
      <c r="G109" s="4"/>
      <c r="H109" s="4"/>
      <c r="I109" s="5" t="str">
        <f>IF((LEFT($F109,3)="ДОК"),"",IF($H109="","",IFERROR(INDEX(Материалы!$B$2:$B$9000,MATCH($H109,Материалы!$M$2:$M$9000,0)),"")))</f>
        <v/>
      </c>
      <c r="J109" s="6">
        <f>IF(AND(LEFT($F109,3)="ДОК",$H109&lt;&gt;""),IFERROR(INDEX(Документация!$E$2:$E$57,MATCH($H109,Документация!$F$2:$F$57,0)),0),IFERROR(INDEX(Работы!$H$2:$H$6000,MATCH($C109,Работы!$A$2:$A$6000,0)),0))*(1-MEDIAN(0,N(ДисконтТендер),1))</f>
        <v>0</v>
      </c>
      <c r="K109" s="6">
        <f>IF(OR((LEFT($F109,3)="ДОК"),$H109=""),0,IFERROR(INDEX(Материалы!$H$2:$H$9000,MATCH($H109,Материалы!$M$2:$M$9000,0))*IF(INDEX(Материалы!$I$2:$I$9000,MATCH($H109,Материалы!$M$2:$M$9000,0))="USD",КурсUSD,IF(INDEX(Материалы!$I$2:$I$9000,MATCH($H109,Материалы!$M$2:$M$9000,0))="EUR",КурсEUR,1))*(1+IFERROR(INDEX(Работы!$I$2:$I$6000,MATCH($C109,Работы!$A$2:$A$6000,0))/100,0))*(1-MEDIAN(0,N(ДисконтТендер),1)),0))</f>
        <v>0</v>
      </c>
      <c r="L109" s="6">
        <f t="shared" si="7"/>
        <v>0</v>
      </c>
      <c r="M109" s="6">
        <f t="shared" si="8"/>
        <v>0</v>
      </c>
      <c r="N109" s="6">
        <f t="shared" si="9"/>
        <v>0</v>
      </c>
      <c r="O109" t="str">
        <f>IF($N109&gt;0,MAX($O$1:$O108)+1,"")</f>
        <v/>
      </c>
      <c r="P109" t="str">
        <f>IF($C109="","",IFERROR(INDEX(Работы!$D$2:$D$6000,MATCH($C109,Работы!$A$2:$A$6000,0)),""))</f>
        <v/>
      </c>
      <c r="Q109" t="str">
        <f t="shared" si="10"/>
        <v/>
      </c>
      <c r="R109" t="str">
        <f t="shared" si="11"/>
        <v/>
      </c>
      <c r="S109" t="str">
        <f>IF($P109="","",$P109&amp;" · "&amp;IFERROR(INDEX(Работы!$E$2:$E$6000,MATCH($C109,Работы!$A$2:$A$6000,0)),""))</f>
        <v/>
      </c>
    </row>
    <row r="110" spans="1:19" x14ac:dyDescent="0.3">
      <c r="A110" s="4"/>
      <c r="B110" s="4"/>
      <c r="C110" t="str">
        <f t="shared" si="6"/>
        <v/>
      </c>
      <c r="D110" s="5" t="str">
        <f>IF($C110="","",IF(AND(LEFT($F110,3)="ДОК",$H110&lt;&gt;""),IFERROR(INDEX(Документация!$G$2:$G$57,MATCH($H110,Документация!$F$2:$F$57,0)),"— вариант не найден —"),IFERROR(INDEX(Работы!$B$2:$B$6000,MATCH($C110,Работы!$A$2:$A$6000,0)),"— нет такого кода —")))</f>
        <v/>
      </c>
      <c r="E110" t="str">
        <f>IF($C110="","",IF(AND(LEFT($F110,3)="ДОК",$H110&lt;&gt;""),IFERROR(INDEX(Документация!$D$2:$D$57,MATCH($H110,Документация!$F$2:$F$57,0)),""),IFERROR(INDEX(Работы!$C$2:$C$6000,MATCH($C110,Работы!$A$2:$A$6000,0)),"")))</f>
        <v/>
      </c>
      <c r="F110" t="str">
        <f>IF($C110="","",IFERROR(INDEX(Работы!$G$2:$G$6000,MATCH($C110,Работы!$A$2:$A$6000,0))&amp;"",""))</f>
        <v/>
      </c>
      <c r="G110" s="4"/>
      <c r="H110" s="4"/>
      <c r="I110" s="5" t="str">
        <f>IF((LEFT($F110,3)="ДОК"),"",IF($H110="","",IFERROR(INDEX(Материалы!$B$2:$B$9000,MATCH($H110,Материалы!$M$2:$M$9000,0)),"")))</f>
        <v/>
      </c>
      <c r="J110" s="6">
        <f>IF(AND(LEFT($F110,3)="ДОК",$H110&lt;&gt;""),IFERROR(INDEX(Документация!$E$2:$E$57,MATCH($H110,Документация!$F$2:$F$57,0)),0),IFERROR(INDEX(Работы!$H$2:$H$6000,MATCH($C110,Работы!$A$2:$A$6000,0)),0))*(1-MEDIAN(0,N(ДисконтТендер),1))</f>
        <v>0</v>
      </c>
      <c r="K110" s="6">
        <f>IF(OR((LEFT($F110,3)="ДОК"),$H110=""),0,IFERROR(INDEX(Материалы!$H$2:$H$9000,MATCH($H110,Материалы!$M$2:$M$9000,0))*IF(INDEX(Материалы!$I$2:$I$9000,MATCH($H110,Материалы!$M$2:$M$9000,0))="USD",КурсUSD,IF(INDEX(Материалы!$I$2:$I$9000,MATCH($H110,Материалы!$M$2:$M$9000,0))="EUR",КурсEUR,1))*(1+IFERROR(INDEX(Работы!$I$2:$I$6000,MATCH($C110,Работы!$A$2:$A$6000,0))/100,0))*(1-MEDIAN(0,N(ДисконтТендер),1)),0))</f>
        <v>0</v>
      </c>
      <c r="L110" s="6">
        <f t="shared" si="7"/>
        <v>0</v>
      </c>
      <c r="M110" s="6">
        <f t="shared" si="8"/>
        <v>0</v>
      </c>
      <c r="N110" s="6">
        <f t="shared" si="9"/>
        <v>0</v>
      </c>
      <c r="O110" t="str">
        <f>IF($N110&gt;0,MAX($O$1:$O109)+1,"")</f>
        <v/>
      </c>
      <c r="P110" t="str">
        <f>IF($C110="","",IFERROR(INDEX(Работы!$D$2:$D$6000,MATCH($C110,Работы!$A$2:$A$6000,0)),""))</f>
        <v/>
      </c>
      <c r="Q110" t="str">
        <f t="shared" si="10"/>
        <v/>
      </c>
      <c r="R110" t="str">
        <f t="shared" si="11"/>
        <v/>
      </c>
      <c r="S110" t="str">
        <f>IF($P110="","",$P110&amp;" · "&amp;IFERROR(INDEX(Работы!$E$2:$E$6000,MATCH($C110,Работы!$A$2:$A$6000,0)),""))</f>
        <v/>
      </c>
    </row>
    <row r="111" spans="1:19" x14ac:dyDescent="0.3">
      <c r="A111" s="4"/>
      <c r="B111" s="4"/>
      <c r="C111" t="str">
        <f t="shared" si="6"/>
        <v/>
      </c>
      <c r="D111" s="5" t="str">
        <f>IF($C111="","",IF(AND(LEFT($F111,3)="ДОК",$H111&lt;&gt;""),IFERROR(INDEX(Документация!$G$2:$G$57,MATCH($H111,Документация!$F$2:$F$57,0)),"— вариант не найден —"),IFERROR(INDEX(Работы!$B$2:$B$6000,MATCH($C111,Работы!$A$2:$A$6000,0)),"— нет такого кода —")))</f>
        <v/>
      </c>
      <c r="E111" t="str">
        <f>IF($C111="","",IF(AND(LEFT($F111,3)="ДОК",$H111&lt;&gt;""),IFERROR(INDEX(Документация!$D$2:$D$57,MATCH($H111,Документация!$F$2:$F$57,0)),""),IFERROR(INDEX(Работы!$C$2:$C$6000,MATCH($C111,Работы!$A$2:$A$6000,0)),"")))</f>
        <v/>
      </c>
      <c r="F111" t="str">
        <f>IF($C111="","",IFERROR(INDEX(Работы!$G$2:$G$6000,MATCH($C111,Работы!$A$2:$A$6000,0))&amp;"",""))</f>
        <v/>
      </c>
      <c r="G111" s="4"/>
      <c r="H111" s="4"/>
      <c r="I111" s="5" t="str">
        <f>IF((LEFT($F111,3)="ДОК"),"",IF($H111="","",IFERROR(INDEX(Материалы!$B$2:$B$9000,MATCH($H111,Материалы!$M$2:$M$9000,0)),"")))</f>
        <v/>
      </c>
      <c r="J111" s="6">
        <f>IF(AND(LEFT($F111,3)="ДОК",$H111&lt;&gt;""),IFERROR(INDEX(Документация!$E$2:$E$57,MATCH($H111,Документация!$F$2:$F$57,0)),0),IFERROR(INDEX(Работы!$H$2:$H$6000,MATCH($C111,Работы!$A$2:$A$6000,0)),0))*(1-MEDIAN(0,N(ДисконтТендер),1))</f>
        <v>0</v>
      </c>
      <c r="K111" s="6">
        <f>IF(OR((LEFT($F111,3)="ДОК"),$H111=""),0,IFERROR(INDEX(Материалы!$H$2:$H$9000,MATCH($H111,Материалы!$M$2:$M$9000,0))*IF(INDEX(Материалы!$I$2:$I$9000,MATCH($H111,Материалы!$M$2:$M$9000,0))="USD",КурсUSD,IF(INDEX(Материалы!$I$2:$I$9000,MATCH($H111,Материалы!$M$2:$M$9000,0))="EUR",КурсEUR,1))*(1+IFERROR(INDEX(Работы!$I$2:$I$6000,MATCH($C111,Работы!$A$2:$A$6000,0))/100,0))*(1-MEDIAN(0,N(ДисконтТендер),1)),0))</f>
        <v>0</v>
      </c>
      <c r="L111" s="6">
        <f t="shared" si="7"/>
        <v>0</v>
      </c>
      <c r="M111" s="6">
        <f t="shared" si="8"/>
        <v>0</v>
      </c>
      <c r="N111" s="6">
        <f t="shared" si="9"/>
        <v>0</v>
      </c>
      <c r="O111" t="str">
        <f>IF($N111&gt;0,MAX($O$1:$O110)+1,"")</f>
        <v/>
      </c>
      <c r="P111" t="str">
        <f>IF($C111="","",IFERROR(INDEX(Работы!$D$2:$D$6000,MATCH($C111,Работы!$A$2:$A$6000,0)),""))</f>
        <v/>
      </c>
      <c r="Q111" t="str">
        <f t="shared" si="10"/>
        <v/>
      </c>
      <c r="R111" t="str">
        <f t="shared" si="11"/>
        <v/>
      </c>
      <c r="S111" t="str">
        <f>IF($P111="","",$P111&amp;" · "&amp;IFERROR(INDEX(Работы!$E$2:$E$6000,MATCH($C111,Работы!$A$2:$A$6000,0)),""))</f>
        <v/>
      </c>
    </row>
    <row r="112" spans="1:19" x14ac:dyDescent="0.3">
      <c r="A112" s="4"/>
      <c r="B112" s="4"/>
      <c r="C112" t="str">
        <f t="shared" si="6"/>
        <v/>
      </c>
      <c r="D112" s="5" t="str">
        <f>IF($C112="","",IF(AND(LEFT($F112,3)="ДОК",$H112&lt;&gt;""),IFERROR(INDEX(Документация!$G$2:$G$57,MATCH($H112,Документация!$F$2:$F$57,0)),"— вариант не найден —"),IFERROR(INDEX(Работы!$B$2:$B$6000,MATCH($C112,Работы!$A$2:$A$6000,0)),"— нет такого кода —")))</f>
        <v/>
      </c>
      <c r="E112" t="str">
        <f>IF($C112="","",IF(AND(LEFT($F112,3)="ДОК",$H112&lt;&gt;""),IFERROR(INDEX(Документация!$D$2:$D$57,MATCH($H112,Документация!$F$2:$F$57,0)),""),IFERROR(INDEX(Работы!$C$2:$C$6000,MATCH($C112,Работы!$A$2:$A$6000,0)),"")))</f>
        <v/>
      </c>
      <c r="F112" t="str">
        <f>IF($C112="","",IFERROR(INDEX(Работы!$G$2:$G$6000,MATCH($C112,Работы!$A$2:$A$6000,0))&amp;"",""))</f>
        <v/>
      </c>
      <c r="G112" s="4"/>
      <c r="H112" s="4"/>
      <c r="I112" s="5" t="str">
        <f>IF((LEFT($F112,3)="ДОК"),"",IF($H112="","",IFERROR(INDEX(Материалы!$B$2:$B$9000,MATCH($H112,Материалы!$M$2:$M$9000,0)),"")))</f>
        <v/>
      </c>
      <c r="J112" s="6">
        <f>IF(AND(LEFT($F112,3)="ДОК",$H112&lt;&gt;""),IFERROR(INDEX(Документация!$E$2:$E$57,MATCH($H112,Документация!$F$2:$F$57,0)),0),IFERROR(INDEX(Работы!$H$2:$H$6000,MATCH($C112,Работы!$A$2:$A$6000,0)),0))*(1-MEDIAN(0,N(ДисконтТендер),1))</f>
        <v>0</v>
      </c>
      <c r="K112" s="6">
        <f>IF(OR((LEFT($F112,3)="ДОК"),$H112=""),0,IFERROR(INDEX(Материалы!$H$2:$H$9000,MATCH($H112,Материалы!$M$2:$M$9000,0))*IF(INDEX(Материалы!$I$2:$I$9000,MATCH($H112,Материалы!$M$2:$M$9000,0))="USD",КурсUSD,IF(INDEX(Материалы!$I$2:$I$9000,MATCH($H112,Материалы!$M$2:$M$9000,0))="EUR",КурсEUR,1))*(1+IFERROR(INDEX(Работы!$I$2:$I$6000,MATCH($C112,Работы!$A$2:$A$6000,0))/100,0))*(1-MEDIAN(0,N(ДисконтТендер),1)),0))</f>
        <v>0</v>
      </c>
      <c r="L112" s="6">
        <f t="shared" si="7"/>
        <v>0</v>
      </c>
      <c r="M112" s="6">
        <f t="shared" si="8"/>
        <v>0</v>
      </c>
      <c r="N112" s="6">
        <f t="shared" si="9"/>
        <v>0</v>
      </c>
      <c r="O112" t="str">
        <f>IF($N112&gt;0,MAX($O$1:$O111)+1,"")</f>
        <v/>
      </c>
      <c r="P112" t="str">
        <f>IF($C112="","",IFERROR(INDEX(Работы!$D$2:$D$6000,MATCH($C112,Работы!$A$2:$A$6000,0)),""))</f>
        <v/>
      </c>
      <c r="Q112" t="str">
        <f t="shared" si="10"/>
        <v/>
      </c>
      <c r="R112" t="str">
        <f t="shared" si="11"/>
        <v/>
      </c>
      <c r="S112" t="str">
        <f>IF($P112="","",$P112&amp;" · "&amp;IFERROR(INDEX(Работы!$E$2:$E$6000,MATCH($C112,Работы!$A$2:$A$6000,0)),""))</f>
        <v/>
      </c>
    </row>
    <row r="113" spans="1:19" x14ac:dyDescent="0.3">
      <c r="A113" s="4"/>
      <c r="B113" s="4"/>
      <c r="C113" t="str">
        <f t="shared" si="6"/>
        <v/>
      </c>
      <c r="D113" s="5" t="str">
        <f>IF($C113="","",IF(AND(LEFT($F113,3)="ДОК",$H113&lt;&gt;""),IFERROR(INDEX(Документация!$G$2:$G$57,MATCH($H113,Документация!$F$2:$F$57,0)),"— вариант не найден —"),IFERROR(INDEX(Работы!$B$2:$B$6000,MATCH($C113,Работы!$A$2:$A$6000,0)),"— нет такого кода —")))</f>
        <v/>
      </c>
      <c r="E113" t="str">
        <f>IF($C113="","",IF(AND(LEFT($F113,3)="ДОК",$H113&lt;&gt;""),IFERROR(INDEX(Документация!$D$2:$D$57,MATCH($H113,Документация!$F$2:$F$57,0)),""),IFERROR(INDEX(Работы!$C$2:$C$6000,MATCH($C113,Работы!$A$2:$A$6000,0)),"")))</f>
        <v/>
      </c>
      <c r="F113" t="str">
        <f>IF($C113="","",IFERROR(INDEX(Работы!$G$2:$G$6000,MATCH($C113,Работы!$A$2:$A$6000,0))&amp;"",""))</f>
        <v/>
      </c>
      <c r="G113" s="4"/>
      <c r="H113" s="4"/>
      <c r="I113" s="5" t="str">
        <f>IF((LEFT($F113,3)="ДОК"),"",IF($H113="","",IFERROR(INDEX(Материалы!$B$2:$B$9000,MATCH($H113,Материалы!$M$2:$M$9000,0)),"")))</f>
        <v/>
      </c>
      <c r="J113" s="6">
        <f>IF(AND(LEFT($F113,3)="ДОК",$H113&lt;&gt;""),IFERROR(INDEX(Документация!$E$2:$E$57,MATCH($H113,Документация!$F$2:$F$57,0)),0),IFERROR(INDEX(Работы!$H$2:$H$6000,MATCH($C113,Работы!$A$2:$A$6000,0)),0))*(1-MEDIAN(0,N(ДисконтТендер),1))</f>
        <v>0</v>
      </c>
      <c r="K113" s="6">
        <f>IF(OR((LEFT($F113,3)="ДОК"),$H113=""),0,IFERROR(INDEX(Материалы!$H$2:$H$9000,MATCH($H113,Материалы!$M$2:$M$9000,0))*IF(INDEX(Материалы!$I$2:$I$9000,MATCH($H113,Материалы!$M$2:$M$9000,0))="USD",КурсUSD,IF(INDEX(Материалы!$I$2:$I$9000,MATCH($H113,Материалы!$M$2:$M$9000,0))="EUR",КурсEUR,1))*(1+IFERROR(INDEX(Работы!$I$2:$I$6000,MATCH($C113,Работы!$A$2:$A$6000,0))/100,0))*(1-MEDIAN(0,N(ДисконтТендер),1)),0))</f>
        <v>0</v>
      </c>
      <c r="L113" s="6">
        <f t="shared" si="7"/>
        <v>0</v>
      </c>
      <c r="M113" s="6">
        <f t="shared" si="8"/>
        <v>0</v>
      </c>
      <c r="N113" s="6">
        <f t="shared" si="9"/>
        <v>0</v>
      </c>
      <c r="O113" t="str">
        <f>IF($N113&gt;0,MAX($O$1:$O112)+1,"")</f>
        <v/>
      </c>
      <c r="P113" t="str">
        <f>IF($C113="","",IFERROR(INDEX(Работы!$D$2:$D$6000,MATCH($C113,Работы!$A$2:$A$6000,0)),""))</f>
        <v/>
      </c>
      <c r="Q113" t="str">
        <f t="shared" si="10"/>
        <v/>
      </c>
      <c r="R113" t="str">
        <f t="shared" si="11"/>
        <v/>
      </c>
      <c r="S113" t="str">
        <f>IF($P113="","",$P113&amp;" · "&amp;IFERROR(INDEX(Работы!$E$2:$E$6000,MATCH($C113,Работы!$A$2:$A$6000,0)),""))</f>
        <v/>
      </c>
    </row>
    <row r="114" spans="1:19" x14ac:dyDescent="0.3">
      <c r="A114" s="4"/>
      <c r="B114" s="4"/>
      <c r="C114" t="str">
        <f t="shared" si="6"/>
        <v/>
      </c>
      <c r="D114" s="5" t="str">
        <f>IF($C114="","",IF(AND(LEFT($F114,3)="ДОК",$H114&lt;&gt;""),IFERROR(INDEX(Документация!$G$2:$G$57,MATCH($H114,Документация!$F$2:$F$57,0)),"— вариант не найден —"),IFERROR(INDEX(Работы!$B$2:$B$6000,MATCH($C114,Работы!$A$2:$A$6000,0)),"— нет такого кода —")))</f>
        <v/>
      </c>
      <c r="E114" t="str">
        <f>IF($C114="","",IF(AND(LEFT($F114,3)="ДОК",$H114&lt;&gt;""),IFERROR(INDEX(Документация!$D$2:$D$57,MATCH($H114,Документация!$F$2:$F$57,0)),""),IFERROR(INDEX(Работы!$C$2:$C$6000,MATCH($C114,Работы!$A$2:$A$6000,0)),"")))</f>
        <v/>
      </c>
      <c r="F114" t="str">
        <f>IF($C114="","",IFERROR(INDEX(Работы!$G$2:$G$6000,MATCH($C114,Работы!$A$2:$A$6000,0))&amp;"",""))</f>
        <v/>
      </c>
      <c r="G114" s="4"/>
      <c r="H114" s="4"/>
      <c r="I114" s="5" t="str">
        <f>IF((LEFT($F114,3)="ДОК"),"",IF($H114="","",IFERROR(INDEX(Материалы!$B$2:$B$9000,MATCH($H114,Материалы!$M$2:$M$9000,0)),"")))</f>
        <v/>
      </c>
      <c r="J114" s="6">
        <f>IF(AND(LEFT($F114,3)="ДОК",$H114&lt;&gt;""),IFERROR(INDEX(Документация!$E$2:$E$57,MATCH($H114,Документация!$F$2:$F$57,0)),0),IFERROR(INDEX(Работы!$H$2:$H$6000,MATCH($C114,Работы!$A$2:$A$6000,0)),0))*(1-MEDIAN(0,N(ДисконтТендер),1))</f>
        <v>0</v>
      </c>
      <c r="K114" s="6">
        <f>IF(OR((LEFT($F114,3)="ДОК"),$H114=""),0,IFERROR(INDEX(Материалы!$H$2:$H$9000,MATCH($H114,Материалы!$M$2:$M$9000,0))*IF(INDEX(Материалы!$I$2:$I$9000,MATCH($H114,Материалы!$M$2:$M$9000,0))="USD",КурсUSD,IF(INDEX(Материалы!$I$2:$I$9000,MATCH($H114,Материалы!$M$2:$M$9000,0))="EUR",КурсEUR,1))*(1+IFERROR(INDEX(Работы!$I$2:$I$6000,MATCH($C114,Работы!$A$2:$A$6000,0))/100,0))*(1-MEDIAN(0,N(ДисконтТендер),1)),0))</f>
        <v>0</v>
      </c>
      <c r="L114" s="6">
        <f t="shared" si="7"/>
        <v>0</v>
      </c>
      <c r="M114" s="6">
        <f t="shared" si="8"/>
        <v>0</v>
      </c>
      <c r="N114" s="6">
        <f t="shared" si="9"/>
        <v>0</v>
      </c>
      <c r="O114" t="str">
        <f>IF($N114&gt;0,MAX($O$1:$O113)+1,"")</f>
        <v/>
      </c>
      <c r="P114" t="str">
        <f>IF($C114="","",IFERROR(INDEX(Работы!$D$2:$D$6000,MATCH($C114,Работы!$A$2:$A$6000,0)),""))</f>
        <v/>
      </c>
      <c r="Q114" t="str">
        <f t="shared" si="10"/>
        <v/>
      </c>
      <c r="R114" t="str">
        <f t="shared" si="11"/>
        <v/>
      </c>
      <c r="S114" t="str">
        <f>IF($P114="","",$P114&amp;" · "&amp;IFERROR(INDEX(Работы!$E$2:$E$6000,MATCH($C114,Работы!$A$2:$A$6000,0)),""))</f>
        <v/>
      </c>
    </row>
    <row r="115" spans="1:19" x14ac:dyDescent="0.3">
      <c r="A115" s="4"/>
      <c r="B115" s="4"/>
      <c r="C115" t="str">
        <f t="shared" si="6"/>
        <v/>
      </c>
      <c r="D115" s="5" t="str">
        <f>IF($C115="","",IF(AND(LEFT($F115,3)="ДОК",$H115&lt;&gt;""),IFERROR(INDEX(Документация!$G$2:$G$57,MATCH($H115,Документация!$F$2:$F$57,0)),"— вариант не найден —"),IFERROR(INDEX(Работы!$B$2:$B$6000,MATCH($C115,Работы!$A$2:$A$6000,0)),"— нет такого кода —")))</f>
        <v/>
      </c>
      <c r="E115" t="str">
        <f>IF($C115="","",IF(AND(LEFT($F115,3)="ДОК",$H115&lt;&gt;""),IFERROR(INDEX(Документация!$D$2:$D$57,MATCH($H115,Документация!$F$2:$F$57,0)),""),IFERROR(INDEX(Работы!$C$2:$C$6000,MATCH($C115,Работы!$A$2:$A$6000,0)),"")))</f>
        <v/>
      </c>
      <c r="F115" t="str">
        <f>IF($C115="","",IFERROR(INDEX(Работы!$G$2:$G$6000,MATCH($C115,Работы!$A$2:$A$6000,0))&amp;"",""))</f>
        <v/>
      </c>
      <c r="G115" s="4"/>
      <c r="H115" s="4"/>
      <c r="I115" s="5" t="str">
        <f>IF((LEFT($F115,3)="ДОК"),"",IF($H115="","",IFERROR(INDEX(Материалы!$B$2:$B$9000,MATCH($H115,Материалы!$M$2:$M$9000,0)),"")))</f>
        <v/>
      </c>
      <c r="J115" s="6">
        <f>IF(AND(LEFT($F115,3)="ДОК",$H115&lt;&gt;""),IFERROR(INDEX(Документация!$E$2:$E$57,MATCH($H115,Документация!$F$2:$F$57,0)),0),IFERROR(INDEX(Работы!$H$2:$H$6000,MATCH($C115,Работы!$A$2:$A$6000,0)),0))*(1-MEDIAN(0,N(ДисконтТендер),1))</f>
        <v>0</v>
      </c>
      <c r="K115" s="6">
        <f>IF(OR((LEFT($F115,3)="ДОК"),$H115=""),0,IFERROR(INDEX(Материалы!$H$2:$H$9000,MATCH($H115,Материалы!$M$2:$M$9000,0))*IF(INDEX(Материалы!$I$2:$I$9000,MATCH($H115,Материалы!$M$2:$M$9000,0))="USD",КурсUSD,IF(INDEX(Материалы!$I$2:$I$9000,MATCH($H115,Материалы!$M$2:$M$9000,0))="EUR",КурсEUR,1))*(1+IFERROR(INDEX(Работы!$I$2:$I$6000,MATCH($C115,Работы!$A$2:$A$6000,0))/100,0))*(1-MEDIAN(0,N(ДисконтТендер),1)),0))</f>
        <v>0</v>
      </c>
      <c r="L115" s="6">
        <f t="shared" si="7"/>
        <v>0</v>
      </c>
      <c r="M115" s="6">
        <f t="shared" si="8"/>
        <v>0</v>
      </c>
      <c r="N115" s="6">
        <f t="shared" si="9"/>
        <v>0</v>
      </c>
      <c r="O115" t="str">
        <f>IF($N115&gt;0,MAX($O$1:$O114)+1,"")</f>
        <v/>
      </c>
      <c r="P115" t="str">
        <f>IF($C115="","",IFERROR(INDEX(Работы!$D$2:$D$6000,MATCH($C115,Работы!$A$2:$A$6000,0)),""))</f>
        <v/>
      </c>
      <c r="Q115" t="str">
        <f t="shared" si="10"/>
        <v/>
      </c>
      <c r="R115" t="str">
        <f t="shared" si="11"/>
        <v/>
      </c>
      <c r="S115" t="str">
        <f>IF($P115="","",$P115&amp;" · "&amp;IFERROR(INDEX(Работы!$E$2:$E$6000,MATCH($C115,Работы!$A$2:$A$6000,0)),""))</f>
        <v/>
      </c>
    </row>
    <row r="116" spans="1:19" x14ac:dyDescent="0.3">
      <c r="A116" s="4"/>
      <c r="B116" s="4"/>
      <c r="C116" t="str">
        <f t="shared" si="6"/>
        <v/>
      </c>
      <c r="D116" s="5" t="str">
        <f>IF($C116="","",IF(AND(LEFT($F116,3)="ДОК",$H116&lt;&gt;""),IFERROR(INDEX(Документация!$G$2:$G$57,MATCH($H116,Документация!$F$2:$F$57,0)),"— вариант не найден —"),IFERROR(INDEX(Работы!$B$2:$B$6000,MATCH($C116,Работы!$A$2:$A$6000,0)),"— нет такого кода —")))</f>
        <v/>
      </c>
      <c r="E116" t="str">
        <f>IF($C116="","",IF(AND(LEFT($F116,3)="ДОК",$H116&lt;&gt;""),IFERROR(INDEX(Документация!$D$2:$D$57,MATCH($H116,Документация!$F$2:$F$57,0)),""),IFERROR(INDEX(Работы!$C$2:$C$6000,MATCH($C116,Работы!$A$2:$A$6000,0)),"")))</f>
        <v/>
      </c>
      <c r="F116" t="str">
        <f>IF($C116="","",IFERROR(INDEX(Работы!$G$2:$G$6000,MATCH($C116,Работы!$A$2:$A$6000,0))&amp;"",""))</f>
        <v/>
      </c>
      <c r="G116" s="4"/>
      <c r="H116" s="4"/>
      <c r="I116" s="5" t="str">
        <f>IF((LEFT($F116,3)="ДОК"),"",IF($H116="","",IFERROR(INDEX(Материалы!$B$2:$B$9000,MATCH($H116,Материалы!$M$2:$M$9000,0)),"")))</f>
        <v/>
      </c>
      <c r="J116" s="6">
        <f>IF(AND(LEFT($F116,3)="ДОК",$H116&lt;&gt;""),IFERROR(INDEX(Документация!$E$2:$E$57,MATCH($H116,Документация!$F$2:$F$57,0)),0),IFERROR(INDEX(Работы!$H$2:$H$6000,MATCH($C116,Работы!$A$2:$A$6000,0)),0))*(1-MEDIAN(0,N(ДисконтТендер),1))</f>
        <v>0</v>
      </c>
      <c r="K116" s="6">
        <f>IF(OR((LEFT($F116,3)="ДОК"),$H116=""),0,IFERROR(INDEX(Материалы!$H$2:$H$9000,MATCH($H116,Материалы!$M$2:$M$9000,0))*IF(INDEX(Материалы!$I$2:$I$9000,MATCH($H116,Материалы!$M$2:$M$9000,0))="USD",КурсUSD,IF(INDEX(Материалы!$I$2:$I$9000,MATCH($H116,Материалы!$M$2:$M$9000,0))="EUR",КурсEUR,1))*(1+IFERROR(INDEX(Работы!$I$2:$I$6000,MATCH($C116,Работы!$A$2:$A$6000,0))/100,0))*(1-MEDIAN(0,N(ДисконтТендер),1)),0))</f>
        <v>0</v>
      </c>
      <c r="L116" s="6">
        <f t="shared" si="7"/>
        <v>0</v>
      </c>
      <c r="M116" s="6">
        <f t="shared" si="8"/>
        <v>0</v>
      </c>
      <c r="N116" s="6">
        <f t="shared" si="9"/>
        <v>0</v>
      </c>
      <c r="O116" t="str">
        <f>IF($N116&gt;0,MAX($O$1:$O115)+1,"")</f>
        <v/>
      </c>
      <c r="P116" t="str">
        <f>IF($C116="","",IFERROR(INDEX(Работы!$D$2:$D$6000,MATCH($C116,Работы!$A$2:$A$6000,0)),""))</f>
        <v/>
      </c>
      <c r="Q116" t="str">
        <f t="shared" si="10"/>
        <v/>
      </c>
      <c r="R116" t="str">
        <f t="shared" si="11"/>
        <v/>
      </c>
      <c r="S116" t="str">
        <f>IF($P116="","",$P116&amp;" · "&amp;IFERROR(INDEX(Работы!$E$2:$E$6000,MATCH($C116,Работы!$A$2:$A$6000,0)),""))</f>
        <v/>
      </c>
    </row>
    <row r="117" spans="1:19" x14ac:dyDescent="0.3">
      <c r="A117" s="4"/>
      <c r="B117" s="4"/>
      <c r="C117" t="str">
        <f t="shared" si="6"/>
        <v/>
      </c>
      <c r="D117" s="5" t="str">
        <f>IF($C117="","",IF(AND(LEFT($F117,3)="ДОК",$H117&lt;&gt;""),IFERROR(INDEX(Документация!$G$2:$G$57,MATCH($H117,Документация!$F$2:$F$57,0)),"— вариант не найден —"),IFERROR(INDEX(Работы!$B$2:$B$6000,MATCH($C117,Работы!$A$2:$A$6000,0)),"— нет такого кода —")))</f>
        <v/>
      </c>
      <c r="E117" t="str">
        <f>IF($C117="","",IF(AND(LEFT($F117,3)="ДОК",$H117&lt;&gt;""),IFERROR(INDEX(Документация!$D$2:$D$57,MATCH($H117,Документация!$F$2:$F$57,0)),""),IFERROR(INDEX(Работы!$C$2:$C$6000,MATCH($C117,Работы!$A$2:$A$6000,0)),"")))</f>
        <v/>
      </c>
      <c r="F117" t="str">
        <f>IF($C117="","",IFERROR(INDEX(Работы!$G$2:$G$6000,MATCH($C117,Работы!$A$2:$A$6000,0))&amp;"",""))</f>
        <v/>
      </c>
      <c r="G117" s="4"/>
      <c r="H117" s="4"/>
      <c r="I117" s="5" t="str">
        <f>IF((LEFT($F117,3)="ДОК"),"",IF($H117="","",IFERROR(INDEX(Материалы!$B$2:$B$9000,MATCH($H117,Материалы!$M$2:$M$9000,0)),"")))</f>
        <v/>
      </c>
      <c r="J117" s="6">
        <f>IF(AND(LEFT($F117,3)="ДОК",$H117&lt;&gt;""),IFERROR(INDEX(Документация!$E$2:$E$57,MATCH($H117,Документация!$F$2:$F$57,0)),0),IFERROR(INDEX(Работы!$H$2:$H$6000,MATCH($C117,Работы!$A$2:$A$6000,0)),0))*(1-MEDIAN(0,N(ДисконтТендер),1))</f>
        <v>0</v>
      </c>
      <c r="K117" s="6">
        <f>IF(OR((LEFT($F117,3)="ДОК"),$H117=""),0,IFERROR(INDEX(Материалы!$H$2:$H$9000,MATCH($H117,Материалы!$M$2:$M$9000,0))*IF(INDEX(Материалы!$I$2:$I$9000,MATCH($H117,Материалы!$M$2:$M$9000,0))="USD",КурсUSD,IF(INDEX(Материалы!$I$2:$I$9000,MATCH($H117,Материалы!$M$2:$M$9000,0))="EUR",КурсEUR,1))*(1+IFERROR(INDEX(Работы!$I$2:$I$6000,MATCH($C117,Работы!$A$2:$A$6000,0))/100,0))*(1-MEDIAN(0,N(ДисконтТендер),1)),0))</f>
        <v>0</v>
      </c>
      <c r="L117" s="6">
        <f t="shared" si="7"/>
        <v>0</v>
      </c>
      <c r="M117" s="6">
        <f t="shared" si="8"/>
        <v>0</v>
      </c>
      <c r="N117" s="6">
        <f t="shared" si="9"/>
        <v>0</v>
      </c>
      <c r="O117" t="str">
        <f>IF($N117&gt;0,MAX($O$1:$O116)+1,"")</f>
        <v/>
      </c>
      <c r="P117" t="str">
        <f>IF($C117="","",IFERROR(INDEX(Работы!$D$2:$D$6000,MATCH($C117,Работы!$A$2:$A$6000,0)),""))</f>
        <v/>
      </c>
      <c r="Q117" t="str">
        <f t="shared" si="10"/>
        <v/>
      </c>
      <c r="R117" t="str">
        <f t="shared" si="11"/>
        <v/>
      </c>
      <c r="S117" t="str">
        <f>IF($P117="","",$P117&amp;" · "&amp;IFERROR(INDEX(Работы!$E$2:$E$6000,MATCH($C117,Работы!$A$2:$A$6000,0)),""))</f>
        <v/>
      </c>
    </row>
    <row r="118" spans="1:19" x14ac:dyDescent="0.3">
      <c r="A118" s="4"/>
      <c r="B118" s="4"/>
      <c r="C118" t="str">
        <f t="shared" si="6"/>
        <v/>
      </c>
      <c r="D118" s="5" t="str">
        <f>IF($C118="","",IF(AND(LEFT($F118,3)="ДОК",$H118&lt;&gt;""),IFERROR(INDEX(Документация!$G$2:$G$57,MATCH($H118,Документация!$F$2:$F$57,0)),"— вариант не найден —"),IFERROR(INDEX(Работы!$B$2:$B$6000,MATCH($C118,Работы!$A$2:$A$6000,0)),"— нет такого кода —")))</f>
        <v/>
      </c>
      <c r="E118" t="str">
        <f>IF($C118="","",IF(AND(LEFT($F118,3)="ДОК",$H118&lt;&gt;""),IFERROR(INDEX(Документация!$D$2:$D$57,MATCH($H118,Документация!$F$2:$F$57,0)),""),IFERROR(INDEX(Работы!$C$2:$C$6000,MATCH($C118,Работы!$A$2:$A$6000,0)),"")))</f>
        <v/>
      </c>
      <c r="F118" t="str">
        <f>IF($C118="","",IFERROR(INDEX(Работы!$G$2:$G$6000,MATCH($C118,Работы!$A$2:$A$6000,0))&amp;"",""))</f>
        <v/>
      </c>
      <c r="G118" s="4"/>
      <c r="H118" s="4"/>
      <c r="I118" s="5" t="str">
        <f>IF((LEFT($F118,3)="ДОК"),"",IF($H118="","",IFERROR(INDEX(Материалы!$B$2:$B$9000,MATCH($H118,Материалы!$M$2:$M$9000,0)),"")))</f>
        <v/>
      </c>
      <c r="J118" s="6">
        <f>IF(AND(LEFT($F118,3)="ДОК",$H118&lt;&gt;""),IFERROR(INDEX(Документация!$E$2:$E$57,MATCH($H118,Документация!$F$2:$F$57,0)),0),IFERROR(INDEX(Работы!$H$2:$H$6000,MATCH($C118,Работы!$A$2:$A$6000,0)),0))*(1-MEDIAN(0,N(ДисконтТендер),1))</f>
        <v>0</v>
      </c>
      <c r="K118" s="6">
        <f>IF(OR((LEFT($F118,3)="ДОК"),$H118=""),0,IFERROR(INDEX(Материалы!$H$2:$H$9000,MATCH($H118,Материалы!$M$2:$M$9000,0))*IF(INDEX(Материалы!$I$2:$I$9000,MATCH($H118,Материалы!$M$2:$M$9000,0))="USD",КурсUSD,IF(INDEX(Материалы!$I$2:$I$9000,MATCH($H118,Материалы!$M$2:$M$9000,0))="EUR",КурсEUR,1))*(1+IFERROR(INDEX(Работы!$I$2:$I$6000,MATCH($C118,Работы!$A$2:$A$6000,0))/100,0))*(1-MEDIAN(0,N(ДисконтТендер),1)),0))</f>
        <v>0</v>
      </c>
      <c r="L118" s="6">
        <f t="shared" si="7"/>
        <v>0</v>
      </c>
      <c r="M118" s="6">
        <f t="shared" si="8"/>
        <v>0</v>
      </c>
      <c r="N118" s="6">
        <f t="shared" si="9"/>
        <v>0</v>
      </c>
      <c r="O118" t="str">
        <f>IF($N118&gt;0,MAX($O$1:$O117)+1,"")</f>
        <v/>
      </c>
      <c r="P118" t="str">
        <f>IF($C118="","",IFERROR(INDEX(Работы!$D$2:$D$6000,MATCH($C118,Работы!$A$2:$A$6000,0)),""))</f>
        <v/>
      </c>
      <c r="Q118" t="str">
        <f t="shared" si="10"/>
        <v/>
      </c>
      <c r="R118" t="str">
        <f t="shared" si="11"/>
        <v/>
      </c>
      <c r="S118" t="str">
        <f>IF($P118="","",$P118&amp;" · "&amp;IFERROR(INDEX(Работы!$E$2:$E$6000,MATCH($C118,Работы!$A$2:$A$6000,0)),""))</f>
        <v/>
      </c>
    </row>
    <row r="119" spans="1:19" x14ac:dyDescent="0.3">
      <c r="A119" s="4"/>
      <c r="B119" s="4"/>
      <c r="C119" t="str">
        <f t="shared" si="6"/>
        <v/>
      </c>
      <c r="D119" s="5" t="str">
        <f>IF($C119="","",IF(AND(LEFT($F119,3)="ДОК",$H119&lt;&gt;""),IFERROR(INDEX(Документация!$G$2:$G$57,MATCH($H119,Документация!$F$2:$F$57,0)),"— вариант не найден —"),IFERROR(INDEX(Работы!$B$2:$B$6000,MATCH($C119,Работы!$A$2:$A$6000,0)),"— нет такого кода —")))</f>
        <v/>
      </c>
      <c r="E119" t="str">
        <f>IF($C119="","",IF(AND(LEFT($F119,3)="ДОК",$H119&lt;&gt;""),IFERROR(INDEX(Документация!$D$2:$D$57,MATCH($H119,Документация!$F$2:$F$57,0)),""),IFERROR(INDEX(Работы!$C$2:$C$6000,MATCH($C119,Работы!$A$2:$A$6000,0)),"")))</f>
        <v/>
      </c>
      <c r="F119" t="str">
        <f>IF($C119="","",IFERROR(INDEX(Работы!$G$2:$G$6000,MATCH($C119,Работы!$A$2:$A$6000,0))&amp;"",""))</f>
        <v/>
      </c>
      <c r="G119" s="4"/>
      <c r="H119" s="4"/>
      <c r="I119" s="5" t="str">
        <f>IF((LEFT($F119,3)="ДОК"),"",IF($H119="","",IFERROR(INDEX(Материалы!$B$2:$B$9000,MATCH($H119,Материалы!$M$2:$M$9000,0)),"")))</f>
        <v/>
      </c>
      <c r="J119" s="6">
        <f>IF(AND(LEFT($F119,3)="ДОК",$H119&lt;&gt;""),IFERROR(INDEX(Документация!$E$2:$E$57,MATCH($H119,Документация!$F$2:$F$57,0)),0),IFERROR(INDEX(Работы!$H$2:$H$6000,MATCH($C119,Работы!$A$2:$A$6000,0)),0))*(1-MEDIAN(0,N(ДисконтТендер),1))</f>
        <v>0</v>
      </c>
      <c r="K119" s="6">
        <f>IF(OR((LEFT($F119,3)="ДОК"),$H119=""),0,IFERROR(INDEX(Материалы!$H$2:$H$9000,MATCH($H119,Материалы!$M$2:$M$9000,0))*IF(INDEX(Материалы!$I$2:$I$9000,MATCH($H119,Материалы!$M$2:$M$9000,0))="USD",КурсUSD,IF(INDEX(Материалы!$I$2:$I$9000,MATCH($H119,Материалы!$M$2:$M$9000,0))="EUR",КурсEUR,1))*(1+IFERROR(INDEX(Работы!$I$2:$I$6000,MATCH($C119,Работы!$A$2:$A$6000,0))/100,0))*(1-MEDIAN(0,N(ДисконтТендер),1)),0))</f>
        <v>0</v>
      </c>
      <c r="L119" s="6">
        <f t="shared" si="7"/>
        <v>0</v>
      </c>
      <c r="M119" s="6">
        <f t="shared" si="8"/>
        <v>0</v>
      </c>
      <c r="N119" s="6">
        <f t="shared" si="9"/>
        <v>0</v>
      </c>
      <c r="O119" t="str">
        <f>IF($N119&gt;0,MAX($O$1:$O118)+1,"")</f>
        <v/>
      </c>
      <c r="P119" t="str">
        <f>IF($C119="","",IFERROR(INDEX(Работы!$D$2:$D$6000,MATCH($C119,Работы!$A$2:$A$6000,0)),""))</f>
        <v/>
      </c>
      <c r="Q119" t="str">
        <f t="shared" si="10"/>
        <v/>
      </c>
      <c r="R119" t="str">
        <f t="shared" si="11"/>
        <v/>
      </c>
      <c r="S119" t="str">
        <f>IF($P119="","",$P119&amp;" · "&amp;IFERROR(INDEX(Работы!$E$2:$E$6000,MATCH($C119,Работы!$A$2:$A$6000,0)),""))</f>
        <v/>
      </c>
    </row>
    <row r="120" spans="1:19" x14ac:dyDescent="0.3">
      <c r="A120" s="4"/>
      <c r="B120" s="4"/>
      <c r="C120" t="str">
        <f t="shared" si="6"/>
        <v/>
      </c>
      <c r="D120" s="5" t="str">
        <f>IF($C120="","",IF(AND(LEFT($F120,3)="ДОК",$H120&lt;&gt;""),IFERROR(INDEX(Документация!$G$2:$G$57,MATCH($H120,Документация!$F$2:$F$57,0)),"— вариант не найден —"),IFERROR(INDEX(Работы!$B$2:$B$6000,MATCH($C120,Работы!$A$2:$A$6000,0)),"— нет такого кода —")))</f>
        <v/>
      </c>
      <c r="E120" t="str">
        <f>IF($C120="","",IF(AND(LEFT($F120,3)="ДОК",$H120&lt;&gt;""),IFERROR(INDEX(Документация!$D$2:$D$57,MATCH($H120,Документация!$F$2:$F$57,0)),""),IFERROR(INDEX(Работы!$C$2:$C$6000,MATCH($C120,Работы!$A$2:$A$6000,0)),"")))</f>
        <v/>
      </c>
      <c r="F120" t="str">
        <f>IF($C120="","",IFERROR(INDEX(Работы!$G$2:$G$6000,MATCH($C120,Работы!$A$2:$A$6000,0))&amp;"",""))</f>
        <v/>
      </c>
      <c r="G120" s="4"/>
      <c r="H120" s="4"/>
      <c r="I120" s="5" t="str">
        <f>IF((LEFT($F120,3)="ДОК"),"",IF($H120="","",IFERROR(INDEX(Материалы!$B$2:$B$9000,MATCH($H120,Материалы!$M$2:$M$9000,0)),"")))</f>
        <v/>
      </c>
      <c r="J120" s="6">
        <f>IF(AND(LEFT($F120,3)="ДОК",$H120&lt;&gt;""),IFERROR(INDEX(Документация!$E$2:$E$57,MATCH($H120,Документация!$F$2:$F$57,0)),0),IFERROR(INDEX(Работы!$H$2:$H$6000,MATCH($C120,Работы!$A$2:$A$6000,0)),0))*(1-MEDIAN(0,N(ДисконтТендер),1))</f>
        <v>0</v>
      </c>
      <c r="K120" s="6">
        <f>IF(OR((LEFT($F120,3)="ДОК"),$H120=""),0,IFERROR(INDEX(Материалы!$H$2:$H$9000,MATCH($H120,Материалы!$M$2:$M$9000,0))*IF(INDEX(Материалы!$I$2:$I$9000,MATCH($H120,Материалы!$M$2:$M$9000,0))="USD",КурсUSD,IF(INDEX(Материалы!$I$2:$I$9000,MATCH($H120,Материалы!$M$2:$M$9000,0))="EUR",КурсEUR,1))*(1+IFERROR(INDEX(Работы!$I$2:$I$6000,MATCH($C120,Работы!$A$2:$A$6000,0))/100,0))*(1-MEDIAN(0,N(ДисконтТендер),1)),0))</f>
        <v>0</v>
      </c>
      <c r="L120" s="6">
        <f t="shared" si="7"/>
        <v>0</v>
      </c>
      <c r="M120" s="6">
        <f t="shared" si="8"/>
        <v>0</v>
      </c>
      <c r="N120" s="6">
        <f t="shared" si="9"/>
        <v>0</v>
      </c>
      <c r="O120" t="str">
        <f>IF($N120&gt;0,MAX($O$1:$O119)+1,"")</f>
        <v/>
      </c>
      <c r="P120" t="str">
        <f>IF($C120="","",IFERROR(INDEX(Работы!$D$2:$D$6000,MATCH($C120,Работы!$A$2:$A$6000,0)),""))</f>
        <v/>
      </c>
      <c r="Q120" t="str">
        <f t="shared" si="10"/>
        <v/>
      </c>
      <c r="R120" t="str">
        <f t="shared" si="11"/>
        <v/>
      </c>
      <c r="S120" t="str">
        <f>IF($P120="","",$P120&amp;" · "&amp;IFERROR(INDEX(Работы!$E$2:$E$6000,MATCH($C120,Работы!$A$2:$A$6000,0)),""))</f>
        <v/>
      </c>
    </row>
    <row r="121" spans="1:19" x14ac:dyDescent="0.3">
      <c r="A121" s="4"/>
      <c r="B121" s="4"/>
      <c r="C121" t="str">
        <f t="shared" si="6"/>
        <v/>
      </c>
      <c r="D121" s="5" t="str">
        <f>IF($C121="","",IF(AND(LEFT($F121,3)="ДОК",$H121&lt;&gt;""),IFERROR(INDEX(Документация!$G$2:$G$57,MATCH($H121,Документация!$F$2:$F$57,0)),"— вариант не найден —"),IFERROR(INDEX(Работы!$B$2:$B$6000,MATCH($C121,Работы!$A$2:$A$6000,0)),"— нет такого кода —")))</f>
        <v/>
      </c>
      <c r="E121" t="str">
        <f>IF($C121="","",IF(AND(LEFT($F121,3)="ДОК",$H121&lt;&gt;""),IFERROR(INDEX(Документация!$D$2:$D$57,MATCH($H121,Документация!$F$2:$F$57,0)),""),IFERROR(INDEX(Работы!$C$2:$C$6000,MATCH($C121,Работы!$A$2:$A$6000,0)),"")))</f>
        <v/>
      </c>
      <c r="F121" t="str">
        <f>IF($C121="","",IFERROR(INDEX(Работы!$G$2:$G$6000,MATCH($C121,Работы!$A$2:$A$6000,0))&amp;"",""))</f>
        <v/>
      </c>
      <c r="G121" s="4"/>
      <c r="H121" s="4"/>
      <c r="I121" s="5" t="str">
        <f>IF((LEFT($F121,3)="ДОК"),"",IF($H121="","",IFERROR(INDEX(Материалы!$B$2:$B$9000,MATCH($H121,Материалы!$M$2:$M$9000,0)),"")))</f>
        <v/>
      </c>
      <c r="J121" s="6">
        <f>IF(AND(LEFT($F121,3)="ДОК",$H121&lt;&gt;""),IFERROR(INDEX(Документация!$E$2:$E$57,MATCH($H121,Документация!$F$2:$F$57,0)),0),IFERROR(INDEX(Работы!$H$2:$H$6000,MATCH($C121,Работы!$A$2:$A$6000,0)),0))*(1-MEDIAN(0,N(ДисконтТендер),1))</f>
        <v>0</v>
      </c>
      <c r="K121" s="6">
        <f>IF(OR((LEFT($F121,3)="ДОК"),$H121=""),0,IFERROR(INDEX(Материалы!$H$2:$H$9000,MATCH($H121,Материалы!$M$2:$M$9000,0))*IF(INDEX(Материалы!$I$2:$I$9000,MATCH($H121,Материалы!$M$2:$M$9000,0))="USD",КурсUSD,IF(INDEX(Материалы!$I$2:$I$9000,MATCH($H121,Материалы!$M$2:$M$9000,0))="EUR",КурсEUR,1))*(1+IFERROR(INDEX(Работы!$I$2:$I$6000,MATCH($C121,Работы!$A$2:$A$6000,0))/100,0))*(1-MEDIAN(0,N(ДисконтТендер),1)),0))</f>
        <v>0</v>
      </c>
      <c r="L121" s="6">
        <f t="shared" si="7"/>
        <v>0</v>
      </c>
      <c r="M121" s="6">
        <f t="shared" si="8"/>
        <v>0</v>
      </c>
      <c r="N121" s="6">
        <f t="shared" si="9"/>
        <v>0</v>
      </c>
      <c r="O121" t="str">
        <f>IF($N121&gt;0,MAX($O$1:$O120)+1,"")</f>
        <v/>
      </c>
      <c r="P121" t="str">
        <f>IF($C121="","",IFERROR(INDEX(Работы!$D$2:$D$6000,MATCH($C121,Работы!$A$2:$A$6000,0)),""))</f>
        <v/>
      </c>
      <c r="Q121" t="str">
        <f t="shared" si="10"/>
        <v/>
      </c>
      <c r="R121" t="str">
        <f t="shared" si="11"/>
        <v/>
      </c>
      <c r="S121" t="str">
        <f>IF($P121="","",$P121&amp;" · "&amp;IFERROR(INDEX(Работы!$E$2:$E$6000,MATCH($C121,Работы!$A$2:$A$6000,0)),""))</f>
        <v/>
      </c>
    </row>
    <row r="122" spans="1:19" x14ac:dyDescent="0.3">
      <c r="A122" s="4"/>
      <c r="B122" s="4"/>
      <c r="C122" t="str">
        <f t="shared" si="6"/>
        <v/>
      </c>
      <c r="D122" s="5" t="str">
        <f>IF($C122="","",IF(AND(LEFT($F122,3)="ДОК",$H122&lt;&gt;""),IFERROR(INDEX(Документация!$G$2:$G$57,MATCH($H122,Документация!$F$2:$F$57,0)),"— вариант не найден —"),IFERROR(INDEX(Работы!$B$2:$B$6000,MATCH($C122,Работы!$A$2:$A$6000,0)),"— нет такого кода —")))</f>
        <v/>
      </c>
      <c r="E122" t="str">
        <f>IF($C122="","",IF(AND(LEFT($F122,3)="ДОК",$H122&lt;&gt;""),IFERROR(INDEX(Документация!$D$2:$D$57,MATCH($H122,Документация!$F$2:$F$57,0)),""),IFERROR(INDEX(Работы!$C$2:$C$6000,MATCH($C122,Работы!$A$2:$A$6000,0)),"")))</f>
        <v/>
      </c>
      <c r="F122" t="str">
        <f>IF($C122="","",IFERROR(INDEX(Работы!$G$2:$G$6000,MATCH($C122,Работы!$A$2:$A$6000,0))&amp;"",""))</f>
        <v/>
      </c>
      <c r="G122" s="4"/>
      <c r="H122" s="4"/>
      <c r="I122" s="5" t="str">
        <f>IF((LEFT($F122,3)="ДОК"),"",IF($H122="","",IFERROR(INDEX(Материалы!$B$2:$B$9000,MATCH($H122,Материалы!$M$2:$M$9000,0)),"")))</f>
        <v/>
      </c>
      <c r="J122" s="6">
        <f>IF(AND(LEFT($F122,3)="ДОК",$H122&lt;&gt;""),IFERROR(INDEX(Документация!$E$2:$E$57,MATCH($H122,Документация!$F$2:$F$57,0)),0),IFERROR(INDEX(Работы!$H$2:$H$6000,MATCH($C122,Работы!$A$2:$A$6000,0)),0))*(1-MEDIAN(0,N(ДисконтТендер),1))</f>
        <v>0</v>
      </c>
      <c r="K122" s="6">
        <f>IF(OR((LEFT($F122,3)="ДОК"),$H122=""),0,IFERROR(INDEX(Материалы!$H$2:$H$9000,MATCH($H122,Материалы!$M$2:$M$9000,0))*IF(INDEX(Материалы!$I$2:$I$9000,MATCH($H122,Материалы!$M$2:$M$9000,0))="USD",КурсUSD,IF(INDEX(Материалы!$I$2:$I$9000,MATCH($H122,Материалы!$M$2:$M$9000,0))="EUR",КурсEUR,1))*(1+IFERROR(INDEX(Работы!$I$2:$I$6000,MATCH($C122,Работы!$A$2:$A$6000,0))/100,0))*(1-MEDIAN(0,N(ДисконтТендер),1)),0))</f>
        <v>0</v>
      </c>
      <c r="L122" s="6">
        <f t="shared" si="7"/>
        <v>0</v>
      </c>
      <c r="M122" s="6">
        <f t="shared" si="8"/>
        <v>0</v>
      </c>
      <c r="N122" s="6">
        <f t="shared" si="9"/>
        <v>0</v>
      </c>
      <c r="O122" t="str">
        <f>IF($N122&gt;0,MAX($O$1:$O121)+1,"")</f>
        <v/>
      </c>
      <c r="P122" t="str">
        <f>IF($C122="","",IFERROR(INDEX(Работы!$D$2:$D$6000,MATCH($C122,Работы!$A$2:$A$6000,0)),""))</f>
        <v/>
      </c>
      <c r="Q122" t="str">
        <f t="shared" si="10"/>
        <v/>
      </c>
      <c r="R122" t="str">
        <f t="shared" si="11"/>
        <v/>
      </c>
      <c r="S122" t="str">
        <f>IF($P122="","",$P122&amp;" · "&amp;IFERROR(INDEX(Работы!$E$2:$E$6000,MATCH($C122,Работы!$A$2:$A$6000,0)),""))</f>
        <v/>
      </c>
    </row>
    <row r="123" spans="1:19" x14ac:dyDescent="0.3">
      <c r="A123" s="4"/>
      <c r="B123" s="4"/>
      <c r="C123" t="str">
        <f t="shared" si="6"/>
        <v/>
      </c>
      <c r="D123" s="5" t="str">
        <f>IF($C123="","",IF(AND(LEFT($F123,3)="ДОК",$H123&lt;&gt;""),IFERROR(INDEX(Документация!$G$2:$G$57,MATCH($H123,Документация!$F$2:$F$57,0)),"— вариант не найден —"),IFERROR(INDEX(Работы!$B$2:$B$6000,MATCH($C123,Работы!$A$2:$A$6000,0)),"— нет такого кода —")))</f>
        <v/>
      </c>
      <c r="E123" t="str">
        <f>IF($C123="","",IF(AND(LEFT($F123,3)="ДОК",$H123&lt;&gt;""),IFERROR(INDEX(Документация!$D$2:$D$57,MATCH($H123,Документация!$F$2:$F$57,0)),""),IFERROR(INDEX(Работы!$C$2:$C$6000,MATCH($C123,Работы!$A$2:$A$6000,0)),"")))</f>
        <v/>
      </c>
      <c r="F123" t="str">
        <f>IF($C123="","",IFERROR(INDEX(Работы!$G$2:$G$6000,MATCH($C123,Работы!$A$2:$A$6000,0))&amp;"",""))</f>
        <v/>
      </c>
      <c r="G123" s="4"/>
      <c r="H123" s="4"/>
      <c r="I123" s="5" t="str">
        <f>IF((LEFT($F123,3)="ДОК"),"",IF($H123="","",IFERROR(INDEX(Материалы!$B$2:$B$9000,MATCH($H123,Материалы!$M$2:$M$9000,0)),"")))</f>
        <v/>
      </c>
      <c r="J123" s="6">
        <f>IF(AND(LEFT($F123,3)="ДОК",$H123&lt;&gt;""),IFERROR(INDEX(Документация!$E$2:$E$57,MATCH($H123,Документация!$F$2:$F$57,0)),0),IFERROR(INDEX(Работы!$H$2:$H$6000,MATCH($C123,Работы!$A$2:$A$6000,0)),0))*(1-MEDIAN(0,N(ДисконтТендер),1))</f>
        <v>0</v>
      </c>
      <c r="K123" s="6">
        <f>IF(OR((LEFT($F123,3)="ДОК"),$H123=""),0,IFERROR(INDEX(Материалы!$H$2:$H$9000,MATCH($H123,Материалы!$M$2:$M$9000,0))*IF(INDEX(Материалы!$I$2:$I$9000,MATCH($H123,Материалы!$M$2:$M$9000,0))="USD",КурсUSD,IF(INDEX(Материалы!$I$2:$I$9000,MATCH($H123,Материалы!$M$2:$M$9000,0))="EUR",КурсEUR,1))*(1+IFERROR(INDEX(Работы!$I$2:$I$6000,MATCH($C123,Работы!$A$2:$A$6000,0))/100,0))*(1-MEDIAN(0,N(ДисконтТендер),1)),0))</f>
        <v>0</v>
      </c>
      <c r="L123" s="6">
        <f t="shared" si="7"/>
        <v>0</v>
      </c>
      <c r="M123" s="6">
        <f t="shared" si="8"/>
        <v>0</v>
      </c>
      <c r="N123" s="6">
        <f t="shared" si="9"/>
        <v>0</v>
      </c>
      <c r="O123" t="str">
        <f>IF($N123&gt;0,MAX($O$1:$O122)+1,"")</f>
        <v/>
      </c>
      <c r="P123" t="str">
        <f>IF($C123="","",IFERROR(INDEX(Работы!$D$2:$D$6000,MATCH($C123,Работы!$A$2:$A$6000,0)),""))</f>
        <v/>
      </c>
      <c r="Q123" t="str">
        <f t="shared" si="10"/>
        <v/>
      </c>
      <c r="R123" t="str">
        <f t="shared" si="11"/>
        <v/>
      </c>
      <c r="S123" t="str">
        <f>IF($P123="","",$P123&amp;" · "&amp;IFERROR(INDEX(Работы!$E$2:$E$6000,MATCH($C123,Работы!$A$2:$A$6000,0)),""))</f>
        <v/>
      </c>
    </row>
    <row r="124" spans="1:19" x14ac:dyDescent="0.3">
      <c r="A124" s="4"/>
      <c r="B124" s="4"/>
      <c r="C124" t="str">
        <f t="shared" si="6"/>
        <v/>
      </c>
      <c r="D124" s="5" t="str">
        <f>IF($C124="","",IF(AND(LEFT($F124,3)="ДОК",$H124&lt;&gt;""),IFERROR(INDEX(Документация!$G$2:$G$57,MATCH($H124,Документация!$F$2:$F$57,0)),"— вариант не найден —"),IFERROR(INDEX(Работы!$B$2:$B$6000,MATCH($C124,Работы!$A$2:$A$6000,0)),"— нет такого кода —")))</f>
        <v/>
      </c>
      <c r="E124" t="str">
        <f>IF($C124="","",IF(AND(LEFT($F124,3)="ДОК",$H124&lt;&gt;""),IFERROR(INDEX(Документация!$D$2:$D$57,MATCH($H124,Документация!$F$2:$F$57,0)),""),IFERROR(INDEX(Работы!$C$2:$C$6000,MATCH($C124,Работы!$A$2:$A$6000,0)),"")))</f>
        <v/>
      </c>
      <c r="F124" t="str">
        <f>IF($C124="","",IFERROR(INDEX(Работы!$G$2:$G$6000,MATCH($C124,Работы!$A$2:$A$6000,0))&amp;"",""))</f>
        <v/>
      </c>
      <c r="G124" s="4"/>
      <c r="H124" s="4"/>
      <c r="I124" s="5" t="str">
        <f>IF((LEFT($F124,3)="ДОК"),"",IF($H124="","",IFERROR(INDEX(Материалы!$B$2:$B$9000,MATCH($H124,Материалы!$M$2:$M$9000,0)),"")))</f>
        <v/>
      </c>
      <c r="J124" s="6">
        <f>IF(AND(LEFT($F124,3)="ДОК",$H124&lt;&gt;""),IFERROR(INDEX(Документация!$E$2:$E$57,MATCH($H124,Документация!$F$2:$F$57,0)),0),IFERROR(INDEX(Работы!$H$2:$H$6000,MATCH($C124,Работы!$A$2:$A$6000,0)),0))*(1-MEDIAN(0,N(ДисконтТендер),1))</f>
        <v>0</v>
      </c>
      <c r="K124" s="6">
        <f>IF(OR((LEFT($F124,3)="ДОК"),$H124=""),0,IFERROR(INDEX(Материалы!$H$2:$H$9000,MATCH($H124,Материалы!$M$2:$M$9000,0))*IF(INDEX(Материалы!$I$2:$I$9000,MATCH($H124,Материалы!$M$2:$M$9000,0))="USD",КурсUSD,IF(INDEX(Материалы!$I$2:$I$9000,MATCH($H124,Материалы!$M$2:$M$9000,0))="EUR",КурсEUR,1))*(1+IFERROR(INDEX(Работы!$I$2:$I$6000,MATCH($C124,Работы!$A$2:$A$6000,0))/100,0))*(1-MEDIAN(0,N(ДисконтТендер),1)),0))</f>
        <v>0</v>
      </c>
      <c r="L124" s="6">
        <f t="shared" si="7"/>
        <v>0</v>
      </c>
      <c r="M124" s="6">
        <f t="shared" si="8"/>
        <v>0</v>
      </c>
      <c r="N124" s="6">
        <f t="shared" si="9"/>
        <v>0</v>
      </c>
      <c r="O124" t="str">
        <f>IF($N124&gt;0,MAX($O$1:$O123)+1,"")</f>
        <v/>
      </c>
      <c r="P124" t="str">
        <f>IF($C124="","",IFERROR(INDEX(Работы!$D$2:$D$6000,MATCH($C124,Работы!$A$2:$A$6000,0)),""))</f>
        <v/>
      </c>
      <c r="Q124" t="str">
        <f t="shared" si="10"/>
        <v/>
      </c>
      <c r="R124" t="str">
        <f t="shared" si="11"/>
        <v/>
      </c>
      <c r="S124" t="str">
        <f>IF($P124="","",$P124&amp;" · "&amp;IFERROR(INDEX(Работы!$E$2:$E$6000,MATCH($C124,Работы!$A$2:$A$6000,0)),""))</f>
        <v/>
      </c>
    </row>
    <row r="125" spans="1:19" x14ac:dyDescent="0.3">
      <c r="A125" s="4"/>
      <c r="B125" s="4"/>
      <c r="C125" t="str">
        <f t="shared" si="6"/>
        <v/>
      </c>
      <c r="D125" s="5" t="str">
        <f>IF($C125="","",IF(AND(LEFT($F125,3)="ДОК",$H125&lt;&gt;""),IFERROR(INDEX(Документация!$G$2:$G$57,MATCH($H125,Документация!$F$2:$F$57,0)),"— вариант не найден —"),IFERROR(INDEX(Работы!$B$2:$B$6000,MATCH($C125,Работы!$A$2:$A$6000,0)),"— нет такого кода —")))</f>
        <v/>
      </c>
      <c r="E125" t="str">
        <f>IF($C125="","",IF(AND(LEFT($F125,3)="ДОК",$H125&lt;&gt;""),IFERROR(INDEX(Документация!$D$2:$D$57,MATCH($H125,Документация!$F$2:$F$57,0)),""),IFERROR(INDEX(Работы!$C$2:$C$6000,MATCH($C125,Работы!$A$2:$A$6000,0)),"")))</f>
        <v/>
      </c>
      <c r="F125" t="str">
        <f>IF($C125="","",IFERROR(INDEX(Работы!$G$2:$G$6000,MATCH($C125,Работы!$A$2:$A$6000,0))&amp;"",""))</f>
        <v/>
      </c>
      <c r="G125" s="4"/>
      <c r="H125" s="4"/>
      <c r="I125" s="5" t="str">
        <f>IF((LEFT($F125,3)="ДОК"),"",IF($H125="","",IFERROR(INDEX(Материалы!$B$2:$B$9000,MATCH($H125,Материалы!$M$2:$M$9000,0)),"")))</f>
        <v/>
      </c>
      <c r="J125" s="6">
        <f>IF(AND(LEFT($F125,3)="ДОК",$H125&lt;&gt;""),IFERROR(INDEX(Документация!$E$2:$E$57,MATCH($H125,Документация!$F$2:$F$57,0)),0),IFERROR(INDEX(Работы!$H$2:$H$6000,MATCH($C125,Работы!$A$2:$A$6000,0)),0))*(1-MEDIAN(0,N(ДисконтТендер),1))</f>
        <v>0</v>
      </c>
      <c r="K125" s="6">
        <f>IF(OR((LEFT($F125,3)="ДОК"),$H125=""),0,IFERROR(INDEX(Материалы!$H$2:$H$9000,MATCH($H125,Материалы!$M$2:$M$9000,0))*IF(INDEX(Материалы!$I$2:$I$9000,MATCH($H125,Материалы!$M$2:$M$9000,0))="USD",КурсUSD,IF(INDEX(Материалы!$I$2:$I$9000,MATCH($H125,Материалы!$M$2:$M$9000,0))="EUR",КурсEUR,1))*(1+IFERROR(INDEX(Работы!$I$2:$I$6000,MATCH($C125,Работы!$A$2:$A$6000,0))/100,0))*(1-MEDIAN(0,N(ДисконтТендер),1)),0))</f>
        <v>0</v>
      </c>
      <c r="L125" s="6">
        <f t="shared" si="7"/>
        <v>0</v>
      </c>
      <c r="M125" s="6">
        <f t="shared" si="8"/>
        <v>0</v>
      </c>
      <c r="N125" s="6">
        <f t="shared" si="9"/>
        <v>0</v>
      </c>
      <c r="O125" t="str">
        <f>IF($N125&gt;0,MAX($O$1:$O124)+1,"")</f>
        <v/>
      </c>
      <c r="P125" t="str">
        <f>IF($C125="","",IFERROR(INDEX(Работы!$D$2:$D$6000,MATCH($C125,Работы!$A$2:$A$6000,0)),""))</f>
        <v/>
      </c>
      <c r="Q125" t="str">
        <f t="shared" si="10"/>
        <v/>
      </c>
      <c r="R125" t="str">
        <f t="shared" si="11"/>
        <v/>
      </c>
      <c r="S125" t="str">
        <f>IF($P125="","",$P125&amp;" · "&amp;IFERROR(INDEX(Работы!$E$2:$E$6000,MATCH($C125,Работы!$A$2:$A$6000,0)),""))</f>
        <v/>
      </c>
    </row>
    <row r="126" spans="1:19" x14ac:dyDescent="0.3">
      <c r="A126" s="4"/>
      <c r="B126" s="4"/>
      <c r="C126" t="str">
        <f t="shared" si="6"/>
        <v/>
      </c>
      <c r="D126" s="5" t="str">
        <f>IF($C126="","",IF(AND(LEFT($F126,3)="ДОК",$H126&lt;&gt;""),IFERROR(INDEX(Документация!$G$2:$G$57,MATCH($H126,Документация!$F$2:$F$57,0)),"— вариант не найден —"),IFERROR(INDEX(Работы!$B$2:$B$6000,MATCH($C126,Работы!$A$2:$A$6000,0)),"— нет такого кода —")))</f>
        <v/>
      </c>
      <c r="E126" t="str">
        <f>IF($C126="","",IF(AND(LEFT($F126,3)="ДОК",$H126&lt;&gt;""),IFERROR(INDEX(Документация!$D$2:$D$57,MATCH($H126,Документация!$F$2:$F$57,0)),""),IFERROR(INDEX(Работы!$C$2:$C$6000,MATCH($C126,Работы!$A$2:$A$6000,0)),"")))</f>
        <v/>
      </c>
      <c r="F126" t="str">
        <f>IF($C126="","",IFERROR(INDEX(Работы!$G$2:$G$6000,MATCH($C126,Работы!$A$2:$A$6000,0))&amp;"",""))</f>
        <v/>
      </c>
      <c r="G126" s="4"/>
      <c r="H126" s="4"/>
      <c r="I126" s="5" t="str">
        <f>IF((LEFT($F126,3)="ДОК"),"",IF($H126="","",IFERROR(INDEX(Материалы!$B$2:$B$9000,MATCH($H126,Материалы!$M$2:$M$9000,0)),"")))</f>
        <v/>
      </c>
      <c r="J126" s="6">
        <f>IF(AND(LEFT($F126,3)="ДОК",$H126&lt;&gt;""),IFERROR(INDEX(Документация!$E$2:$E$57,MATCH($H126,Документация!$F$2:$F$57,0)),0),IFERROR(INDEX(Работы!$H$2:$H$6000,MATCH($C126,Работы!$A$2:$A$6000,0)),0))*(1-MEDIAN(0,N(ДисконтТендер),1))</f>
        <v>0</v>
      </c>
      <c r="K126" s="6">
        <f>IF(OR((LEFT($F126,3)="ДОК"),$H126=""),0,IFERROR(INDEX(Материалы!$H$2:$H$9000,MATCH($H126,Материалы!$M$2:$M$9000,0))*IF(INDEX(Материалы!$I$2:$I$9000,MATCH($H126,Материалы!$M$2:$M$9000,0))="USD",КурсUSD,IF(INDEX(Материалы!$I$2:$I$9000,MATCH($H126,Материалы!$M$2:$M$9000,0))="EUR",КурсEUR,1))*(1+IFERROR(INDEX(Работы!$I$2:$I$6000,MATCH($C126,Работы!$A$2:$A$6000,0))/100,0))*(1-MEDIAN(0,N(ДисконтТендер),1)),0))</f>
        <v>0</v>
      </c>
      <c r="L126" s="6">
        <f t="shared" si="7"/>
        <v>0</v>
      </c>
      <c r="M126" s="6">
        <f t="shared" si="8"/>
        <v>0</v>
      </c>
      <c r="N126" s="6">
        <f t="shared" si="9"/>
        <v>0</v>
      </c>
      <c r="O126" t="str">
        <f>IF($N126&gt;0,MAX($O$1:$O125)+1,"")</f>
        <v/>
      </c>
      <c r="P126" t="str">
        <f>IF($C126="","",IFERROR(INDEX(Работы!$D$2:$D$6000,MATCH($C126,Работы!$A$2:$A$6000,0)),""))</f>
        <v/>
      </c>
      <c r="Q126" t="str">
        <f t="shared" si="10"/>
        <v/>
      </c>
      <c r="R126" t="str">
        <f t="shared" si="11"/>
        <v/>
      </c>
      <c r="S126" t="str">
        <f>IF($P126="","",$P126&amp;" · "&amp;IFERROR(INDEX(Работы!$E$2:$E$6000,MATCH($C126,Работы!$A$2:$A$6000,0)),""))</f>
        <v/>
      </c>
    </row>
    <row r="127" spans="1:19" x14ac:dyDescent="0.3">
      <c r="A127" s="4"/>
      <c r="B127" s="4"/>
      <c r="C127" t="str">
        <f t="shared" si="6"/>
        <v/>
      </c>
      <c r="D127" s="5" t="str">
        <f>IF($C127="","",IF(AND(LEFT($F127,3)="ДОК",$H127&lt;&gt;""),IFERROR(INDEX(Документация!$G$2:$G$57,MATCH($H127,Документация!$F$2:$F$57,0)),"— вариант не найден —"),IFERROR(INDEX(Работы!$B$2:$B$6000,MATCH($C127,Работы!$A$2:$A$6000,0)),"— нет такого кода —")))</f>
        <v/>
      </c>
      <c r="E127" t="str">
        <f>IF($C127="","",IF(AND(LEFT($F127,3)="ДОК",$H127&lt;&gt;""),IFERROR(INDEX(Документация!$D$2:$D$57,MATCH($H127,Документация!$F$2:$F$57,0)),""),IFERROR(INDEX(Работы!$C$2:$C$6000,MATCH($C127,Работы!$A$2:$A$6000,0)),"")))</f>
        <v/>
      </c>
      <c r="F127" t="str">
        <f>IF($C127="","",IFERROR(INDEX(Работы!$G$2:$G$6000,MATCH($C127,Работы!$A$2:$A$6000,0))&amp;"",""))</f>
        <v/>
      </c>
      <c r="G127" s="4"/>
      <c r="H127" s="4"/>
      <c r="I127" s="5" t="str">
        <f>IF((LEFT($F127,3)="ДОК"),"",IF($H127="","",IFERROR(INDEX(Материалы!$B$2:$B$9000,MATCH($H127,Материалы!$M$2:$M$9000,0)),"")))</f>
        <v/>
      </c>
      <c r="J127" s="6">
        <f>IF(AND(LEFT($F127,3)="ДОК",$H127&lt;&gt;""),IFERROR(INDEX(Документация!$E$2:$E$57,MATCH($H127,Документация!$F$2:$F$57,0)),0),IFERROR(INDEX(Работы!$H$2:$H$6000,MATCH($C127,Работы!$A$2:$A$6000,0)),0))*(1-MEDIAN(0,N(ДисконтТендер),1))</f>
        <v>0</v>
      </c>
      <c r="K127" s="6">
        <f>IF(OR((LEFT($F127,3)="ДОК"),$H127=""),0,IFERROR(INDEX(Материалы!$H$2:$H$9000,MATCH($H127,Материалы!$M$2:$M$9000,0))*IF(INDEX(Материалы!$I$2:$I$9000,MATCH($H127,Материалы!$M$2:$M$9000,0))="USD",КурсUSD,IF(INDEX(Материалы!$I$2:$I$9000,MATCH($H127,Материалы!$M$2:$M$9000,0))="EUR",КурсEUR,1))*(1+IFERROR(INDEX(Работы!$I$2:$I$6000,MATCH($C127,Работы!$A$2:$A$6000,0))/100,0))*(1-MEDIAN(0,N(ДисконтТендер),1)),0))</f>
        <v>0</v>
      </c>
      <c r="L127" s="6">
        <f t="shared" si="7"/>
        <v>0</v>
      </c>
      <c r="M127" s="6">
        <f t="shared" si="8"/>
        <v>0</v>
      </c>
      <c r="N127" s="6">
        <f t="shared" si="9"/>
        <v>0</v>
      </c>
      <c r="O127" t="str">
        <f>IF($N127&gt;0,MAX($O$1:$O126)+1,"")</f>
        <v/>
      </c>
      <c r="P127" t="str">
        <f>IF($C127="","",IFERROR(INDEX(Работы!$D$2:$D$6000,MATCH($C127,Работы!$A$2:$A$6000,0)),""))</f>
        <v/>
      </c>
      <c r="Q127" t="str">
        <f t="shared" si="10"/>
        <v/>
      </c>
      <c r="R127" t="str">
        <f t="shared" si="11"/>
        <v/>
      </c>
      <c r="S127" t="str">
        <f>IF($P127="","",$P127&amp;" · "&amp;IFERROR(INDEX(Работы!$E$2:$E$6000,MATCH($C127,Работы!$A$2:$A$6000,0)),""))</f>
        <v/>
      </c>
    </row>
    <row r="128" spans="1:19" x14ac:dyDescent="0.3">
      <c r="A128" s="4"/>
      <c r="B128" s="4"/>
      <c r="C128" t="str">
        <f t="shared" si="6"/>
        <v/>
      </c>
      <c r="D128" s="5" t="str">
        <f>IF($C128="","",IF(AND(LEFT($F128,3)="ДОК",$H128&lt;&gt;""),IFERROR(INDEX(Документация!$G$2:$G$57,MATCH($H128,Документация!$F$2:$F$57,0)),"— вариант не найден —"),IFERROR(INDEX(Работы!$B$2:$B$6000,MATCH($C128,Работы!$A$2:$A$6000,0)),"— нет такого кода —")))</f>
        <v/>
      </c>
      <c r="E128" t="str">
        <f>IF($C128="","",IF(AND(LEFT($F128,3)="ДОК",$H128&lt;&gt;""),IFERROR(INDEX(Документация!$D$2:$D$57,MATCH($H128,Документация!$F$2:$F$57,0)),""),IFERROR(INDEX(Работы!$C$2:$C$6000,MATCH($C128,Работы!$A$2:$A$6000,0)),"")))</f>
        <v/>
      </c>
      <c r="F128" t="str">
        <f>IF($C128="","",IFERROR(INDEX(Работы!$G$2:$G$6000,MATCH($C128,Работы!$A$2:$A$6000,0))&amp;"",""))</f>
        <v/>
      </c>
      <c r="G128" s="4"/>
      <c r="H128" s="4"/>
      <c r="I128" s="5" t="str">
        <f>IF((LEFT($F128,3)="ДОК"),"",IF($H128="","",IFERROR(INDEX(Материалы!$B$2:$B$9000,MATCH($H128,Материалы!$M$2:$M$9000,0)),"")))</f>
        <v/>
      </c>
      <c r="J128" s="6">
        <f>IF(AND(LEFT($F128,3)="ДОК",$H128&lt;&gt;""),IFERROR(INDEX(Документация!$E$2:$E$57,MATCH($H128,Документация!$F$2:$F$57,0)),0),IFERROR(INDEX(Работы!$H$2:$H$6000,MATCH($C128,Работы!$A$2:$A$6000,0)),0))*(1-MEDIAN(0,N(ДисконтТендер),1))</f>
        <v>0</v>
      </c>
      <c r="K128" s="6">
        <f>IF(OR((LEFT($F128,3)="ДОК"),$H128=""),0,IFERROR(INDEX(Материалы!$H$2:$H$9000,MATCH($H128,Материалы!$M$2:$M$9000,0))*IF(INDEX(Материалы!$I$2:$I$9000,MATCH($H128,Материалы!$M$2:$M$9000,0))="USD",КурсUSD,IF(INDEX(Материалы!$I$2:$I$9000,MATCH($H128,Материалы!$M$2:$M$9000,0))="EUR",КурсEUR,1))*(1+IFERROR(INDEX(Работы!$I$2:$I$6000,MATCH($C128,Работы!$A$2:$A$6000,0))/100,0))*(1-MEDIAN(0,N(ДисконтТендер),1)),0))</f>
        <v>0</v>
      </c>
      <c r="L128" s="6">
        <f t="shared" si="7"/>
        <v>0</v>
      </c>
      <c r="M128" s="6">
        <f t="shared" si="8"/>
        <v>0</v>
      </c>
      <c r="N128" s="6">
        <f t="shared" si="9"/>
        <v>0</v>
      </c>
      <c r="O128" t="str">
        <f>IF($N128&gt;0,MAX($O$1:$O127)+1,"")</f>
        <v/>
      </c>
      <c r="P128" t="str">
        <f>IF($C128="","",IFERROR(INDEX(Работы!$D$2:$D$6000,MATCH($C128,Работы!$A$2:$A$6000,0)),""))</f>
        <v/>
      </c>
      <c r="Q128" t="str">
        <f t="shared" si="10"/>
        <v/>
      </c>
      <c r="R128" t="str">
        <f t="shared" si="11"/>
        <v/>
      </c>
      <c r="S128" t="str">
        <f>IF($P128="","",$P128&amp;" · "&amp;IFERROR(INDEX(Работы!$E$2:$E$6000,MATCH($C128,Работы!$A$2:$A$6000,0)),""))</f>
        <v/>
      </c>
    </row>
    <row r="129" spans="1:19" x14ac:dyDescent="0.3">
      <c r="A129" s="4"/>
      <c r="B129" s="4"/>
      <c r="C129" t="str">
        <f t="shared" si="6"/>
        <v/>
      </c>
      <c r="D129" s="5" t="str">
        <f>IF($C129="","",IF(AND(LEFT($F129,3)="ДОК",$H129&lt;&gt;""),IFERROR(INDEX(Документация!$G$2:$G$57,MATCH($H129,Документация!$F$2:$F$57,0)),"— вариант не найден —"),IFERROR(INDEX(Работы!$B$2:$B$6000,MATCH($C129,Работы!$A$2:$A$6000,0)),"— нет такого кода —")))</f>
        <v/>
      </c>
      <c r="E129" t="str">
        <f>IF($C129="","",IF(AND(LEFT($F129,3)="ДОК",$H129&lt;&gt;""),IFERROR(INDEX(Документация!$D$2:$D$57,MATCH($H129,Документация!$F$2:$F$57,0)),""),IFERROR(INDEX(Работы!$C$2:$C$6000,MATCH($C129,Работы!$A$2:$A$6000,0)),"")))</f>
        <v/>
      </c>
      <c r="F129" t="str">
        <f>IF($C129="","",IFERROR(INDEX(Работы!$G$2:$G$6000,MATCH($C129,Работы!$A$2:$A$6000,0))&amp;"",""))</f>
        <v/>
      </c>
      <c r="G129" s="4"/>
      <c r="H129" s="4"/>
      <c r="I129" s="5" t="str">
        <f>IF((LEFT($F129,3)="ДОК"),"",IF($H129="","",IFERROR(INDEX(Материалы!$B$2:$B$9000,MATCH($H129,Материалы!$M$2:$M$9000,0)),"")))</f>
        <v/>
      </c>
      <c r="J129" s="6">
        <f>IF(AND(LEFT($F129,3)="ДОК",$H129&lt;&gt;""),IFERROR(INDEX(Документация!$E$2:$E$57,MATCH($H129,Документация!$F$2:$F$57,0)),0),IFERROR(INDEX(Работы!$H$2:$H$6000,MATCH($C129,Работы!$A$2:$A$6000,0)),0))*(1-MEDIAN(0,N(ДисконтТендер),1))</f>
        <v>0</v>
      </c>
      <c r="K129" s="6">
        <f>IF(OR((LEFT($F129,3)="ДОК"),$H129=""),0,IFERROR(INDEX(Материалы!$H$2:$H$9000,MATCH($H129,Материалы!$M$2:$M$9000,0))*IF(INDEX(Материалы!$I$2:$I$9000,MATCH($H129,Материалы!$M$2:$M$9000,0))="USD",КурсUSD,IF(INDEX(Материалы!$I$2:$I$9000,MATCH($H129,Материалы!$M$2:$M$9000,0))="EUR",КурсEUR,1))*(1+IFERROR(INDEX(Работы!$I$2:$I$6000,MATCH($C129,Работы!$A$2:$A$6000,0))/100,0))*(1-MEDIAN(0,N(ДисконтТендер),1)),0))</f>
        <v>0</v>
      </c>
      <c r="L129" s="6">
        <f t="shared" si="7"/>
        <v>0</v>
      </c>
      <c r="M129" s="6">
        <f t="shared" si="8"/>
        <v>0</v>
      </c>
      <c r="N129" s="6">
        <f t="shared" si="9"/>
        <v>0</v>
      </c>
      <c r="O129" t="str">
        <f>IF($N129&gt;0,MAX($O$1:$O128)+1,"")</f>
        <v/>
      </c>
      <c r="P129" t="str">
        <f>IF($C129="","",IFERROR(INDEX(Работы!$D$2:$D$6000,MATCH($C129,Работы!$A$2:$A$6000,0)),""))</f>
        <v/>
      </c>
      <c r="Q129" t="str">
        <f t="shared" si="10"/>
        <v/>
      </c>
      <c r="R129" t="str">
        <f t="shared" si="11"/>
        <v/>
      </c>
      <c r="S129" t="str">
        <f>IF($P129="","",$P129&amp;" · "&amp;IFERROR(INDEX(Работы!$E$2:$E$6000,MATCH($C129,Работы!$A$2:$A$6000,0)),""))</f>
        <v/>
      </c>
    </row>
    <row r="130" spans="1:19" x14ac:dyDescent="0.3">
      <c r="A130" s="4"/>
      <c r="B130" s="4"/>
      <c r="C130" t="str">
        <f t="shared" ref="C130:C193" si="12">IF($B130="","",IFERROR(LEFT($B130,FIND(" — ",$B130)-1),$B130))</f>
        <v/>
      </c>
      <c r="D130" s="5" t="str">
        <f>IF($C130="","",IF(AND(LEFT($F130,3)="ДОК",$H130&lt;&gt;""),IFERROR(INDEX(Документация!$G$2:$G$57,MATCH($H130,Документация!$F$2:$F$57,0)),"— вариант не найден —"),IFERROR(INDEX(Работы!$B$2:$B$6000,MATCH($C130,Работы!$A$2:$A$6000,0)),"— нет такого кода —")))</f>
        <v/>
      </c>
      <c r="E130" t="str">
        <f>IF($C130="","",IF(AND(LEFT($F130,3)="ДОК",$H130&lt;&gt;""),IFERROR(INDEX(Документация!$D$2:$D$57,MATCH($H130,Документация!$F$2:$F$57,0)),""),IFERROR(INDEX(Работы!$C$2:$C$6000,MATCH($C130,Работы!$A$2:$A$6000,0)),"")))</f>
        <v/>
      </c>
      <c r="F130" t="str">
        <f>IF($C130="","",IFERROR(INDEX(Работы!$G$2:$G$6000,MATCH($C130,Работы!$A$2:$A$6000,0))&amp;"",""))</f>
        <v/>
      </c>
      <c r="G130" s="4"/>
      <c r="H130" s="4"/>
      <c r="I130" s="5" t="str">
        <f>IF((LEFT($F130,3)="ДОК"),"",IF($H130="","",IFERROR(INDEX(Материалы!$B$2:$B$9000,MATCH($H130,Материалы!$M$2:$M$9000,0)),"")))</f>
        <v/>
      </c>
      <c r="J130" s="6">
        <f>IF(AND(LEFT($F130,3)="ДОК",$H130&lt;&gt;""),IFERROR(INDEX(Документация!$E$2:$E$57,MATCH($H130,Документация!$F$2:$F$57,0)),0),IFERROR(INDEX(Работы!$H$2:$H$6000,MATCH($C130,Работы!$A$2:$A$6000,0)),0))*(1-MEDIAN(0,N(ДисконтТендер),1))</f>
        <v>0</v>
      </c>
      <c r="K130" s="6">
        <f>IF(OR((LEFT($F130,3)="ДОК"),$H130=""),0,IFERROR(INDEX(Материалы!$H$2:$H$9000,MATCH($H130,Материалы!$M$2:$M$9000,0))*IF(INDEX(Материалы!$I$2:$I$9000,MATCH($H130,Материалы!$M$2:$M$9000,0))="USD",КурсUSD,IF(INDEX(Материалы!$I$2:$I$9000,MATCH($H130,Материалы!$M$2:$M$9000,0))="EUR",КурсEUR,1))*(1+IFERROR(INDEX(Работы!$I$2:$I$6000,MATCH($C130,Работы!$A$2:$A$6000,0))/100,0))*(1-MEDIAN(0,N(ДисконтТендер),1)),0))</f>
        <v>0</v>
      </c>
      <c r="L130" s="6">
        <f t="shared" ref="L130:L193" si="13">IF($G130&lt;&gt;"",ROUND($G130*$J130,2),0)</f>
        <v>0</v>
      </c>
      <c r="M130" s="6">
        <f t="shared" ref="M130:M193" si="14">IF($G130&lt;&gt;"",ROUND($G130*$K130,2),0)</f>
        <v>0</v>
      </c>
      <c r="N130" s="6">
        <f t="shared" ref="N130:N193" si="15">$L130+$M130</f>
        <v>0</v>
      </c>
      <c r="O130" t="str">
        <f>IF($N130&gt;0,MAX($O$1:$O129)+1,"")</f>
        <v/>
      </c>
      <c r="P130" t="str">
        <f>IF($C130="","",IFERROR(INDEX(Работы!$D$2:$D$6000,MATCH($C130,Работы!$A$2:$A$6000,0)),""))</f>
        <v/>
      </c>
      <c r="Q130" t="str">
        <f t="shared" ref="Q130:Q193" si="16">IF($O130="","",IF($O130=1,1,IF($P130&lt;&gt;IFERROR(INDEX($P$2:$P$501,MATCH($O130-1,$O$2:$O$501,0)),"~"),1,0)))</f>
        <v/>
      </c>
      <c r="R130" t="str">
        <f t="shared" ref="R130:R193" si="17">IF($O130="","",$O130+SUMIFS($Q$2:$Q$501,$O$2:$O$501,"&lt;="&amp;$O130))</f>
        <v/>
      </c>
      <c r="S130" t="str">
        <f>IF($P130="","",$P130&amp;" · "&amp;IFERROR(INDEX(Работы!$E$2:$E$6000,MATCH($C130,Работы!$A$2:$A$6000,0)),""))</f>
        <v/>
      </c>
    </row>
    <row r="131" spans="1:19" x14ac:dyDescent="0.3">
      <c r="A131" s="4"/>
      <c r="B131" s="4"/>
      <c r="C131" t="str">
        <f t="shared" si="12"/>
        <v/>
      </c>
      <c r="D131" s="5" t="str">
        <f>IF($C131="","",IF(AND(LEFT($F131,3)="ДОК",$H131&lt;&gt;""),IFERROR(INDEX(Документация!$G$2:$G$57,MATCH($H131,Документация!$F$2:$F$57,0)),"— вариант не найден —"),IFERROR(INDEX(Работы!$B$2:$B$6000,MATCH($C131,Работы!$A$2:$A$6000,0)),"— нет такого кода —")))</f>
        <v/>
      </c>
      <c r="E131" t="str">
        <f>IF($C131="","",IF(AND(LEFT($F131,3)="ДОК",$H131&lt;&gt;""),IFERROR(INDEX(Документация!$D$2:$D$57,MATCH($H131,Документация!$F$2:$F$57,0)),""),IFERROR(INDEX(Работы!$C$2:$C$6000,MATCH($C131,Работы!$A$2:$A$6000,0)),"")))</f>
        <v/>
      </c>
      <c r="F131" t="str">
        <f>IF($C131="","",IFERROR(INDEX(Работы!$G$2:$G$6000,MATCH($C131,Работы!$A$2:$A$6000,0))&amp;"",""))</f>
        <v/>
      </c>
      <c r="G131" s="4"/>
      <c r="H131" s="4"/>
      <c r="I131" s="5" t="str">
        <f>IF((LEFT($F131,3)="ДОК"),"",IF($H131="","",IFERROR(INDEX(Материалы!$B$2:$B$9000,MATCH($H131,Материалы!$M$2:$M$9000,0)),"")))</f>
        <v/>
      </c>
      <c r="J131" s="6">
        <f>IF(AND(LEFT($F131,3)="ДОК",$H131&lt;&gt;""),IFERROR(INDEX(Документация!$E$2:$E$57,MATCH($H131,Документация!$F$2:$F$57,0)),0),IFERROR(INDEX(Работы!$H$2:$H$6000,MATCH($C131,Работы!$A$2:$A$6000,0)),0))*(1-MEDIAN(0,N(ДисконтТендер),1))</f>
        <v>0</v>
      </c>
      <c r="K131" s="6">
        <f>IF(OR((LEFT($F131,3)="ДОК"),$H131=""),0,IFERROR(INDEX(Материалы!$H$2:$H$9000,MATCH($H131,Материалы!$M$2:$M$9000,0))*IF(INDEX(Материалы!$I$2:$I$9000,MATCH($H131,Материалы!$M$2:$M$9000,0))="USD",КурсUSD,IF(INDEX(Материалы!$I$2:$I$9000,MATCH($H131,Материалы!$M$2:$M$9000,0))="EUR",КурсEUR,1))*(1+IFERROR(INDEX(Работы!$I$2:$I$6000,MATCH($C131,Работы!$A$2:$A$6000,0))/100,0))*(1-MEDIAN(0,N(ДисконтТендер),1)),0))</f>
        <v>0</v>
      </c>
      <c r="L131" s="6">
        <f t="shared" si="13"/>
        <v>0</v>
      </c>
      <c r="M131" s="6">
        <f t="shared" si="14"/>
        <v>0</v>
      </c>
      <c r="N131" s="6">
        <f t="shared" si="15"/>
        <v>0</v>
      </c>
      <c r="O131" t="str">
        <f>IF($N131&gt;0,MAX($O$1:$O130)+1,"")</f>
        <v/>
      </c>
      <c r="P131" t="str">
        <f>IF($C131="","",IFERROR(INDEX(Работы!$D$2:$D$6000,MATCH($C131,Работы!$A$2:$A$6000,0)),""))</f>
        <v/>
      </c>
      <c r="Q131" t="str">
        <f t="shared" si="16"/>
        <v/>
      </c>
      <c r="R131" t="str">
        <f t="shared" si="17"/>
        <v/>
      </c>
      <c r="S131" t="str">
        <f>IF($P131="","",$P131&amp;" · "&amp;IFERROR(INDEX(Работы!$E$2:$E$6000,MATCH($C131,Работы!$A$2:$A$6000,0)),""))</f>
        <v/>
      </c>
    </row>
    <row r="132" spans="1:19" x14ac:dyDescent="0.3">
      <c r="A132" s="4"/>
      <c r="B132" s="4"/>
      <c r="C132" t="str">
        <f t="shared" si="12"/>
        <v/>
      </c>
      <c r="D132" s="5" t="str">
        <f>IF($C132="","",IF(AND(LEFT($F132,3)="ДОК",$H132&lt;&gt;""),IFERROR(INDEX(Документация!$G$2:$G$57,MATCH($H132,Документация!$F$2:$F$57,0)),"— вариант не найден —"),IFERROR(INDEX(Работы!$B$2:$B$6000,MATCH($C132,Работы!$A$2:$A$6000,0)),"— нет такого кода —")))</f>
        <v/>
      </c>
      <c r="E132" t="str">
        <f>IF($C132="","",IF(AND(LEFT($F132,3)="ДОК",$H132&lt;&gt;""),IFERROR(INDEX(Документация!$D$2:$D$57,MATCH($H132,Документация!$F$2:$F$57,0)),""),IFERROR(INDEX(Работы!$C$2:$C$6000,MATCH($C132,Работы!$A$2:$A$6000,0)),"")))</f>
        <v/>
      </c>
      <c r="F132" t="str">
        <f>IF($C132="","",IFERROR(INDEX(Работы!$G$2:$G$6000,MATCH($C132,Работы!$A$2:$A$6000,0))&amp;"",""))</f>
        <v/>
      </c>
      <c r="G132" s="4"/>
      <c r="H132" s="4"/>
      <c r="I132" s="5" t="str">
        <f>IF((LEFT($F132,3)="ДОК"),"",IF($H132="","",IFERROR(INDEX(Материалы!$B$2:$B$9000,MATCH($H132,Материалы!$M$2:$M$9000,0)),"")))</f>
        <v/>
      </c>
      <c r="J132" s="6">
        <f>IF(AND(LEFT($F132,3)="ДОК",$H132&lt;&gt;""),IFERROR(INDEX(Документация!$E$2:$E$57,MATCH($H132,Документация!$F$2:$F$57,0)),0),IFERROR(INDEX(Работы!$H$2:$H$6000,MATCH($C132,Работы!$A$2:$A$6000,0)),0))*(1-MEDIAN(0,N(ДисконтТендер),1))</f>
        <v>0</v>
      </c>
      <c r="K132" s="6">
        <f>IF(OR((LEFT($F132,3)="ДОК"),$H132=""),0,IFERROR(INDEX(Материалы!$H$2:$H$9000,MATCH($H132,Материалы!$M$2:$M$9000,0))*IF(INDEX(Материалы!$I$2:$I$9000,MATCH($H132,Материалы!$M$2:$M$9000,0))="USD",КурсUSD,IF(INDEX(Материалы!$I$2:$I$9000,MATCH($H132,Материалы!$M$2:$M$9000,0))="EUR",КурсEUR,1))*(1+IFERROR(INDEX(Работы!$I$2:$I$6000,MATCH($C132,Работы!$A$2:$A$6000,0))/100,0))*(1-MEDIAN(0,N(ДисконтТендер),1)),0))</f>
        <v>0</v>
      </c>
      <c r="L132" s="6">
        <f t="shared" si="13"/>
        <v>0</v>
      </c>
      <c r="M132" s="6">
        <f t="shared" si="14"/>
        <v>0</v>
      </c>
      <c r="N132" s="6">
        <f t="shared" si="15"/>
        <v>0</v>
      </c>
      <c r="O132" t="str">
        <f>IF($N132&gt;0,MAX($O$1:$O131)+1,"")</f>
        <v/>
      </c>
      <c r="P132" t="str">
        <f>IF($C132="","",IFERROR(INDEX(Работы!$D$2:$D$6000,MATCH($C132,Работы!$A$2:$A$6000,0)),""))</f>
        <v/>
      </c>
      <c r="Q132" t="str">
        <f t="shared" si="16"/>
        <v/>
      </c>
      <c r="R132" t="str">
        <f t="shared" si="17"/>
        <v/>
      </c>
      <c r="S132" t="str">
        <f>IF($P132="","",$P132&amp;" · "&amp;IFERROR(INDEX(Работы!$E$2:$E$6000,MATCH($C132,Работы!$A$2:$A$6000,0)),""))</f>
        <v/>
      </c>
    </row>
    <row r="133" spans="1:19" x14ac:dyDescent="0.3">
      <c r="A133" s="4"/>
      <c r="B133" s="4"/>
      <c r="C133" t="str">
        <f t="shared" si="12"/>
        <v/>
      </c>
      <c r="D133" s="5" t="str">
        <f>IF($C133="","",IF(AND(LEFT($F133,3)="ДОК",$H133&lt;&gt;""),IFERROR(INDEX(Документация!$G$2:$G$57,MATCH($H133,Документация!$F$2:$F$57,0)),"— вариант не найден —"),IFERROR(INDEX(Работы!$B$2:$B$6000,MATCH($C133,Работы!$A$2:$A$6000,0)),"— нет такого кода —")))</f>
        <v/>
      </c>
      <c r="E133" t="str">
        <f>IF($C133="","",IF(AND(LEFT($F133,3)="ДОК",$H133&lt;&gt;""),IFERROR(INDEX(Документация!$D$2:$D$57,MATCH($H133,Документация!$F$2:$F$57,0)),""),IFERROR(INDEX(Работы!$C$2:$C$6000,MATCH($C133,Работы!$A$2:$A$6000,0)),"")))</f>
        <v/>
      </c>
      <c r="F133" t="str">
        <f>IF($C133="","",IFERROR(INDEX(Работы!$G$2:$G$6000,MATCH($C133,Работы!$A$2:$A$6000,0))&amp;"",""))</f>
        <v/>
      </c>
      <c r="G133" s="4"/>
      <c r="H133" s="4"/>
      <c r="I133" s="5" t="str">
        <f>IF((LEFT($F133,3)="ДОК"),"",IF($H133="","",IFERROR(INDEX(Материалы!$B$2:$B$9000,MATCH($H133,Материалы!$M$2:$M$9000,0)),"")))</f>
        <v/>
      </c>
      <c r="J133" s="6">
        <f>IF(AND(LEFT($F133,3)="ДОК",$H133&lt;&gt;""),IFERROR(INDEX(Документация!$E$2:$E$57,MATCH($H133,Документация!$F$2:$F$57,0)),0),IFERROR(INDEX(Работы!$H$2:$H$6000,MATCH($C133,Работы!$A$2:$A$6000,0)),0))*(1-MEDIAN(0,N(ДисконтТендер),1))</f>
        <v>0</v>
      </c>
      <c r="K133" s="6">
        <f>IF(OR((LEFT($F133,3)="ДОК"),$H133=""),0,IFERROR(INDEX(Материалы!$H$2:$H$9000,MATCH($H133,Материалы!$M$2:$M$9000,0))*IF(INDEX(Материалы!$I$2:$I$9000,MATCH($H133,Материалы!$M$2:$M$9000,0))="USD",КурсUSD,IF(INDEX(Материалы!$I$2:$I$9000,MATCH($H133,Материалы!$M$2:$M$9000,0))="EUR",КурсEUR,1))*(1+IFERROR(INDEX(Работы!$I$2:$I$6000,MATCH($C133,Работы!$A$2:$A$6000,0))/100,0))*(1-MEDIAN(0,N(ДисконтТендер),1)),0))</f>
        <v>0</v>
      </c>
      <c r="L133" s="6">
        <f t="shared" si="13"/>
        <v>0</v>
      </c>
      <c r="M133" s="6">
        <f t="shared" si="14"/>
        <v>0</v>
      </c>
      <c r="N133" s="6">
        <f t="shared" si="15"/>
        <v>0</v>
      </c>
      <c r="O133" t="str">
        <f>IF($N133&gt;0,MAX($O$1:$O132)+1,"")</f>
        <v/>
      </c>
      <c r="P133" t="str">
        <f>IF($C133="","",IFERROR(INDEX(Работы!$D$2:$D$6000,MATCH($C133,Работы!$A$2:$A$6000,0)),""))</f>
        <v/>
      </c>
      <c r="Q133" t="str">
        <f t="shared" si="16"/>
        <v/>
      </c>
      <c r="R133" t="str">
        <f t="shared" si="17"/>
        <v/>
      </c>
      <c r="S133" t="str">
        <f>IF($P133="","",$P133&amp;" · "&amp;IFERROR(INDEX(Работы!$E$2:$E$6000,MATCH($C133,Работы!$A$2:$A$6000,0)),""))</f>
        <v/>
      </c>
    </row>
    <row r="134" spans="1:19" x14ac:dyDescent="0.3">
      <c r="A134" s="4"/>
      <c r="B134" s="4"/>
      <c r="C134" t="str">
        <f t="shared" si="12"/>
        <v/>
      </c>
      <c r="D134" s="5" t="str">
        <f>IF($C134="","",IF(AND(LEFT($F134,3)="ДОК",$H134&lt;&gt;""),IFERROR(INDEX(Документация!$G$2:$G$57,MATCH($H134,Документация!$F$2:$F$57,0)),"— вариант не найден —"),IFERROR(INDEX(Работы!$B$2:$B$6000,MATCH($C134,Работы!$A$2:$A$6000,0)),"— нет такого кода —")))</f>
        <v/>
      </c>
      <c r="E134" t="str">
        <f>IF($C134="","",IF(AND(LEFT($F134,3)="ДОК",$H134&lt;&gt;""),IFERROR(INDEX(Документация!$D$2:$D$57,MATCH($H134,Документация!$F$2:$F$57,0)),""),IFERROR(INDEX(Работы!$C$2:$C$6000,MATCH($C134,Работы!$A$2:$A$6000,0)),"")))</f>
        <v/>
      </c>
      <c r="F134" t="str">
        <f>IF($C134="","",IFERROR(INDEX(Работы!$G$2:$G$6000,MATCH($C134,Работы!$A$2:$A$6000,0))&amp;"",""))</f>
        <v/>
      </c>
      <c r="G134" s="4"/>
      <c r="H134" s="4"/>
      <c r="I134" s="5" t="str">
        <f>IF((LEFT($F134,3)="ДОК"),"",IF($H134="","",IFERROR(INDEX(Материалы!$B$2:$B$9000,MATCH($H134,Материалы!$M$2:$M$9000,0)),"")))</f>
        <v/>
      </c>
      <c r="J134" s="6">
        <f>IF(AND(LEFT($F134,3)="ДОК",$H134&lt;&gt;""),IFERROR(INDEX(Документация!$E$2:$E$57,MATCH($H134,Документация!$F$2:$F$57,0)),0),IFERROR(INDEX(Работы!$H$2:$H$6000,MATCH($C134,Работы!$A$2:$A$6000,0)),0))*(1-MEDIAN(0,N(ДисконтТендер),1))</f>
        <v>0</v>
      </c>
      <c r="K134" s="6">
        <f>IF(OR((LEFT($F134,3)="ДОК"),$H134=""),0,IFERROR(INDEX(Материалы!$H$2:$H$9000,MATCH($H134,Материалы!$M$2:$M$9000,0))*IF(INDEX(Материалы!$I$2:$I$9000,MATCH($H134,Материалы!$M$2:$M$9000,0))="USD",КурсUSD,IF(INDEX(Материалы!$I$2:$I$9000,MATCH($H134,Материалы!$M$2:$M$9000,0))="EUR",КурсEUR,1))*(1+IFERROR(INDEX(Работы!$I$2:$I$6000,MATCH($C134,Работы!$A$2:$A$6000,0))/100,0))*(1-MEDIAN(0,N(ДисконтТендер),1)),0))</f>
        <v>0</v>
      </c>
      <c r="L134" s="6">
        <f t="shared" si="13"/>
        <v>0</v>
      </c>
      <c r="M134" s="6">
        <f t="shared" si="14"/>
        <v>0</v>
      </c>
      <c r="N134" s="6">
        <f t="shared" si="15"/>
        <v>0</v>
      </c>
      <c r="O134" t="str">
        <f>IF($N134&gt;0,MAX($O$1:$O133)+1,"")</f>
        <v/>
      </c>
      <c r="P134" t="str">
        <f>IF($C134="","",IFERROR(INDEX(Работы!$D$2:$D$6000,MATCH($C134,Работы!$A$2:$A$6000,0)),""))</f>
        <v/>
      </c>
      <c r="Q134" t="str">
        <f t="shared" si="16"/>
        <v/>
      </c>
      <c r="R134" t="str">
        <f t="shared" si="17"/>
        <v/>
      </c>
      <c r="S134" t="str">
        <f>IF($P134="","",$P134&amp;" · "&amp;IFERROR(INDEX(Работы!$E$2:$E$6000,MATCH($C134,Работы!$A$2:$A$6000,0)),""))</f>
        <v/>
      </c>
    </row>
    <row r="135" spans="1:19" x14ac:dyDescent="0.3">
      <c r="A135" s="4"/>
      <c r="B135" s="4"/>
      <c r="C135" t="str">
        <f t="shared" si="12"/>
        <v/>
      </c>
      <c r="D135" s="5" t="str">
        <f>IF($C135="","",IF(AND(LEFT($F135,3)="ДОК",$H135&lt;&gt;""),IFERROR(INDEX(Документация!$G$2:$G$57,MATCH($H135,Документация!$F$2:$F$57,0)),"— вариант не найден —"),IFERROR(INDEX(Работы!$B$2:$B$6000,MATCH($C135,Работы!$A$2:$A$6000,0)),"— нет такого кода —")))</f>
        <v/>
      </c>
      <c r="E135" t="str">
        <f>IF($C135="","",IF(AND(LEFT($F135,3)="ДОК",$H135&lt;&gt;""),IFERROR(INDEX(Документация!$D$2:$D$57,MATCH($H135,Документация!$F$2:$F$57,0)),""),IFERROR(INDEX(Работы!$C$2:$C$6000,MATCH($C135,Работы!$A$2:$A$6000,0)),"")))</f>
        <v/>
      </c>
      <c r="F135" t="str">
        <f>IF($C135="","",IFERROR(INDEX(Работы!$G$2:$G$6000,MATCH($C135,Работы!$A$2:$A$6000,0))&amp;"",""))</f>
        <v/>
      </c>
      <c r="G135" s="4"/>
      <c r="H135" s="4"/>
      <c r="I135" s="5" t="str">
        <f>IF((LEFT($F135,3)="ДОК"),"",IF($H135="","",IFERROR(INDEX(Материалы!$B$2:$B$9000,MATCH($H135,Материалы!$M$2:$M$9000,0)),"")))</f>
        <v/>
      </c>
      <c r="J135" s="6">
        <f>IF(AND(LEFT($F135,3)="ДОК",$H135&lt;&gt;""),IFERROR(INDEX(Документация!$E$2:$E$57,MATCH($H135,Документация!$F$2:$F$57,0)),0),IFERROR(INDEX(Работы!$H$2:$H$6000,MATCH($C135,Работы!$A$2:$A$6000,0)),0))*(1-MEDIAN(0,N(ДисконтТендер),1))</f>
        <v>0</v>
      </c>
      <c r="K135" s="6">
        <f>IF(OR((LEFT($F135,3)="ДОК"),$H135=""),0,IFERROR(INDEX(Материалы!$H$2:$H$9000,MATCH($H135,Материалы!$M$2:$M$9000,0))*IF(INDEX(Материалы!$I$2:$I$9000,MATCH($H135,Материалы!$M$2:$M$9000,0))="USD",КурсUSD,IF(INDEX(Материалы!$I$2:$I$9000,MATCH($H135,Материалы!$M$2:$M$9000,0))="EUR",КурсEUR,1))*(1+IFERROR(INDEX(Работы!$I$2:$I$6000,MATCH($C135,Работы!$A$2:$A$6000,0))/100,0))*(1-MEDIAN(0,N(ДисконтТендер),1)),0))</f>
        <v>0</v>
      </c>
      <c r="L135" s="6">
        <f t="shared" si="13"/>
        <v>0</v>
      </c>
      <c r="M135" s="6">
        <f t="shared" si="14"/>
        <v>0</v>
      </c>
      <c r="N135" s="6">
        <f t="shared" si="15"/>
        <v>0</v>
      </c>
      <c r="O135" t="str">
        <f>IF($N135&gt;0,MAX($O$1:$O134)+1,"")</f>
        <v/>
      </c>
      <c r="P135" t="str">
        <f>IF($C135="","",IFERROR(INDEX(Работы!$D$2:$D$6000,MATCH($C135,Работы!$A$2:$A$6000,0)),""))</f>
        <v/>
      </c>
      <c r="Q135" t="str">
        <f t="shared" si="16"/>
        <v/>
      </c>
      <c r="R135" t="str">
        <f t="shared" si="17"/>
        <v/>
      </c>
      <c r="S135" t="str">
        <f>IF($P135="","",$P135&amp;" · "&amp;IFERROR(INDEX(Работы!$E$2:$E$6000,MATCH($C135,Работы!$A$2:$A$6000,0)),""))</f>
        <v/>
      </c>
    </row>
    <row r="136" spans="1:19" x14ac:dyDescent="0.3">
      <c r="A136" s="4"/>
      <c r="B136" s="4"/>
      <c r="C136" t="str">
        <f t="shared" si="12"/>
        <v/>
      </c>
      <c r="D136" s="5" t="str">
        <f>IF($C136="","",IF(AND(LEFT($F136,3)="ДОК",$H136&lt;&gt;""),IFERROR(INDEX(Документация!$G$2:$G$57,MATCH($H136,Документация!$F$2:$F$57,0)),"— вариант не найден —"),IFERROR(INDEX(Работы!$B$2:$B$6000,MATCH($C136,Работы!$A$2:$A$6000,0)),"— нет такого кода —")))</f>
        <v/>
      </c>
      <c r="E136" t="str">
        <f>IF($C136="","",IF(AND(LEFT($F136,3)="ДОК",$H136&lt;&gt;""),IFERROR(INDEX(Документация!$D$2:$D$57,MATCH($H136,Документация!$F$2:$F$57,0)),""),IFERROR(INDEX(Работы!$C$2:$C$6000,MATCH($C136,Работы!$A$2:$A$6000,0)),"")))</f>
        <v/>
      </c>
      <c r="F136" t="str">
        <f>IF($C136="","",IFERROR(INDEX(Работы!$G$2:$G$6000,MATCH($C136,Работы!$A$2:$A$6000,0))&amp;"",""))</f>
        <v/>
      </c>
      <c r="G136" s="4"/>
      <c r="H136" s="4"/>
      <c r="I136" s="5" t="str">
        <f>IF((LEFT($F136,3)="ДОК"),"",IF($H136="","",IFERROR(INDEX(Материалы!$B$2:$B$9000,MATCH($H136,Материалы!$M$2:$M$9000,0)),"")))</f>
        <v/>
      </c>
      <c r="J136" s="6">
        <f>IF(AND(LEFT($F136,3)="ДОК",$H136&lt;&gt;""),IFERROR(INDEX(Документация!$E$2:$E$57,MATCH($H136,Документация!$F$2:$F$57,0)),0),IFERROR(INDEX(Работы!$H$2:$H$6000,MATCH($C136,Работы!$A$2:$A$6000,0)),0))*(1-MEDIAN(0,N(ДисконтТендер),1))</f>
        <v>0</v>
      </c>
      <c r="K136" s="6">
        <f>IF(OR((LEFT($F136,3)="ДОК"),$H136=""),0,IFERROR(INDEX(Материалы!$H$2:$H$9000,MATCH($H136,Материалы!$M$2:$M$9000,0))*IF(INDEX(Материалы!$I$2:$I$9000,MATCH($H136,Материалы!$M$2:$M$9000,0))="USD",КурсUSD,IF(INDEX(Материалы!$I$2:$I$9000,MATCH($H136,Материалы!$M$2:$M$9000,0))="EUR",КурсEUR,1))*(1+IFERROR(INDEX(Работы!$I$2:$I$6000,MATCH($C136,Работы!$A$2:$A$6000,0))/100,0))*(1-MEDIAN(0,N(ДисконтТендер),1)),0))</f>
        <v>0</v>
      </c>
      <c r="L136" s="6">
        <f t="shared" si="13"/>
        <v>0</v>
      </c>
      <c r="M136" s="6">
        <f t="shared" si="14"/>
        <v>0</v>
      </c>
      <c r="N136" s="6">
        <f t="shared" si="15"/>
        <v>0</v>
      </c>
      <c r="O136" t="str">
        <f>IF($N136&gt;0,MAX($O$1:$O135)+1,"")</f>
        <v/>
      </c>
      <c r="P136" t="str">
        <f>IF($C136="","",IFERROR(INDEX(Работы!$D$2:$D$6000,MATCH($C136,Работы!$A$2:$A$6000,0)),""))</f>
        <v/>
      </c>
      <c r="Q136" t="str">
        <f t="shared" si="16"/>
        <v/>
      </c>
      <c r="R136" t="str">
        <f t="shared" si="17"/>
        <v/>
      </c>
      <c r="S136" t="str">
        <f>IF($P136="","",$P136&amp;" · "&amp;IFERROR(INDEX(Работы!$E$2:$E$6000,MATCH($C136,Работы!$A$2:$A$6000,0)),""))</f>
        <v/>
      </c>
    </row>
    <row r="137" spans="1:19" x14ac:dyDescent="0.3">
      <c r="A137" s="4"/>
      <c r="B137" s="4"/>
      <c r="C137" t="str">
        <f t="shared" si="12"/>
        <v/>
      </c>
      <c r="D137" s="5" t="str">
        <f>IF($C137="","",IF(AND(LEFT($F137,3)="ДОК",$H137&lt;&gt;""),IFERROR(INDEX(Документация!$G$2:$G$57,MATCH($H137,Документация!$F$2:$F$57,0)),"— вариант не найден —"),IFERROR(INDEX(Работы!$B$2:$B$6000,MATCH($C137,Работы!$A$2:$A$6000,0)),"— нет такого кода —")))</f>
        <v/>
      </c>
      <c r="E137" t="str">
        <f>IF($C137="","",IF(AND(LEFT($F137,3)="ДОК",$H137&lt;&gt;""),IFERROR(INDEX(Документация!$D$2:$D$57,MATCH($H137,Документация!$F$2:$F$57,0)),""),IFERROR(INDEX(Работы!$C$2:$C$6000,MATCH($C137,Работы!$A$2:$A$6000,0)),"")))</f>
        <v/>
      </c>
      <c r="F137" t="str">
        <f>IF($C137="","",IFERROR(INDEX(Работы!$G$2:$G$6000,MATCH($C137,Работы!$A$2:$A$6000,0))&amp;"",""))</f>
        <v/>
      </c>
      <c r="G137" s="4"/>
      <c r="H137" s="4"/>
      <c r="I137" s="5" t="str">
        <f>IF((LEFT($F137,3)="ДОК"),"",IF($H137="","",IFERROR(INDEX(Материалы!$B$2:$B$9000,MATCH($H137,Материалы!$M$2:$M$9000,0)),"")))</f>
        <v/>
      </c>
      <c r="J137" s="6">
        <f>IF(AND(LEFT($F137,3)="ДОК",$H137&lt;&gt;""),IFERROR(INDEX(Документация!$E$2:$E$57,MATCH($H137,Документация!$F$2:$F$57,0)),0),IFERROR(INDEX(Работы!$H$2:$H$6000,MATCH($C137,Работы!$A$2:$A$6000,0)),0))*(1-MEDIAN(0,N(ДисконтТендер),1))</f>
        <v>0</v>
      </c>
      <c r="K137" s="6">
        <f>IF(OR((LEFT($F137,3)="ДОК"),$H137=""),0,IFERROR(INDEX(Материалы!$H$2:$H$9000,MATCH($H137,Материалы!$M$2:$M$9000,0))*IF(INDEX(Материалы!$I$2:$I$9000,MATCH($H137,Материалы!$M$2:$M$9000,0))="USD",КурсUSD,IF(INDEX(Материалы!$I$2:$I$9000,MATCH($H137,Материалы!$M$2:$M$9000,0))="EUR",КурсEUR,1))*(1+IFERROR(INDEX(Работы!$I$2:$I$6000,MATCH($C137,Работы!$A$2:$A$6000,0))/100,0))*(1-MEDIAN(0,N(ДисконтТендер),1)),0))</f>
        <v>0</v>
      </c>
      <c r="L137" s="6">
        <f t="shared" si="13"/>
        <v>0</v>
      </c>
      <c r="M137" s="6">
        <f t="shared" si="14"/>
        <v>0</v>
      </c>
      <c r="N137" s="6">
        <f t="shared" si="15"/>
        <v>0</v>
      </c>
      <c r="O137" t="str">
        <f>IF($N137&gt;0,MAX($O$1:$O136)+1,"")</f>
        <v/>
      </c>
      <c r="P137" t="str">
        <f>IF($C137="","",IFERROR(INDEX(Работы!$D$2:$D$6000,MATCH($C137,Работы!$A$2:$A$6000,0)),""))</f>
        <v/>
      </c>
      <c r="Q137" t="str">
        <f t="shared" si="16"/>
        <v/>
      </c>
      <c r="R137" t="str">
        <f t="shared" si="17"/>
        <v/>
      </c>
      <c r="S137" t="str">
        <f>IF($P137="","",$P137&amp;" · "&amp;IFERROR(INDEX(Работы!$E$2:$E$6000,MATCH($C137,Работы!$A$2:$A$6000,0)),""))</f>
        <v/>
      </c>
    </row>
    <row r="138" spans="1:19" x14ac:dyDescent="0.3">
      <c r="A138" s="4"/>
      <c r="B138" s="4"/>
      <c r="C138" t="str">
        <f t="shared" si="12"/>
        <v/>
      </c>
      <c r="D138" s="5" t="str">
        <f>IF($C138="","",IF(AND(LEFT($F138,3)="ДОК",$H138&lt;&gt;""),IFERROR(INDEX(Документация!$G$2:$G$57,MATCH($H138,Документация!$F$2:$F$57,0)),"— вариант не найден —"),IFERROR(INDEX(Работы!$B$2:$B$6000,MATCH($C138,Работы!$A$2:$A$6000,0)),"— нет такого кода —")))</f>
        <v/>
      </c>
      <c r="E138" t="str">
        <f>IF($C138="","",IF(AND(LEFT($F138,3)="ДОК",$H138&lt;&gt;""),IFERROR(INDEX(Документация!$D$2:$D$57,MATCH($H138,Документация!$F$2:$F$57,0)),""),IFERROR(INDEX(Работы!$C$2:$C$6000,MATCH($C138,Работы!$A$2:$A$6000,0)),"")))</f>
        <v/>
      </c>
      <c r="F138" t="str">
        <f>IF($C138="","",IFERROR(INDEX(Работы!$G$2:$G$6000,MATCH($C138,Работы!$A$2:$A$6000,0))&amp;"",""))</f>
        <v/>
      </c>
      <c r="G138" s="4"/>
      <c r="H138" s="4"/>
      <c r="I138" s="5" t="str">
        <f>IF((LEFT($F138,3)="ДОК"),"",IF($H138="","",IFERROR(INDEX(Материалы!$B$2:$B$9000,MATCH($H138,Материалы!$M$2:$M$9000,0)),"")))</f>
        <v/>
      </c>
      <c r="J138" s="6">
        <f>IF(AND(LEFT($F138,3)="ДОК",$H138&lt;&gt;""),IFERROR(INDEX(Документация!$E$2:$E$57,MATCH($H138,Документация!$F$2:$F$57,0)),0),IFERROR(INDEX(Работы!$H$2:$H$6000,MATCH($C138,Работы!$A$2:$A$6000,0)),0))*(1-MEDIAN(0,N(ДисконтТендер),1))</f>
        <v>0</v>
      </c>
      <c r="K138" s="6">
        <f>IF(OR((LEFT($F138,3)="ДОК"),$H138=""),0,IFERROR(INDEX(Материалы!$H$2:$H$9000,MATCH($H138,Материалы!$M$2:$M$9000,0))*IF(INDEX(Материалы!$I$2:$I$9000,MATCH($H138,Материалы!$M$2:$M$9000,0))="USD",КурсUSD,IF(INDEX(Материалы!$I$2:$I$9000,MATCH($H138,Материалы!$M$2:$M$9000,0))="EUR",КурсEUR,1))*(1+IFERROR(INDEX(Работы!$I$2:$I$6000,MATCH($C138,Работы!$A$2:$A$6000,0))/100,0))*(1-MEDIAN(0,N(ДисконтТендер),1)),0))</f>
        <v>0</v>
      </c>
      <c r="L138" s="6">
        <f t="shared" si="13"/>
        <v>0</v>
      </c>
      <c r="M138" s="6">
        <f t="shared" si="14"/>
        <v>0</v>
      </c>
      <c r="N138" s="6">
        <f t="shared" si="15"/>
        <v>0</v>
      </c>
      <c r="O138" t="str">
        <f>IF($N138&gt;0,MAX($O$1:$O137)+1,"")</f>
        <v/>
      </c>
      <c r="P138" t="str">
        <f>IF($C138="","",IFERROR(INDEX(Работы!$D$2:$D$6000,MATCH($C138,Работы!$A$2:$A$6000,0)),""))</f>
        <v/>
      </c>
      <c r="Q138" t="str">
        <f t="shared" si="16"/>
        <v/>
      </c>
      <c r="R138" t="str">
        <f t="shared" si="17"/>
        <v/>
      </c>
      <c r="S138" t="str">
        <f>IF($P138="","",$P138&amp;" · "&amp;IFERROR(INDEX(Работы!$E$2:$E$6000,MATCH($C138,Работы!$A$2:$A$6000,0)),""))</f>
        <v/>
      </c>
    </row>
    <row r="139" spans="1:19" x14ac:dyDescent="0.3">
      <c r="A139" s="4"/>
      <c r="B139" s="4"/>
      <c r="C139" t="str">
        <f t="shared" si="12"/>
        <v/>
      </c>
      <c r="D139" s="5" t="str">
        <f>IF($C139="","",IF(AND(LEFT($F139,3)="ДОК",$H139&lt;&gt;""),IFERROR(INDEX(Документация!$G$2:$G$57,MATCH($H139,Документация!$F$2:$F$57,0)),"— вариант не найден —"),IFERROR(INDEX(Работы!$B$2:$B$6000,MATCH($C139,Работы!$A$2:$A$6000,0)),"— нет такого кода —")))</f>
        <v/>
      </c>
      <c r="E139" t="str">
        <f>IF($C139="","",IF(AND(LEFT($F139,3)="ДОК",$H139&lt;&gt;""),IFERROR(INDEX(Документация!$D$2:$D$57,MATCH($H139,Документация!$F$2:$F$57,0)),""),IFERROR(INDEX(Работы!$C$2:$C$6000,MATCH($C139,Работы!$A$2:$A$6000,0)),"")))</f>
        <v/>
      </c>
      <c r="F139" t="str">
        <f>IF($C139="","",IFERROR(INDEX(Работы!$G$2:$G$6000,MATCH($C139,Работы!$A$2:$A$6000,0))&amp;"",""))</f>
        <v/>
      </c>
      <c r="G139" s="4"/>
      <c r="H139" s="4"/>
      <c r="I139" s="5" t="str">
        <f>IF((LEFT($F139,3)="ДОК"),"",IF($H139="","",IFERROR(INDEX(Материалы!$B$2:$B$9000,MATCH($H139,Материалы!$M$2:$M$9000,0)),"")))</f>
        <v/>
      </c>
      <c r="J139" s="6">
        <f>IF(AND(LEFT($F139,3)="ДОК",$H139&lt;&gt;""),IFERROR(INDEX(Документация!$E$2:$E$57,MATCH($H139,Документация!$F$2:$F$57,0)),0),IFERROR(INDEX(Работы!$H$2:$H$6000,MATCH($C139,Работы!$A$2:$A$6000,0)),0))*(1-MEDIAN(0,N(ДисконтТендер),1))</f>
        <v>0</v>
      </c>
      <c r="K139" s="6">
        <f>IF(OR((LEFT($F139,3)="ДОК"),$H139=""),0,IFERROR(INDEX(Материалы!$H$2:$H$9000,MATCH($H139,Материалы!$M$2:$M$9000,0))*IF(INDEX(Материалы!$I$2:$I$9000,MATCH($H139,Материалы!$M$2:$M$9000,0))="USD",КурсUSD,IF(INDEX(Материалы!$I$2:$I$9000,MATCH($H139,Материалы!$M$2:$M$9000,0))="EUR",КурсEUR,1))*(1+IFERROR(INDEX(Работы!$I$2:$I$6000,MATCH($C139,Работы!$A$2:$A$6000,0))/100,0))*(1-MEDIAN(0,N(ДисконтТендер),1)),0))</f>
        <v>0</v>
      </c>
      <c r="L139" s="6">
        <f t="shared" si="13"/>
        <v>0</v>
      </c>
      <c r="M139" s="6">
        <f t="shared" si="14"/>
        <v>0</v>
      </c>
      <c r="N139" s="6">
        <f t="shared" si="15"/>
        <v>0</v>
      </c>
      <c r="O139" t="str">
        <f>IF($N139&gt;0,MAX($O$1:$O138)+1,"")</f>
        <v/>
      </c>
      <c r="P139" t="str">
        <f>IF($C139="","",IFERROR(INDEX(Работы!$D$2:$D$6000,MATCH($C139,Работы!$A$2:$A$6000,0)),""))</f>
        <v/>
      </c>
      <c r="Q139" t="str">
        <f t="shared" si="16"/>
        <v/>
      </c>
      <c r="R139" t="str">
        <f t="shared" si="17"/>
        <v/>
      </c>
      <c r="S139" t="str">
        <f>IF($P139="","",$P139&amp;" · "&amp;IFERROR(INDEX(Работы!$E$2:$E$6000,MATCH($C139,Работы!$A$2:$A$6000,0)),""))</f>
        <v/>
      </c>
    </row>
    <row r="140" spans="1:19" x14ac:dyDescent="0.3">
      <c r="A140" s="4"/>
      <c r="B140" s="4"/>
      <c r="C140" t="str">
        <f t="shared" si="12"/>
        <v/>
      </c>
      <c r="D140" s="5" t="str">
        <f>IF($C140="","",IF(AND(LEFT($F140,3)="ДОК",$H140&lt;&gt;""),IFERROR(INDEX(Документация!$G$2:$G$57,MATCH($H140,Документация!$F$2:$F$57,0)),"— вариант не найден —"),IFERROR(INDEX(Работы!$B$2:$B$6000,MATCH($C140,Работы!$A$2:$A$6000,0)),"— нет такого кода —")))</f>
        <v/>
      </c>
      <c r="E140" t="str">
        <f>IF($C140="","",IF(AND(LEFT($F140,3)="ДОК",$H140&lt;&gt;""),IFERROR(INDEX(Документация!$D$2:$D$57,MATCH($H140,Документация!$F$2:$F$57,0)),""),IFERROR(INDEX(Работы!$C$2:$C$6000,MATCH($C140,Работы!$A$2:$A$6000,0)),"")))</f>
        <v/>
      </c>
      <c r="F140" t="str">
        <f>IF($C140="","",IFERROR(INDEX(Работы!$G$2:$G$6000,MATCH($C140,Работы!$A$2:$A$6000,0))&amp;"",""))</f>
        <v/>
      </c>
      <c r="G140" s="4"/>
      <c r="H140" s="4"/>
      <c r="I140" s="5" t="str">
        <f>IF((LEFT($F140,3)="ДОК"),"",IF($H140="","",IFERROR(INDEX(Материалы!$B$2:$B$9000,MATCH($H140,Материалы!$M$2:$M$9000,0)),"")))</f>
        <v/>
      </c>
      <c r="J140" s="6">
        <f>IF(AND(LEFT($F140,3)="ДОК",$H140&lt;&gt;""),IFERROR(INDEX(Документация!$E$2:$E$57,MATCH($H140,Документация!$F$2:$F$57,0)),0),IFERROR(INDEX(Работы!$H$2:$H$6000,MATCH($C140,Работы!$A$2:$A$6000,0)),0))*(1-MEDIAN(0,N(ДисконтТендер),1))</f>
        <v>0</v>
      </c>
      <c r="K140" s="6">
        <f>IF(OR((LEFT($F140,3)="ДОК"),$H140=""),0,IFERROR(INDEX(Материалы!$H$2:$H$9000,MATCH($H140,Материалы!$M$2:$M$9000,0))*IF(INDEX(Материалы!$I$2:$I$9000,MATCH($H140,Материалы!$M$2:$M$9000,0))="USD",КурсUSD,IF(INDEX(Материалы!$I$2:$I$9000,MATCH($H140,Материалы!$M$2:$M$9000,0))="EUR",КурсEUR,1))*(1+IFERROR(INDEX(Работы!$I$2:$I$6000,MATCH($C140,Работы!$A$2:$A$6000,0))/100,0))*(1-MEDIAN(0,N(ДисконтТендер),1)),0))</f>
        <v>0</v>
      </c>
      <c r="L140" s="6">
        <f t="shared" si="13"/>
        <v>0</v>
      </c>
      <c r="M140" s="6">
        <f t="shared" si="14"/>
        <v>0</v>
      </c>
      <c r="N140" s="6">
        <f t="shared" si="15"/>
        <v>0</v>
      </c>
      <c r="O140" t="str">
        <f>IF($N140&gt;0,MAX($O$1:$O139)+1,"")</f>
        <v/>
      </c>
      <c r="P140" t="str">
        <f>IF($C140="","",IFERROR(INDEX(Работы!$D$2:$D$6000,MATCH($C140,Работы!$A$2:$A$6000,0)),""))</f>
        <v/>
      </c>
      <c r="Q140" t="str">
        <f t="shared" si="16"/>
        <v/>
      </c>
      <c r="R140" t="str">
        <f t="shared" si="17"/>
        <v/>
      </c>
      <c r="S140" t="str">
        <f>IF($P140="","",$P140&amp;" · "&amp;IFERROR(INDEX(Работы!$E$2:$E$6000,MATCH($C140,Работы!$A$2:$A$6000,0)),""))</f>
        <v/>
      </c>
    </row>
    <row r="141" spans="1:19" x14ac:dyDescent="0.3">
      <c r="A141" s="4"/>
      <c r="B141" s="4"/>
      <c r="C141" t="str">
        <f t="shared" si="12"/>
        <v/>
      </c>
      <c r="D141" s="5" t="str">
        <f>IF($C141="","",IF(AND(LEFT($F141,3)="ДОК",$H141&lt;&gt;""),IFERROR(INDEX(Документация!$G$2:$G$57,MATCH($H141,Документация!$F$2:$F$57,0)),"— вариант не найден —"),IFERROR(INDEX(Работы!$B$2:$B$6000,MATCH($C141,Работы!$A$2:$A$6000,0)),"— нет такого кода —")))</f>
        <v/>
      </c>
      <c r="E141" t="str">
        <f>IF($C141="","",IF(AND(LEFT($F141,3)="ДОК",$H141&lt;&gt;""),IFERROR(INDEX(Документация!$D$2:$D$57,MATCH($H141,Документация!$F$2:$F$57,0)),""),IFERROR(INDEX(Работы!$C$2:$C$6000,MATCH($C141,Работы!$A$2:$A$6000,0)),"")))</f>
        <v/>
      </c>
      <c r="F141" t="str">
        <f>IF($C141="","",IFERROR(INDEX(Работы!$G$2:$G$6000,MATCH($C141,Работы!$A$2:$A$6000,0))&amp;"",""))</f>
        <v/>
      </c>
      <c r="G141" s="4"/>
      <c r="H141" s="4"/>
      <c r="I141" s="5" t="str">
        <f>IF((LEFT($F141,3)="ДОК"),"",IF($H141="","",IFERROR(INDEX(Материалы!$B$2:$B$9000,MATCH($H141,Материалы!$M$2:$M$9000,0)),"")))</f>
        <v/>
      </c>
      <c r="J141" s="6">
        <f>IF(AND(LEFT($F141,3)="ДОК",$H141&lt;&gt;""),IFERROR(INDEX(Документация!$E$2:$E$57,MATCH($H141,Документация!$F$2:$F$57,0)),0),IFERROR(INDEX(Работы!$H$2:$H$6000,MATCH($C141,Работы!$A$2:$A$6000,0)),0))*(1-MEDIAN(0,N(ДисконтТендер),1))</f>
        <v>0</v>
      </c>
      <c r="K141" s="6">
        <f>IF(OR((LEFT($F141,3)="ДОК"),$H141=""),0,IFERROR(INDEX(Материалы!$H$2:$H$9000,MATCH($H141,Материалы!$M$2:$M$9000,0))*IF(INDEX(Материалы!$I$2:$I$9000,MATCH($H141,Материалы!$M$2:$M$9000,0))="USD",КурсUSD,IF(INDEX(Материалы!$I$2:$I$9000,MATCH($H141,Материалы!$M$2:$M$9000,0))="EUR",КурсEUR,1))*(1+IFERROR(INDEX(Работы!$I$2:$I$6000,MATCH($C141,Работы!$A$2:$A$6000,0))/100,0))*(1-MEDIAN(0,N(ДисконтТендер),1)),0))</f>
        <v>0</v>
      </c>
      <c r="L141" s="6">
        <f t="shared" si="13"/>
        <v>0</v>
      </c>
      <c r="M141" s="6">
        <f t="shared" si="14"/>
        <v>0</v>
      </c>
      <c r="N141" s="6">
        <f t="shared" si="15"/>
        <v>0</v>
      </c>
      <c r="O141" t="str">
        <f>IF($N141&gt;0,MAX($O$1:$O140)+1,"")</f>
        <v/>
      </c>
      <c r="P141" t="str">
        <f>IF($C141="","",IFERROR(INDEX(Работы!$D$2:$D$6000,MATCH($C141,Работы!$A$2:$A$6000,0)),""))</f>
        <v/>
      </c>
      <c r="Q141" t="str">
        <f t="shared" si="16"/>
        <v/>
      </c>
      <c r="R141" t="str">
        <f t="shared" si="17"/>
        <v/>
      </c>
      <c r="S141" t="str">
        <f>IF($P141="","",$P141&amp;" · "&amp;IFERROR(INDEX(Работы!$E$2:$E$6000,MATCH($C141,Работы!$A$2:$A$6000,0)),""))</f>
        <v/>
      </c>
    </row>
    <row r="142" spans="1:19" x14ac:dyDescent="0.3">
      <c r="A142" s="4"/>
      <c r="B142" s="4"/>
      <c r="C142" t="str">
        <f t="shared" si="12"/>
        <v/>
      </c>
      <c r="D142" s="5" t="str">
        <f>IF($C142="","",IF(AND(LEFT($F142,3)="ДОК",$H142&lt;&gt;""),IFERROR(INDEX(Документация!$G$2:$G$57,MATCH($H142,Документация!$F$2:$F$57,0)),"— вариант не найден —"),IFERROR(INDEX(Работы!$B$2:$B$6000,MATCH($C142,Работы!$A$2:$A$6000,0)),"— нет такого кода —")))</f>
        <v/>
      </c>
      <c r="E142" t="str">
        <f>IF($C142="","",IF(AND(LEFT($F142,3)="ДОК",$H142&lt;&gt;""),IFERROR(INDEX(Документация!$D$2:$D$57,MATCH($H142,Документация!$F$2:$F$57,0)),""),IFERROR(INDEX(Работы!$C$2:$C$6000,MATCH($C142,Работы!$A$2:$A$6000,0)),"")))</f>
        <v/>
      </c>
      <c r="F142" t="str">
        <f>IF($C142="","",IFERROR(INDEX(Работы!$G$2:$G$6000,MATCH($C142,Работы!$A$2:$A$6000,0))&amp;"",""))</f>
        <v/>
      </c>
      <c r="G142" s="4"/>
      <c r="H142" s="4"/>
      <c r="I142" s="5" t="str">
        <f>IF((LEFT($F142,3)="ДОК"),"",IF($H142="","",IFERROR(INDEX(Материалы!$B$2:$B$9000,MATCH($H142,Материалы!$M$2:$M$9000,0)),"")))</f>
        <v/>
      </c>
      <c r="J142" s="6">
        <f>IF(AND(LEFT($F142,3)="ДОК",$H142&lt;&gt;""),IFERROR(INDEX(Документация!$E$2:$E$57,MATCH($H142,Документация!$F$2:$F$57,0)),0),IFERROR(INDEX(Работы!$H$2:$H$6000,MATCH($C142,Работы!$A$2:$A$6000,0)),0))*(1-MEDIAN(0,N(ДисконтТендер),1))</f>
        <v>0</v>
      </c>
      <c r="K142" s="6">
        <f>IF(OR((LEFT($F142,3)="ДОК"),$H142=""),0,IFERROR(INDEX(Материалы!$H$2:$H$9000,MATCH($H142,Материалы!$M$2:$M$9000,0))*IF(INDEX(Материалы!$I$2:$I$9000,MATCH($H142,Материалы!$M$2:$M$9000,0))="USD",КурсUSD,IF(INDEX(Материалы!$I$2:$I$9000,MATCH($H142,Материалы!$M$2:$M$9000,0))="EUR",КурсEUR,1))*(1+IFERROR(INDEX(Работы!$I$2:$I$6000,MATCH($C142,Работы!$A$2:$A$6000,0))/100,0))*(1-MEDIAN(0,N(ДисконтТендер),1)),0))</f>
        <v>0</v>
      </c>
      <c r="L142" s="6">
        <f t="shared" si="13"/>
        <v>0</v>
      </c>
      <c r="M142" s="6">
        <f t="shared" si="14"/>
        <v>0</v>
      </c>
      <c r="N142" s="6">
        <f t="shared" si="15"/>
        <v>0</v>
      </c>
      <c r="O142" t="str">
        <f>IF($N142&gt;0,MAX($O$1:$O141)+1,"")</f>
        <v/>
      </c>
      <c r="P142" t="str">
        <f>IF($C142="","",IFERROR(INDEX(Работы!$D$2:$D$6000,MATCH($C142,Работы!$A$2:$A$6000,0)),""))</f>
        <v/>
      </c>
      <c r="Q142" t="str">
        <f t="shared" si="16"/>
        <v/>
      </c>
      <c r="R142" t="str">
        <f t="shared" si="17"/>
        <v/>
      </c>
      <c r="S142" t="str">
        <f>IF($P142="","",$P142&amp;" · "&amp;IFERROR(INDEX(Работы!$E$2:$E$6000,MATCH($C142,Работы!$A$2:$A$6000,0)),""))</f>
        <v/>
      </c>
    </row>
    <row r="143" spans="1:19" x14ac:dyDescent="0.3">
      <c r="A143" s="4"/>
      <c r="B143" s="4"/>
      <c r="C143" t="str">
        <f t="shared" si="12"/>
        <v/>
      </c>
      <c r="D143" s="5" t="str">
        <f>IF($C143="","",IF(AND(LEFT($F143,3)="ДОК",$H143&lt;&gt;""),IFERROR(INDEX(Документация!$G$2:$G$57,MATCH($H143,Документация!$F$2:$F$57,0)),"— вариант не найден —"),IFERROR(INDEX(Работы!$B$2:$B$6000,MATCH($C143,Работы!$A$2:$A$6000,0)),"— нет такого кода —")))</f>
        <v/>
      </c>
      <c r="E143" t="str">
        <f>IF($C143="","",IF(AND(LEFT($F143,3)="ДОК",$H143&lt;&gt;""),IFERROR(INDEX(Документация!$D$2:$D$57,MATCH($H143,Документация!$F$2:$F$57,0)),""),IFERROR(INDEX(Работы!$C$2:$C$6000,MATCH($C143,Работы!$A$2:$A$6000,0)),"")))</f>
        <v/>
      </c>
      <c r="F143" t="str">
        <f>IF($C143="","",IFERROR(INDEX(Работы!$G$2:$G$6000,MATCH($C143,Работы!$A$2:$A$6000,0))&amp;"",""))</f>
        <v/>
      </c>
      <c r="G143" s="4"/>
      <c r="H143" s="4"/>
      <c r="I143" s="5" t="str">
        <f>IF((LEFT($F143,3)="ДОК"),"",IF($H143="","",IFERROR(INDEX(Материалы!$B$2:$B$9000,MATCH($H143,Материалы!$M$2:$M$9000,0)),"")))</f>
        <v/>
      </c>
      <c r="J143" s="6">
        <f>IF(AND(LEFT($F143,3)="ДОК",$H143&lt;&gt;""),IFERROR(INDEX(Документация!$E$2:$E$57,MATCH($H143,Документация!$F$2:$F$57,0)),0),IFERROR(INDEX(Работы!$H$2:$H$6000,MATCH($C143,Работы!$A$2:$A$6000,0)),0))*(1-MEDIAN(0,N(ДисконтТендер),1))</f>
        <v>0</v>
      </c>
      <c r="K143" s="6">
        <f>IF(OR((LEFT($F143,3)="ДОК"),$H143=""),0,IFERROR(INDEX(Материалы!$H$2:$H$9000,MATCH($H143,Материалы!$M$2:$M$9000,0))*IF(INDEX(Материалы!$I$2:$I$9000,MATCH($H143,Материалы!$M$2:$M$9000,0))="USD",КурсUSD,IF(INDEX(Материалы!$I$2:$I$9000,MATCH($H143,Материалы!$M$2:$M$9000,0))="EUR",КурсEUR,1))*(1+IFERROR(INDEX(Работы!$I$2:$I$6000,MATCH($C143,Работы!$A$2:$A$6000,0))/100,0))*(1-MEDIAN(0,N(ДисконтТендер),1)),0))</f>
        <v>0</v>
      </c>
      <c r="L143" s="6">
        <f t="shared" si="13"/>
        <v>0</v>
      </c>
      <c r="M143" s="6">
        <f t="shared" si="14"/>
        <v>0</v>
      </c>
      <c r="N143" s="6">
        <f t="shared" si="15"/>
        <v>0</v>
      </c>
      <c r="O143" t="str">
        <f>IF($N143&gt;0,MAX($O$1:$O142)+1,"")</f>
        <v/>
      </c>
      <c r="P143" t="str">
        <f>IF($C143="","",IFERROR(INDEX(Работы!$D$2:$D$6000,MATCH($C143,Работы!$A$2:$A$6000,0)),""))</f>
        <v/>
      </c>
      <c r="Q143" t="str">
        <f t="shared" si="16"/>
        <v/>
      </c>
      <c r="R143" t="str">
        <f t="shared" si="17"/>
        <v/>
      </c>
      <c r="S143" t="str">
        <f>IF($P143="","",$P143&amp;" · "&amp;IFERROR(INDEX(Работы!$E$2:$E$6000,MATCH($C143,Работы!$A$2:$A$6000,0)),""))</f>
        <v/>
      </c>
    </row>
    <row r="144" spans="1:19" x14ac:dyDescent="0.3">
      <c r="A144" s="4"/>
      <c r="B144" s="4"/>
      <c r="C144" t="str">
        <f t="shared" si="12"/>
        <v/>
      </c>
      <c r="D144" s="5" t="str">
        <f>IF($C144="","",IF(AND(LEFT($F144,3)="ДОК",$H144&lt;&gt;""),IFERROR(INDEX(Документация!$G$2:$G$57,MATCH($H144,Документация!$F$2:$F$57,0)),"— вариант не найден —"),IFERROR(INDEX(Работы!$B$2:$B$6000,MATCH($C144,Работы!$A$2:$A$6000,0)),"— нет такого кода —")))</f>
        <v/>
      </c>
      <c r="E144" t="str">
        <f>IF($C144="","",IF(AND(LEFT($F144,3)="ДОК",$H144&lt;&gt;""),IFERROR(INDEX(Документация!$D$2:$D$57,MATCH($H144,Документация!$F$2:$F$57,0)),""),IFERROR(INDEX(Работы!$C$2:$C$6000,MATCH($C144,Работы!$A$2:$A$6000,0)),"")))</f>
        <v/>
      </c>
      <c r="F144" t="str">
        <f>IF($C144="","",IFERROR(INDEX(Работы!$G$2:$G$6000,MATCH($C144,Работы!$A$2:$A$6000,0))&amp;"",""))</f>
        <v/>
      </c>
      <c r="G144" s="4"/>
      <c r="H144" s="4"/>
      <c r="I144" s="5" t="str">
        <f>IF((LEFT($F144,3)="ДОК"),"",IF($H144="","",IFERROR(INDEX(Материалы!$B$2:$B$9000,MATCH($H144,Материалы!$M$2:$M$9000,0)),"")))</f>
        <v/>
      </c>
      <c r="J144" s="6">
        <f>IF(AND(LEFT($F144,3)="ДОК",$H144&lt;&gt;""),IFERROR(INDEX(Документация!$E$2:$E$57,MATCH($H144,Документация!$F$2:$F$57,0)),0),IFERROR(INDEX(Работы!$H$2:$H$6000,MATCH($C144,Работы!$A$2:$A$6000,0)),0))*(1-MEDIAN(0,N(ДисконтТендер),1))</f>
        <v>0</v>
      </c>
      <c r="K144" s="6">
        <f>IF(OR((LEFT($F144,3)="ДОК"),$H144=""),0,IFERROR(INDEX(Материалы!$H$2:$H$9000,MATCH($H144,Материалы!$M$2:$M$9000,0))*IF(INDEX(Материалы!$I$2:$I$9000,MATCH($H144,Материалы!$M$2:$M$9000,0))="USD",КурсUSD,IF(INDEX(Материалы!$I$2:$I$9000,MATCH($H144,Материалы!$M$2:$M$9000,0))="EUR",КурсEUR,1))*(1+IFERROR(INDEX(Работы!$I$2:$I$6000,MATCH($C144,Работы!$A$2:$A$6000,0))/100,0))*(1-MEDIAN(0,N(ДисконтТендер),1)),0))</f>
        <v>0</v>
      </c>
      <c r="L144" s="6">
        <f t="shared" si="13"/>
        <v>0</v>
      </c>
      <c r="M144" s="6">
        <f t="shared" si="14"/>
        <v>0</v>
      </c>
      <c r="N144" s="6">
        <f t="shared" si="15"/>
        <v>0</v>
      </c>
      <c r="O144" t="str">
        <f>IF($N144&gt;0,MAX($O$1:$O143)+1,"")</f>
        <v/>
      </c>
      <c r="P144" t="str">
        <f>IF($C144="","",IFERROR(INDEX(Работы!$D$2:$D$6000,MATCH($C144,Работы!$A$2:$A$6000,0)),""))</f>
        <v/>
      </c>
      <c r="Q144" t="str">
        <f t="shared" si="16"/>
        <v/>
      </c>
      <c r="R144" t="str">
        <f t="shared" si="17"/>
        <v/>
      </c>
      <c r="S144" t="str">
        <f>IF($P144="","",$P144&amp;" · "&amp;IFERROR(INDEX(Работы!$E$2:$E$6000,MATCH($C144,Работы!$A$2:$A$6000,0)),""))</f>
        <v/>
      </c>
    </row>
    <row r="145" spans="1:19" x14ac:dyDescent="0.3">
      <c r="A145" s="4"/>
      <c r="B145" s="4"/>
      <c r="C145" t="str">
        <f t="shared" si="12"/>
        <v/>
      </c>
      <c r="D145" s="5" t="str">
        <f>IF($C145="","",IF(AND(LEFT($F145,3)="ДОК",$H145&lt;&gt;""),IFERROR(INDEX(Документация!$G$2:$G$57,MATCH($H145,Документация!$F$2:$F$57,0)),"— вариант не найден —"),IFERROR(INDEX(Работы!$B$2:$B$6000,MATCH($C145,Работы!$A$2:$A$6000,0)),"— нет такого кода —")))</f>
        <v/>
      </c>
      <c r="E145" t="str">
        <f>IF($C145="","",IF(AND(LEFT($F145,3)="ДОК",$H145&lt;&gt;""),IFERROR(INDEX(Документация!$D$2:$D$57,MATCH($H145,Документация!$F$2:$F$57,0)),""),IFERROR(INDEX(Работы!$C$2:$C$6000,MATCH($C145,Работы!$A$2:$A$6000,0)),"")))</f>
        <v/>
      </c>
      <c r="F145" t="str">
        <f>IF($C145="","",IFERROR(INDEX(Работы!$G$2:$G$6000,MATCH($C145,Работы!$A$2:$A$6000,0))&amp;"",""))</f>
        <v/>
      </c>
      <c r="G145" s="4"/>
      <c r="H145" s="4"/>
      <c r="I145" s="5" t="str">
        <f>IF((LEFT($F145,3)="ДОК"),"",IF($H145="","",IFERROR(INDEX(Материалы!$B$2:$B$9000,MATCH($H145,Материалы!$M$2:$M$9000,0)),"")))</f>
        <v/>
      </c>
      <c r="J145" s="6">
        <f>IF(AND(LEFT($F145,3)="ДОК",$H145&lt;&gt;""),IFERROR(INDEX(Документация!$E$2:$E$57,MATCH($H145,Документация!$F$2:$F$57,0)),0),IFERROR(INDEX(Работы!$H$2:$H$6000,MATCH($C145,Работы!$A$2:$A$6000,0)),0))*(1-MEDIAN(0,N(ДисконтТендер),1))</f>
        <v>0</v>
      </c>
      <c r="K145" s="6">
        <f>IF(OR((LEFT($F145,3)="ДОК"),$H145=""),0,IFERROR(INDEX(Материалы!$H$2:$H$9000,MATCH($H145,Материалы!$M$2:$M$9000,0))*IF(INDEX(Материалы!$I$2:$I$9000,MATCH($H145,Материалы!$M$2:$M$9000,0))="USD",КурсUSD,IF(INDEX(Материалы!$I$2:$I$9000,MATCH($H145,Материалы!$M$2:$M$9000,0))="EUR",КурсEUR,1))*(1+IFERROR(INDEX(Работы!$I$2:$I$6000,MATCH($C145,Работы!$A$2:$A$6000,0))/100,0))*(1-MEDIAN(0,N(ДисконтТендер),1)),0))</f>
        <v>0</v>
      </c>
      <c r="L145" s="6">
        <f t="shared" si="13"/>
        <v>0</v>
      </c>
      <c r="M145" s="6">
        <f t="shared" si="14"/>
        <v>0</v>
      </c>
      <c r="N145" s="6">
        <f t="shared" si="15"/>
        <v>0</v>
      </c>
      <c r="O145" t="str">
        <f>IF($N145&gt;0,MAX($O$1:$O144)+1,"")</f>
        <v/>
      </c>
      <c r="P145" t="str">
        <f>IF($C145="","",IFERROR(INDEX(Работы!$D$2:$D$6000,MATCH($C145,Работы!$A$2:$A$6000,0)),""))</f>
        <v/>
      </c>
      <c r="Q145" t="str">
        <f t="shared" si="16"/>
        <v/>
      </c>
      <c r="R145" t="str">
        <f t="shared" si="17"/>
        <v/>
      </c>
      <c r="S145" t="str">
        <f>IF($P145="","",$P145&amp;" · "&amp;IFERROR(INDEX(Работы!$E$2:$E$6000,MATCH($C145,Работы!$A$2:$A$6000,0)),""))</f>
        <v/>
      </c>
    </row>
    <row r="146" spans="1:19" x14ac:dyDescent="0.3">
      <c r="A146" s="4"/>
      <c r="B146" s="4"/>
      <c r="C146" t="str">
        <f t="shared" si="12"/>
        <v/>
      </c>
      <c r="D146" s="5" t="str">
        <f>IF($C146="","",IF(AND(LEFT($F146,3)="ДОК",$H146&lt;&gt;""),IFERROR(INDEX(Документация!$G$2:$G$57,MATCH($H146,Документация!$F$2:$F$57,0)),"— вариант не найден —"),IFERROR(INDEX(Работы!$B$2:$B$6000,MATCH($C146,Работы!$A$2:$A$6000,0)),"— нет такого кода —")))</f>
        <v/>
      </c>
      <c r="E146" t="str">
        <f>IF($C146="","",IF(AND(LEFT($F146,3)="ДОК",$H146&lt;&gt;""),IFERROR(INDEX(Документация!$D$2:$D$57,MATCH($H146,Документация!$F$2:$F$57,0)),""),IFERROR(INDEX(Работы!$C$2:$C$6000,MATCH($C146,Работы!$A$2:$A$6000,0)),"")))</f>
        <v/>
      </c>
      <c r="F146" t="str">
        <f>IF($C146="","",IFERROR(INDEX(Работы!$G$2:$G$6000,MATCH($C146,Работы!$A$2:$A$6000,0))&amp;"",""))</f>
        <v/>
      </c>
      <c r="G146" s="4"/>
      <c r="H146" s="4"/>
      <c r="I146" s="5" t="str">
        <f>IF((LEFT($F146,3)="ДОК"),"",IF($H146="","",IFERROR(INDEX(Материалы!$B$2:$B$9000,MATCH($H146,Материалы!$M$2:$M$9000,0)),"")))</f>
        <v/>
      </c>
      <c r="J146" s="6">
        <f>IF(AND(LEFT($F146,3)="ДОК",$H146&lt;&gt;""),IFERROR(INDEX(Документация!$E$2:$E$57,MATCH($H146,Документация!$F$2:$F$57,0)),0),IFERROR(INDEX(Работы!$H$2:$H$6000,MATCH($C146,Работы!$A$2:$A$6000,0)),0))*(1-MEDIAN(0,N(ДисконтТендер),1))</f>
        <v>0</v>
      </c>
      <c r="K146" s="6">
        <f>IF(OR((LEFT($F146,3)="ДОК"),$H146=""),0,IFERROR(INDEX(Материалы!$H$2:$H$9000,MATCH($H146,Материалы!$M$2:$M$9000,0))*IF(INDEX(Материалы!$I$2:$I$9000,MATCH($H146,Материалы!$M$2:$M$9000,0))="USD",КурсUSD,IF(INDEX(Материалы!$I$2:$I$9000,MATCH($H146,Материалы!$M$2:$M$9000,0))="EUR",КурсEUR,1))*(1+IFERROR(INDEX(Работы!$I$2:$I$6000,MATCH($C146,Работы!$A$2:$A$6000,0))/100,0))*(1-MEDIAN(0,N(ДисконтТендер),1)),0))</f>
        <v>0</v>
      </c>
      <c r="L146" s="6">
        <f t="shared" si="13"/>
        <v>0</v>
      </c>
      <c r="M146" s="6">
        <f t="shared" si="14"/>
        <v>0</v>
      </c>
      <c r="N146" s="6">
        <f t="shared" si="15"/>
        <v>0</v>
      </c>
      <c r="O146" t="str">
        <f>IF($N146&gt;0,MAX($O$1:$O145)+1,"")</f>
        <v/>
      </c>
      <c r="P146" t="str">
        <f>IF($C146="","",IFERROR(INDEX(Работы!$D$2:$D$6000,MATCH($C146,Работы!$A$2:$A$6000,0)),""))</f>
        <v/>
      </c>
      <c r="Q146" t="str">
        <f t="shared" si="16"/>
        <v/>
      </c>
      <c r="R146" t="str">
        <f t="shared" si="17"/>
        <v/>
      </c>
      <c r="S146" t="str">
        <f>IF($P146="","",$P146&amp;" · "&amp;IFERROR(INDEX(Работы!$E$2:$E$6000,MATCH($C146,Работы!$A$2:$A$6000,0)),""))</f>
        <v/>
      </c>
    </row>
    <row r="147" spans="1:19" x14ac:dyDescent="0.3">
      <c r="A147" s="4"/>
      <c r="B147" s="4"/>
      <c r="C147" t="str">
        <f t="shared" si="12"/>
        <v/>
      </c>
      <c r="D147" s="5" t="str">
        <f>IF($C147="","",IF(AND(LEFT($F147,3)="ДОК",$H147&lt;&gt;""),IFERROR(INDEX(Документация!$G$2:$G$57,MATCH($H147,Документация!$F$2:$F$57,0)),"— вариант не найден —"),IFERROR(INDEX(Работы!$B$2:$B$6000,MATCH($C147,Работы!$A$2:$A$6000,0)),"— нет такого кода —")))</f>
        <v/>
      </c>
      <c r="E147" t="str">
        <f>IF($C147="","",IF(AND(LEFT($F147,3)="ДОК",$H147&lt;&gt;""),IFERROR(INDEX(Документация!$D$2:$D$57,MATCH($H147,Документация!$F$2:$F$57,0)),""),IFERROR(INDEX(Работы!$C$2:$C$6000,MATCH($C147,Работы!$A$2:$A$6000,0)),"")))</f>
        <v/>
      </c>
      <c r="F147" t="str">
        <f>IF($C147="","",IFERROR(INDEX(Работы!$G$2:$G$6000,MATCH($C147,Работы!$A$2:$A$6000,0))&amp;"",""))</f>
        <v/>
      </c>
      <c r="G147" s="4"/>
      <c r="H147" s="4"/>
      <c r="I147" s="5" t="str">
        <f>IF((LEFT($F147,3)="ДОК"),"",IF($H147="","",IFERROR(INDEX(Материалы!$B$2:$B$9000,MATCH($H147,Материалы!$M$2:$M$9000,0)),"")))</f>
        <v/>
      </c>
      <c r="J147" s="6">
        <f>IF(AND(LEFT($F147,3)="ДОК",$H147&lt;&gt;""),IFERROR(INDEX(Документация!$E$2:$E$57,MATCH($H147,Документация!$F$2:$F$57,0)),0),IFERROR(INDEX(Работы!$H$2:$H$6000,MATCH($C147,Работы!$A$2:$A$6000,0)),0))*(1-MEDIAN(0,N(ДисконтТендер),1))</f>
        <v>0</v>
      </c>
      <c r="K147" s="6">
        <f>IF(OR((LEFT($F147,3)="ДОК"),$H147=""),0,IFERROR(INDEX(Материалы!$H$2:$H$9000,MATCH($H147,Материалы!$M$2:$M$9000,0))*IF(INDEX(Материалы!$I$2:$I$9000,MATCH($H147,Материалы!$M$2:$M$9000,0))="USD",КурсUSD,IF(INDEX(Материалы!$I$2:$I$9000,MATCH($H147,Материалы!$M$2:$M$9000,0))="EUR",КурсEUR,1))*(1+IFERROR(INDEX(Работы!$I$2:$I$6000,MATCH($C147,Работы!$A$2:$A$6000,0))/100,0))*(1-MEDIAN(0,N(ДисконтТендер),1)),0))</f>
        <v>0</v>
      </c>
      <c r="L147" s="6">
        <f t="shared" si="13"/>
        <v>0</v>
      </c>
      <c r="M147" s="6">
        <f t="shared" si="14"/>
        <v>0</v>
      </c>
      <c r="N147" s="6">
        <f t="shared" si="15"/>
        <v>0</v>
      </c>
      <c r="O147" t="str">
        <f>IF($N147&gt;0,MAX($O$1:$O146)+1,"")</f>
        <v/>
      </c>
      <c r="P147" t="str">
        <f>IF($C147="","",IFERROR(INDEX(Работы!$D$2:$D$6000,MATCH($C147,Работы!$A$2:$A$6000,0)),""))</f>
        <v/>
      </c>
      <c r="Q147" t="str">
        <f t="shared" si="16"/>
        <v/>
      </c>
      <c r="R147" t="str">
        <f t="shared" si="17"/>
        <v/>
      </c>
      <c r="S147" t="str">
        <f>IF($P147="","",$P147&amp;" · "&amp;IFERROR(INDEX(Работы!$E$2:$E$6000,MATCH($C147,Работы!$A$2:$A$6000,0)),""))</f>
        <v/>
      </c>
    </row>
    <row r="148" spans="1:19" x14ac:dyDescent="0.3">
      <c r="A148" s="4"/>
      <c r="B148" s="4"/>
      <c r="C148" t="str">
        <f t="shared" si="12"/>
        <v/>
      </c>
      <c r="D148" s="5" t="str">
        <f>IF($C148="","",IF(AND(LEFT($F148,3)="ДОК",$H148&lt;&gt;""),IFERROR(INDEX(Документация!$G$2:$G$57,MATCH($H148,Документация!$F$2:$F$57,0)),"— вариант не найден —"),IFERROR(INDEX(Работы!$B$2:$B$6000,MATCH($C148,Работы!$A$2:$A$6000,0)),"— нет такого кода —")))</f>
        <v/>
      </c>
      <c r="E148" t="str">
        <f>IF($C148="","",IF(AND(LEFT($F148,3)="ДОК",$H148&lt;&gt;""),IFERROR(INDEX(Документация!$D$2:$D$57,MATCH($H148,Документация!$F$2:$F$57,0)),""),IFERROR(INDEX(Работы!$C$2:$C$6000,MATCH($C148,Работы!$A$2:$A$6000,0)),"")))</f>
        <v/>
      </c>
      <c r="F148" t="str">
        <f>IF($C148="","",IFERROR(INDEX(Работы!$G$2:$G$6000,MATCH($C148,Работы!$A$2:$A$6000,0))&amp;"",""))</f>
        <v/>
      </c>
      <c r="G148" s="4"/>
      <c r="H148" s="4"/>
      <c r="I148" s="5" t="str">
        <f>IF((LEFT($F148,3)="ДОК"),"",IF($H148="","",IFERROR(INDEX(Материалы!$B$2:$B$9000,MATCH($H148,Материалы!$M$2:$M$9000,0)),"")))</f>
        <v/>
      </c>
      <c r="J148" s="6">
        <f>IF(AND(LEFT($F148,3)="ДОК",$H148&lt;&gt;""),IFERROR(INDEX(Документация!$E$2:$E$57,MATCH($H148,Документация!$F$2:$F$57,0)),0),IFERROR(INDEX(Работы!$H$2:$H$6000,MATCH($C148,Работы!$A$2:$A$6000,0)),0))*(1-MEDIAN(0,N(ДисконтТендер),1))</f>
        <v>0</v>
      </c>
      <c r="K148" s="6">
        <f>IF(OR((LEFT($F148,3)="ДОК"),$H148=""),0,IFERROR(INDEX(Материалы!$H$2:$H$9000,MATCH($H148,Материалы!$M$2:$M$9000,0))*IF(INDEX(Материалы!$I$2:$I$9000,MATCH($H148,Материалы!$M$2:$M$9000,0))="USD",КурсUSD,IF(INDEX(Материалы!$I$2:$I$9000,MATCH($H148,Материалы!$M$2:$M$9000,0))="EUR",КурсEUR,1))*(1+IFERROR(INDEX(Работы!$I$2:$I$6000,MATCH($C148,Работы!$A$2:$A$6000,0))/100,0))*(1-MEDIAN(0,N(ДисконтТендер),1)),0))</f>
        <v>0</v>
      </c>
      <c r="L148" s="6">
        <f t="shared" si="13"/>
        <v>0</v>
      </c>
      <c r="M148" s="6">
        <f t="shared" si="14"/>
        <v>0</v>
      </c>
      <c r="N148" s="6">
        <f t="shared" si="15"/>
        <v>0</v>
      </c>
      <c r="O148" t="str">
        <f>IF($N148&gt;0,MAX($O$1:$O147)+1,"")</f>
        <v/>
      </c>
      <c r="P148" t="str">
        <f>IF($C148="","",IFERROR(INDEX(Работы!$D$2:$D$6000,MATCH($C148,Работы!$A$2:$A$6000,0)),""))</f>
        <v/>
      </c>
      <c r="Q148" t="str">
        <f t="shared" si="16"/>
        <v/>
      </c>
      <c r="R148" t="str">
        <f t="shared" si="17"/>
        <v/>
      </c>
      <c r="S148" t="str">
        <f>IF($P148="","",$P148&amp;" · "&amp;IFERROR(INDEX(Работы!$E$2:$E$6000,MATCH($C148,Работы!$A$2:$A$6000,0)),""))</f>
        <v/>
      </c>
    </row>
    <row r="149" spans="1:19" x14ac:dyDescent="0.3">
      <c r="A149" s="4"/>
      <c r="B149" s="4"/>
      <c r="C149" t="str">
        <f t="shared" si="12"/>
        <v/>
      </c>
      <c r="D149" s="5" t="str">
        <f>IF($C149="","",IF(AND(LEFT($F149,3)="ДОК",$H149&lt;&gt;""),IFERROR(INDEX(Документация!$G$2:$G$57,MATCH($H149,Документация!$F$2:$F$57,0)),"— вариант не найден —"),IFERROR(INDEX(Работы!$B$2:$B$6000,MATCH($C149,Работы!$A$2:$A$6000,0)),"— нет такого кода —")))</f>
        <v/>
      </c>
      <c r="E149" t="str">
        <f>IF($C149="","",IF(AND(LEFT($F149,3)="ДОК",$H149&lt;&gt;""),IFERROR(INDEX(Документация!$D$2:$D$57,MATCH($H149,Документация!$F$2:$F$57,0)),""),IFERROR(INDEX(Работы!$C$2:$C$6000,MATCH($C149,Работы!$A$2:$A$6000,0)),"")))</f>
        <v/>
      </c>
      <c r="F149" t="str">
        <f>IF($C149="","",IFERROR(INDEX(Работы!$G$2:$G$6000,MATCH($C149,Работы!$A$2:$A$6000,0))&amp;"",""))</f>
        <v/>
      </c>
      <c r="G149" s="4"/>
      <c r="H149" s="4"/>
      <c r="I149" s="5" t="str">
        <f>IF((LEFT($F149,3)="ДОК"),"",IF($H149="","",IFERROR(INDEX(Материалы!$B$2:$B$9000,MATCH($H149,Материалы!$M$2:$M$9000,0)),"")))</f>
        <v/>
      </c>
      <c r="J149" s="6">
        <f>IF(AND(LEFT($F149,3)="ДОК",$H149&lt;&gt;""),IFERROR(INDEX(Документация!$E$2:$E$57,MATCH($H149,Документация!$F$2:$F$57,0)),0),IFERROR(INDEX(Работы!$H$2:$H$6000,MATCH($C149,Работы!$A$2:$A$6000,0)),0))*(1-MEDIAN(0,N(ДисконтТендер),1))</f>
        <v>0</v>
      </c>
      <c r="K149" s="6">
        <f>IF(OR((LEFT($F149,3)="ДОК"),$H149=""),0,IFERROR(INDEX(Материалы!$H$2:$H$9000,MATCH($H149,Материалы!$M$2:$M$9000,0))*IF(INDEX(Материалы!$I$2:$I$9000,MATCH($H149,Материалы!$M$2:$M$9000,0))="USD",КурсUSD,IF(INDEX(Материалы!$I$2:$I$9000,MATCH($H149,Материалы!$M$2:$M$9000,0))="EUR",КурсEUR,1))*(1+IFERROR(INDEX(Работы!$I$2:$I$6000,MATCH($C149,Работы!$A$2:$A$6000,0))/100,0))*(1-MEDIAN(0,N(ДисконтТендер),1)),0))</f>
        <v>0</v>
      </c>
      <c r="L149" s="6">
        <f t="shared" si="13"/>
        <v>0</v>
      </c>
      <c r="M149" s="6">
        <f t="shared" si="14"/>
        <v>0</v>
      </c>
      <c r="N149" s="6">
        <f t="shared" si="15"/>
        <v>0</v>
      </c>
      <c r="O149" t="str">
        <f>IF($N149&gt;0,MAX($O$1:$O148)+1,"")</f>
        <v/>
      </c>
      <c r="P149" t="str">
        <f>IF($C149="","",IFERROR(INDEX(Работы!$D$2:$D$6000,MATCH($C149,Работы!$A$2:$A$6000,0)),""))</f>
        <v/>
      </c>
      <c r="Q149" t="str">
        <f t="shared" si="16"/>
        <v/>
      </c>
      <c r="R149" t="str">
        <f t="shared" si="17"/>
        <v/>
      </c>
      <c r="S149" t="str">
        <f>IF($P149="","",$P149&amp;" · "&amp;IFERROR(INDEX(Работы!$E$2:$E$6000,MATCH($C149,Работы!$A$2:$A$6000,0)),""))</f>
        <v/>
      </c>
    </row>
    <row r="150" spans="1:19" x14ac:dyDescent="0.3">
      <c r="A150" s="4"/>
      <c r="B150" s="4"/>
      <c r="C150" t="str">
        <f t="shared" si="12"/>
        <v/>
      </c>
      <c r="D150" s="5" t="str">
        <f>IF($C150="","",IF(AND(LEFT($F150,3)="ДОК",$H150&lt;&gt;""),IFERROR(INDEX(Документация!$G$2:$G$57,MATCH($H150,Документация!$F$2:$F$57,0)),"— вариант не найден —"),IFERROR(INDEX(Работы!$B$2:$B$6000,MATCH($C150,Работы!$A$2:$A$6000,0)),"— нет такого кода —")))</f>
        <v/>
      </c>
      <c r="E150" t="str">
        <f>IF($C150="","",IF(AND(LEFT($F150,3)="ДОК",$H150&lt;&gt;""),IFERROR(INDEX(Документация!$D$2:$D$57,MATCH($H150,Документация!$F$2:$F$57,0)),""),IFERROR(INDEX(Работы!$C$2:$C$6000,MATCH($C150,Работы!$A$2:$A$6000,0)),"")))</f>
        <v/>
      </c>
      <c r="F150" t="str">
        <f>IF($C150="","",IFERROR(INDEX(Работы!$G$2:$G$6000,MATCH($C150,Работы!$A$2:$A$6000,0))&amp;"",""))</f>
        <v/>
      </c>
      <c r="G150" s="4"/>
      <c r="H150" s="4"/>
      <c r="I150" s="5" t="str">
        <f>IF((LEFT($F150,3)="ДОК"),"",IF($H150="","",IFERROR(INDEX(Материалы!$B$2:$B$9000,MATCH($H150,Материалы!$M$2:$M$9000,0)),"")))</f>
        <v/>
      </c>
      <c r="J150" s="6">
        <f>IF(AND(LEFT($F150,3)="ДОК",$H150&lt;&gt;""),IFERROR(INDEX(Документация!$E$2:$E$57,MATCH($H150,Документация!$F$2:$F$57,0)),0),IFERROR(INDEX(Работы!$H$2:$H$6000,MATCH($C150,Работы!$A$2:$A$6000,0)),0))*(1-MEDIAN(0,N(ДисконтТендер),1))</f>
        <v>0</v>
      </c>
      <c r="K150" s="6">
        <f>IF(OR((LEFT($F150,3)="ДОК"),$H150=""),0,IFERROR(INDEX(Материалы!$H$2:$H$9000,MATCH($H150,Материалы!$M$2:$M$9000,0))*IF(INDEX(Материалы!$I$2:$I$9000,MATCH($H150,Материалы!$M$2:$M$9000,0))="USD",КурсUSD,IF(INDEX(Материалы!$I$2:$I$9000,MATCH($H150,Материалы!$M$2:$M$9000,0))="EUR",КурсEUR,1))*(1+IFERROR(INDEX(Работы!$I$2:$I$6000,MATCH($C150,Работы!$A$2:$A$6000,0))/100,0))*(1-MEDIAN(0,N(ДисконтТендер),1)),0))</f>
        <v>0</v>
      </c>
      <c r="L150" s="6">
        <f t="shared" si="13"/>
        <v>0</v>
      </c>
      <c r="M150" s="6">
        <f t="shared" si="14"/>
        <v>0</v>
      </c>
      <c r="N150" s="6">
        <f t="shared" si="15"/>
        <v>0</v>
      </c>
      <c r="O150" t="str">
        <f>IF($N150&gt;0,MAX($O$1:$O149)+1,"")</f>
        <v/>
      </c>
      <c r="P150" t="str">
        <f>IF($C150="","",IFERROR(INDEX(Работы!$D$2:$D$6000,MATCH($C150,Работы!$A$2:$A$6000,0)),""))</f>
        <v/>
      </c>
      <c r="Q150" t="str">
        <f t="shared" si="16"/>
        <v/>
      </c>
      <c r="R150" t="str">
        <f t="shared" si="17"/>
        <v/>
      </c>
      <c r="S150" t="str">
        <f>IF($P150="","",$P150&amp;" · "&amp;IFERROR(INDEX(Работы!$E$2:$E$6000,MATCH($C150,Работы!$A$2:$A$6000,0)),""))</f>
        <v/>
      </c>
    </row>
    <row r="151" spans="1:19" x14ac:dyDescent="0.3">
      <c r="A151" s="4"/>
      <c r="B151" s="4"/>
      <c r="C151" t="str">
        <f t="shared" si="12"/>
        <v/>
      </c>
      <c r="D151" s="5" t="str">
        <f>IF($C151="","",IF(AND(LEFT($F151,3)="ДОК",$H151&lt;&gt;""),IFERROR(INDEX(Документация!$G$2:$G$57,MATCH($H151,Документация!$F$2:$F$57,0)),"— вариант не найден —"),IFERROR(INDEX(Работы!$B$2:$B$6000,MATCH($C151,Работы!$A$2:$A$6000,0)),"— нет такого кода —")))</f>
        <v/>
      </c>
      <c r="E151" t="str">
        <f>IF($C151="","",IF(AND(LEFT($F151,3)="ДОК",$H151&lt;&gt;""),IFERROR(INDEX(Документация!$D$2:$D$57,MATCH($H151,Документация!$F$2:$F$57,0)),""),IFERROR(INDEX(Работы!$C$2:$C$6000,MATCH($C151,Работы!$A$2:$A$6000,0)),"")))</f>
        <v/>
      </c>
      <c r="F151" t="str">
        <f>IF($C151="","",IFERROR(INDEX(Работы!$G$2:$G$6000,MATCH($C151,Работы!$A$2:$A$6000,0))&amp;"",""))</f>
        <v/>
      </c>
      <c r="G151" s="4"/>
      <c r="H151" s="4"/>
      <c r="I151" s="5" t="str">
        <f>IF((LEFT($F151,3)="ДОК"),"",IF($H151="","",IFERROR(INDEX(Материалы!$B$2:$B$9000,MATCH($H151,Материалы!$M$2:$M$9000,0)),"")))</f>
        <v/>
      </c>
      <c r="J151" s="6">
        <f>IF(AND(LEFT($F151,3)="ДОК",$H151&lt;&gt;""),IFERROR(INDEX(Документация!$E$2:$E$57,MATCH($H151,Документация!$F$2:$F$57,0)),0),IFERROR(INDEX(Работы!$H$2:$H$6000,MATCH($C151,Работы!$A$2:$A$6000,0)),0))*(1-MEDIAN(0,N(ДисконтТендер),1))</f>
        <v>0</v>
      </c>
      <c r="K151" s="6">
        <f>IF(OR((LEFT($F151,3)="ДОК"),$H151=""),0,IFERROR(INDEX(Материалы!$H$2:$H$9000,MATCH($H151,Материалы!$M$2:$M$9000,0))*IF(INDEX(Материалы!$I$2:$I$9000,MATCH($H151,Материалы!$M$2:$M$9000,0))="USD",КурсUSD,IF(INDEX(Материалы!$I$2:$I$9000,MATCH($H151,Материалы!$M$2:$M$9000,0))="EUR",КурсEUR,1))*(1+IFERROR(INDEX(Работы!$I$2:$I$6000,MATCH($C151,Работы!$A$2:$A$6000,0))/100,0))*(1-MEDIAN(0,N(ДисконтТендер),1)),0))</f>
        <v>0</v>
      </c>
      <c r="L151" s="6">
        <f t="shared" si="13"/>
        <v>0</v>
      </c>
      <c r="M151" s="6">
        <f t="shared" si="14"/>
        <v>0</v>
      </c>
      <c r="N151" s="6">
        <f t="shared" si="15"/>
        <v>0</v>
      </c>
      <c r="O151" t="str">
        <f>IF($N151&gt;0,MAX($O$1:$O150)+1,"")</f>
        <v/>
      </c>
      <c r="P151" t="str">
        <f>IF($C151="","",IFERROR(INDEX(Работы!$D$2:$D$6000,MATCH($C151,Работы!$A$2:$A$6000,0)),""))</f>
        <v/>
      </c>
      <c r="Q151" t="str">
        <f t="shared" si="16"/>
        <v/>
      </c>
      <c r="R151" t="str">
        <f t="shared" si="17"/>
        <v/>
      </c>
      <c r="S151" t="str">
        <f>IF($P151="","",$P151&amp;" · "&amp;IFERROR(INDEX(Работы!$E$2:$E$6000,MATCH($C151,Работы!$A$2:$A$6000,0)),""))</f>
        <v/>
      </c>
    </row>
    <row r="152" spans="1:19" x14ac:dyDescent="0.3">
      <c r="A152" s="4"/>
      <c r="B152" s="4"/>
      <c r="C152" t="str">
        <f t="shared" si="12"/>
        <v/>
      </c>
      <c r="D152" s="5" t="str">
        <f>IF($C152="","",IF(AND(LEFT($F152,3)="ДОК",$H152&lt;&gt;""),IFERROR(INDEX(Документация!$G$2:$G$57,MATCH($H152,Документация!$F$2:$F$57,0)),"— вариант не найден —"),IFERROR(INDEX(Работы!$B$2:$B$6000,MATCH($C152,Работы!$A$2:$A$6000,0)),"— нет такого кода —")))</f>
        <v/>
      </c>
      <c r="E152" t="str">
        <f>IF($C152="","",IF(AND(LEFT($F152,3)="ДОК",$H152&lt;&gt;""),IFERROR(INDEX(Документация!$D$2:$D$57,MATCH($H152,Документация!$F$2:$F$57,0)),""),IFERROR(INDEX(Работы!$C$2:$C$6000,MATCH($C152,Работы!$A$2:$A$6000,0)),"")))</f>
        <v/>
      </c>
      <c r="F152" t="str">
        <f>IF($C152="","",IFERROR(INDEX(Работы!$G$2:$G$6000,MATCH($C152,Работы!$A$2:$A$6000,0))&amp;"",""))</f>
        <v/>
      </c>
      <c r="G152" s="4"/>
      <c r="H152" s="4"/>
      <c r="I152" s="5" t="str">
        <f>IF((LEFT($F152,3)="ДОК"),"",IF($H152="","",IFERROR(INDEX(Материалы!$B$2:$B$9000,MATCH($H152,Материалы!$M$2:$M$9000,0)),"")))</f>
        <v/>
      </c>
      <c r="J152" s="6">
        <f>IF(AND(LEFT($F152,3)="ДОК",$H152&lt;&gt;""),IFERROR(INDEX(Документация!$E$2:$E$57,MATCH($H152,Документация!$F$2:$F$57,0)),0),IFERROR(INDEX(Работы!$H$2:$H$6000,MATCH($C152,Работы!$A$2:$A$6000,0)),0))*(1-MEDIAN(0,N(ДисконтТендер),1))</f>
        <v>0</v>
      </c>
      <c r="K152" s="6">
        <f>IF(OR((LEFT($F152,3)="ДОК"),$H152=""),0,IFERROR(INDEX(Материалы!$H$2:$H$9000,MATCH($H152,Материалы!$M$2:$M$9000,0))*IF(INDEX(Материалы!$I$2:$I$9000,MATCH($H152,Материалы!$M$2:$M$9000,0))="USD",КурсUSD,IF(INDEX(Материалы!$I$2:$I$9000,MATCH($H152,Материалы!$M$2:$M$9000,0))="EUR",КурсEUR,1))*(1+IFERROR(INDEX(Работы!$I$2:$I$6000,MATCH($C152,Работы!$A$2:$A$6000,0))/100,0))*(1-MEDIAN(0,N(ДисконтТендер),1)),0))</f>
        <v>0</v>
      </c>
      <c r="L152" s="6">
        <f t="shared" si="13"/>
        <v>0</v>
      </c>
      <c r="M152" s="6">
        <f t="shared" si="14"/>
        <v>0</v>
      </c>
      <c r="N152" s="6">
        <f t="shared" si="15"/>
        <v>0</v>
      </c>
      <c r="O152" t="str">
        <f>IF($N152&gt;0,MAX($O$1:$O151)+1,"")</f>
        <v/>
      </c>
      <c r="P152" t="str">
        <f>IF($C152="","",IFERROR(INDEX(Работы!$D$2:$D$6000,MATCH($C152,Работы!$A$2:$A$6000,0)),""))</f>
        <v/>
      </c>
      <c r="Q152" t="str">
        <f t="shared" si="16"/>
        <v/>
      </c>
      <c r="R152" t="str">
        <f t="shared" si="17"/>
        <v/>
      </c>
      <c r="S152" t="str">
        <f>IF($P152="","",$P152&amp;" · "&amp;IFERROR(INDEX(Работы!$E$2:$E$6000,MATCH($C152,Работы!$A$2:$A$6000,0)),""))</f>
        <v/>
      </c>
    </row>
    <row r="153" spans="1:19" x14ac:dyDescent="0.3">
      <c r="A153" s="4"/>
      <c r="B153" s="4"/>
      <c r="C153" t="str">
        <f t="shared" si="12"/>
        <v/>
      </c>
      <c r="D153" s="5" t="str">
        <f>IF($C153="","",IF(AND(LEFT($F153,3)="ДОК",$H153&lt;&gt;""),IFERROR(INDEX(Документация!$G$2:$G$57,MATCH($H153,Документация!$F$2:$F$57,0)),"— вариант не найден —"),IFERROR(INDEX(Работы!$B$2:$B$6000,MATCH($C153,Работы!$A$2:$A$6000,0)),"— нет такого кода —")))</f>
        <v/>
      </c>
      <c r="E153" t="str">
        <f>IF($C153="","",IF(AND(LEFT($F153,3)="ДОК",$H153&lt;&gt;""),IFERROR(INDEX(Документация!$D$2:$D$57,MATCH($H153,Документация!$F$2:$F$57,0)),""),IFERROR(INDEX(Работы!$C$2:$C$6000,MATCH($C153,Работы!$A$2:$A$6000,0)),"")))</f>
        <v/>
      </c>
      <c r="F153" t="str">
        <f>IF($C153="","",IFERROR(INDEX(Работы!$G$2:$G$6000,MATCH($C153,Работы!$A$2:$A$6000,0))&amp;"",""))</f>
        <v/>
      </c>
      <c r="G153" s="4"/>
      <c r="H153" s="4"/>
      <c r="I153" s="5" t="str">
        <f>IF((LEFT($F153,3)="ДОК"),"",IF($H153="","",IFERROR(INDEX(Материалы!$B$2:$B$9000,MATCH($H153,Материалы!$M$2:$M$9000,0)),"")))</f>
        <v/>
      </c>
      <c r="J153" s="6">
        <f>IF(AND(LEFT($F153,3)="ДОК",$H153&lt;&gt;""),IFERROR(INDEX(Документация!$E$2:$E$57,MATCH($H153,Документация!$F$2:$F$57,0)),0),IFERROR(INDEX(Работы!$H$2:$H$6000,MATCH($C153,Работы!$A$2:$A$6000,0)),0))*(1-MEDIAN(0,N(ДисконтТендер),1))</f>
        <v>0</v>
      </c>
      <c r="K153" s="6">
        <f>IF(OR((LEFT($F153,3)="ДОК"),$H153=""),0,IFERROR(INDEX(Материалы!$H$2:$H$9000,MATCH($H153,Материалы!$M$2:$M$9000,0))*IF(INDEX(Материалы!$I$2:$I$9000,MATCH($H153,Материалы!$M$2:$M$9000,0))="USD",КурсUSD,IF(INDEX(Материалы!$I$2:$I$9000,MATCH($H153,Материалы!$M$2:$M$9000,0))="EUR",КурсEUR,1))*(1+IFERROR(INDEX(Работы!$I$2:$I$6000,MATCH($C153,Работы!$A$2:$A$6000,0))/100,0))*(1-MEDIAN(0,N(ДисконтТендер),1)),0))</f>
        <v>0</v>
      </c>
      <c r="L153" s="6">
        <f t="shared" si="13"/>
        <v>0</v>
      </c>
      <c r="M153" s="6">
        <f t="shared" si="14"/>
        <v>0</v>
      </c>
      <c r="N153" s="6">
        <f t="shared" si="15"/>
        <v>0</v>
      </c>
      <c r="O153" t="str">
        <f>IF($N153&gt;0,MAX($O$1:$O152)+1,"")</f>
        <v/>
      </c>
      <c r="P153" t="str">
        <f>IF($C153="","",IFERROR(INDEX(Работы!$D$2:$D$6000,MATCH($C153,Работы!$A$2:$A$6000,0)),""))</f>
        <v/>
      </c>
      <c r="Q153" t="str">
        <f t="shared" si="16"/>
        <v/>
      </c>
      <c r="R153" t="str">
        <f t="shared" si="17"/>
        <v/>
      </c>
      <c r="S153" t="str">
        <f>IF($P153="","",$P153&amp;" · "&amp;IFERROR(INDEX(Работы!$E$2:$E$6000,MATCH($C153,Работы!$A$2:$A$6000,0)),""))</f>
        <v/>
      </c>
    </row>
    <row r="154" spans="1:19" x14ac:dyDescent="0.3">
      <c r="A154" s="4"/>
      <c r="B154" s="4"/>
      <c r="C154" t="str">
        <f t="shared" si="12"/>
        <v/>
      </c>
      <c r="D154" s="5" t="str">
        <f>IF($C154="","",IF(AND(LEFT($F154,3)="ДОК",$H154&lt;&gt;""),IFERROR(INDEX(Документация!$G$2:$G$57,MATCH($H154,Документация!$F$2:$F$57,0)),"— вариант не найден —"),IFERROR(INDEX(Работы!$B$2:$B$6000,MATCH($C154,Работы!$A$2:$A$6000,0)),"— нет такого кода —")))</f>
        <v/>
      </c>
      <c r="E154" t="str">
        <f>IF($C154="","",IF(AND(LEFT($F154,3)="ДОК",$H154&lt;&gt;""),IFERROR(INDEX(Документация!$D$2:$D$57,MATCH($H154,Документация!$F$2:$F$57,0)),""),IFERROR(INDEX(Работы!$C$2:$C$6000,MATCH($C154,Работы!$A$2:$A$6000,0)),"")))</f>
        <v/>
      </c>
      <c r="F154" t="str">
        <f>IF($C154="","",IFERROR(INDEX(Работы!$G$2:$G$6000,MATCH($C154,Работы!$A$2:$A$6000,0))&amp;"",""))</f>
        <v/>
      </c>
      <c r="G154" s="4"/>
      <c r="H154" s="4"/>
      <c r="I154" s="5" t="str">
        <f>IF((LEFT($F154,3)="ДОК"),"",IF($H154="","",IFERROR(INDEX(Материалы!$B$2:$B$9000,MATCH($H154,Материалы!$M$2:$M$9000,0)),"")))</f>
        <v/>
      </c>
      <c r="J154" s="6">
        <f>IF(AND(LEFT($F154,3)="ДОК",$H154&lt;&gt;""),IFERROR(INDEX(Документация!$E$2:$E$57,MATCH($H154,Документация!$F$2:$F$57,0)),0),IFERROR(INDEX(Работы!$H$2:$H$6000,MATCH($C154,Работы!$A$2:$A$6000,0)),0))*(1-MEDIAN(0,N(ДисконтТендер),1))</f>
        <v>0</v>
      </c>
      <c r="K154" s="6">
        <f>IF(OR((LEFT($F154,3)="ДОК"),$H154=""),0,IFERROR(INDEX(Материалы!$H$2:$H$9000,MATCH($H154,Материалы!$M$2:$M$9000,0))*IF(INDEX(Материалы!$I$2:$I$9000,MATCH($H154,Материалы!$M$2:$M$9000,0))="USD",КурсUSD,IF(INDEX(Материалы!$I$2:$I$9000,MATCH($H154,Материалы!$M$2:$M$9000,0))="EUR",КурсEUR,1))*(1+IFERROR(INDEX(Работы!$I$2:$I$6000,MATCH($C154,Работы!$A$2:$A$6000,0))/100,0))*(1-MEDIAN(0,N(ДисконтТендер),1)),0))</f>
        <v>0</v>
      </c>
      <c r="L154" s="6">
        <f t="shared" si="13"/>
        <v>0</v>
      </c>
      <c r="M154" s="6">
        <f t="shared" si="14"/>
        <v>0</v>
      </c>
      <c r="N154" s="6">
        <f t="shared" si="15"/>
        <v>0</v>
      </c>
      <c r="O154" t="str">
        <f>IF($N154&gt;0,MAX($O$1:$O153)+1,"")</f>
        <v/>
      </c>
      <c r="P154" t="str">
        <f>IF($C154="","",IFERROR(INDEX(Работы!$D$2:$D$6000,MATCH($C154,Работы!$A$2:$A$6000,0)),""))</f>
        <v/>
      </c>
      <c r="Q154" t="str">
        <f t="shared" si="16"/>
        <v/>
      </c>
      <c r="R154" t="str">
        <f t="shared" si="17"/>
        <v/>
      </c>
      <c r="S154" t="str">
        <f>IF($P154="","",$P154&amp;" · "&amp;IFERROR(INDEX(Работы!$E$2:$E$6000,MATCH($C154,Работы!$A$2:$A$6000,0)),""))</f>
        <v/>
      </c>
    </row>
    <row r="155" spans="1:19" x14ac:dyDescent="0.3">
      <c r="A155" s="4"/>
      <c r="B155" s="4"/>
      <c r="C155" t="str">
        <f t="shared" si="12"/>
        <v/>
      </c>
      <c r="D155" s="5" t="str">
        <f>IF($C155="","",IF(AND(LEFT($F155,3)="ДОК",$H155&lt;&gt;""),IFERROR(INDEX(Документация!$G$2:$G$57,MATCH($H155,Документация!$F$2:$F$57,0)),"— вариант не найден —"),IFERROR(INDEX(Работы!$B$2:$B$6000,MATCH($C155,Работы!$A$2:$A$6000,0)),"— нет такого кода —")))</f>
        <v/>
      </c>
      <c r="E155" t="str">
        <f>IF($C155="","",IF(AND(LEFT($F155,3)="ДОК",$H155&lt;&gt;""),IFERROR(INDEX(Документация!$D$2:$D$57,MATCH($H155,Документация!$F$2:$F$57,0)),""),IFERROR(INDEX(Работы!$C$2:$C$6000,MATCH($C155,Работы!$A$2:$A$6000,0)),"")))</f>
        <v/>
      </c>
      <c r="F155" t="str">
        <f>IF($C155="","",IFERROR(INDEX(Работы!$G$2:$G$6000,MATCH($C155,Работы!$A$2:$A$6000,0))&amp;"",""))</f>
        <v/>
      </c>
      <c r="G155" s="4"/>
      <c r="H155" s="4"/>
      <c r="I155" s="5" t="str">
        <f>IF((LEFT($F155,3)="ДОК"),"",IF($H155="","",IFERROR(INDEX(Материалы!$B$2:$B$9000,MATCH($H155,Материалы!$M$2:$M$9000,0)),"")))</f>
        <v/>
      </c>
      <c r="J155" s="6">
        <f>IF(AND(LEFT($F155,3)="ДОК",$H155&lt;&gt;""),IFERROR(INDEX(Документация!$E$2:$E$57,MATCH($H155,Документация!$F$2:$F$57,0)),0),IFERROR(INDEX(Работы!$H$2:$H$6000,MATCH($C155,Работы!$A$2:$A$6000,0)),0))*(1-MEDIAN(0,N(ДисконтТендер),1))</f>
        <v>0</v>
      </c>
      <c r="K155" s="6">
        <f>IF(OR((LEFT($F155,3)="ДОК"),$H155=""),0,IFERROR(INDEX(Материалы!$H$2:$H$9000,MATCH($H155,Материалы!$M$2:$M$9000,0))*IF(INDEX(Материалы!$I$2:$I$9000,MATCH($H155,Материалы!$M$2:$M$9000,0))="USD",КурсUSD,IF(INDEX(Материалы!$I$2:$I$9000,MATCH($H155,Материалы!$M$2:$M$9000,0))="EUR",КурсEUR,1))*(1+IFERROR(INDEX(Работы!$I$2:$I$6000,MATCH($C155,Работы!$A$2:$A$6000,0))/100,0))*(1-MEDIAN(0,N(ДисконтТендер),1)),0))</f>
        <v>0</v>
      </c>
      <c r="L155" s="6">
        <f t="shared" si="13"/>
        <v>0</v>
      </c>
      <c r="M155" s="6">
        <f t="shared" si="14"/>
        <v>0</v>
      </c>
      <c r="N155" s="6">
        <f t="shared" si="15"/>
        <v>0</v>
      </c>
      <c r="O155" t="str">
        <f>IF($N155&gt;0,MAX($O$1:$O154)+1,"")</f>
        <v/>
      </c>
      <c r="P155" t="str">
        <f>IF($C155="","",IFERROR(INDEX(Работы!$D$2:$D$6000,MATCH($C155,Работы!$A$2:$A$6000,0)),""))</f>
        <v/>
      </c>
      <c r="Q155" t="str">
        <f t="shared" si="16"/>
        <v/>
      </c>
      <c r="R155" t="str">
        <f t="shared" si="17"/>
        <v/>
      </c>
      <c r="S155" t="str">
        <f>IF($P155="","",$P155&amp;" · "&amp;IFERROR(INDEX(Работы!$E$2:$E$6000,MATCH($C155,Работы!$A$2:$A$6000,0)),""))</f>
        <v/>
      </c>
    </row>
    <row r="156" spans="1:19" x14ac:dyDescent="0.3">
      <c r="A156" s="4"/>
      <c r="B156" s="4"/>
      <c r="C156" t="str">
        <f t="shared" si="12"/>
        <v/>
      </c>
      <c r="D156" s="5" t="str">
        <f>IF($C156="","",IF(AND(LEFT($F156,3)="ДОК",$H156&lt;&gt;""),IFERROR(INDEX(Документация!$G$2:$G$57,MATCH($H156,Документация!$F$2:$F$57,0)),"— вариант не найден —"),IFERROR(INDEX(Работы!$B$2:$B$6000,MATCH($C156,Работы!$A$2:$A$6000,0)),"— нет такого кода —")))</f>
        <v/>
      </c>
      <c r="E156" t="str">
        <f>IF($C156="","",IF(AND(LEFT($F156,3)="ДОК",$H156&lt;&gt;""),IFERROR(INDEX(Документация!$D$2:$D$57,MATCH($H156,Документация!$F$2:$F$57,0)),""),IFERROR(INDEX(Работы!$C$2:$C$6000,MATCH($C156,Работы!$A$2:$A$6000,0)),"")))</f>
        <v/>
      </c>
      <c r="F156" t="str">
        <f>IF($C156="","",IFERROR(INDEX(Работы!$G$2:$G$6000,MATCH($C156,Работы!$A$2:$A$6000,0))&amp;"",""))</f>
        <v/>
      </c>
      <c r="G156" s="4"/>
      <c r="H156" s="4"/>
      <c r="I156" s="5" t="str">
        <f>IF((LEFT($F156,3)="ДОК"),"",IF($H156="","",IFERROR(INDEX(Материалы!$B$2:$B$9000,MATCH($H156,Материалы!$M$2:$M$9000,0)),"")))</f>
        <v/>
      </c>
      <c r="J156" s="6">
        <f>IF(AND(LEFT($F156,3)="ДОК",$H156&lt;&gt;""),IFERROR(INDEX(Документация!$E$2:$E$57,MATCH($H156,Документация!$F$2:$F$57,0)),0),IFERROR(INDEX(Работы!$H$2:$H$6000,MATCH($C156,Работы!$A$2:$A$6000,0)),0))*(1-MEDIAN(0,N(ДисконтТендер),1))</f>
        <v>0</v>
      </c>
      <c r="K156" s="6">
        <f>IF(OR((LEFT($F156,3)="ДОК"),$H156=""),0,IFERROR(INDEX(Материалы!$H$2:$H$9000,MATCH($H156,Материалы!$M$2:$M$9000,0))*IF(INDEX(Материалы!$I$2:$I$9000,MATCH($H156,Материалы!$M$2:$M$9000,0))="USD",КурсUSD,IF(INDEX(Материалы!$I$2:$I$9000,MATCH($H156,Материалы!$M$2:$M$9000,0))="EUR",КурсEUR,1))*(1+IFERROR(INDEX(Работы!$I$2:$I$6000,MATCH($C156,Работы!$A$2:$A$6000,0))/100,0))*(1-MEDIAN(0,N(ДисконтТендер),1)),0))</f>
        <v>0</v>
      </c>
      <c r="L156" s="6">
        <f t="shared" si="13"/>
        <v>0</v>
      </c>
      <c r="M156" s="6">
        <f t="shared" si="14"/>
        <v>0</v>
      </c>
      <c r="N156" s="6">
        <f t="shared" si="15"/>
        <v>0</v>
      </c>
      <c r="O156" t="str">
        <f>IF($N156&gt;0,MAX($O$1:$O155)+1,"")</f>
        <v/>
      </c>
      <c r="P156" t="str">
        <f>IF($C156="","",IFERROR(INDEX(Работы!$D$2:$D$6000,MATCH($C156,Работы!$A$2:$A$6000,0)),""))</f>
        <v/>
      </c>
      <c r="Q156" t="str">
        <f t="shared" si="16"/>
        <v/>
      </c>
      <c r="R156" t="str">
        <f t="shared" si="17"/>
        <v/>
      </c>
      <c r="S156" t="str">
        <f>IF($P156="","",$P156&amp;" · "&amp;IFERROR(INDEX(Работы!$E$2:$E$6000,MATCH($C156,Работы!$A$2:$A$6000,0)),""))</f>
        <v/>
      </c>
    </row>
    <row r="157" spans="1:19" x14ac:dyDescent="0.3">
      <c r="A157" s="4"/>
      <c r="B157" s="4"/>
      <c r="C157" t="str">
        <f t="shared" si="12"/>
        <v/>
      </c>
      <c r="D157" s="5" t="str">
        <f>IF($C157="","",IF(AND(LEFT($F157,3)="ДОК",$H157&lt;&gt;""),IFERROR(INDEX(Документация!$G$2:$G$57,MATCH($H157,Документация!$F$2:$F$57,0)),"— вариант не найден —"),IFERROR(INDEX(Работы!$B$2:$B$6000,MATCH($C157,Работы!$A$2:$A$6000,0)),"— нет такого кода —")))</f>
        <v/>
      </c>
      <c r="E157" t="str">
        <f>IF($C157="","",IF(AND(LEFT($F157,3)="ДОК",$H157&lt;&gt;""),IFERROR(INDEX(Документация!$D$2:$D$57,MATCH($H157,Документация!$F$2:$F$57,0)),""),IFERROR(INDEX(Работы!$C$2:$C$6000,MATCH($C157,Работы!$A$2:$A$6000,0)),"")))</f>
        <v/>
      </c>
      <c r="F157" t="str">
        <f>IF($C157="","",IFERROR(INDEX(Работы!$G$2:$G$6000,MATCH($C157,Работы!$A$2:$A$6000,0))&amp;"",""))</f>
        <v/>
      </c>
      <c r="G157" s="4"/>
      <c r="H157" s="4"/>
      <c r="I157" s="5" t="str">
        <f>IF((LEFT($F157,3)="ДОК"),"",IF($H157="","",IFERROR(INDEX(Материалы!$B$2:$B$9000,MATCH($H157,Материалы!$M$2:$M$9000,0)),"")))</f>
        <v/>
      </c>
      <c r="J157" s="6">
        <f>IF(AND(LEFT($F157,3)="ДОК",$H157&lt;&gt;""),IFERROR(INDEX(Документация!$E$2:$E$57,MATCH($H157,Документация!$F$2:$F$57,0)),0),IFERROR(INDEX(Работы!$H$2:$H$6000,MATCH($C157,Работы!$A$2:$A$6000,0)),0))*(1-MEDIAN(0,N(ДисконтТендер),1))</f>
        <v>0</v>
      </c>
      <c r="K157" s="6">
        <f>IF(OR((LEFT($F157,3)="ДОК"),$H157=""),0,IFERROR(INDEX(Материалы!$H$2:$H$9000,MATCH($H157,Материалы!$M$2:$M$9000,0))*IF(INDEX(Материалы!$I$2:$I$9000,MATCH($H157,Материалы!$M$2:$M$9000,0))="USD",КурсUSD,IF(INDEX(Материалы!$I$2:$I$9000,MATCH($H157,Материалы!$M$2:$M$9000,0))="EUR",КурсEUR,1))*(1+IFERROR(INDEX(Работы!$I$2:$I$6000,MATCH($C157,Работы!$A$2:$A$6000,0))/100,0))*(1-MEDIAN(0,N(ДисконтТендер),1)),0))</f>
        <v>0</v>
      </c>
      <c r="L157" s="6">
        <f t="shared" si="13"/>
        <v>0</v>
      </c>
      <c r="M157" s="6">
        <f t="shared" si="14"/>
        <v>0</v>
      </c>
      <c r="N157" s="6">
        <f t="shared" si="15"/>
        <v>0</v>
      </c>
      <c r="O157" t="str">
        <f>IF($N157&gt;0,MAX($O$1:$O156)+1,"")</f>
        <v/>
      </c>
      <c r="P157" t="str">
        <f>IF($C157="","",IFERROR(INDEX(Работы!$D$2:$D$6000,MATCH($C157,Работы!$A$2:$A$6000,0)),""))</f>
        <v/>
      </c>
      <c r="Q157" t="str">
        <f t="shared" si="16"/>
        <v/>
      </c>
      <c r="R157" t="str">
        <f t="shared" si="17"/>
        <v/>
      </c>
      <c r="S157" t="str">
        <f>IF($P157="","",$P157&amp;" · "&amp;IFERROR(INDEX(Работы!$E$2:$E$6000,MATCH($C157,Работы!$A$2:$A$6000,0)),""))</f>
        <v/>
      </c>
    </row>
    <row r="158" spans="1:19" x14ac:dyDescent="0.3">
      <c r="A158" s="4"/>
      <c r="B158" s="4"/>
      <c r="C158" t="str">
        <f t="shared" si="12"/>
        <v/>
      </c>
      <c r="D158" s="5" t="str">
        <f>IF($C158="","",IF(AND(LEFT($F158,3)="ДОК",$H158&lt;&gt;""),IFERROR(INDEX(Документация!$G$2:$G$57,MATCH($H158,Документация!$F$2:$F$57,0)),"— вариант не найден —"),IFERROR(INDEX(Работы!$B$2:$B$6000,MATCH($C158,Работы!$A$2:$A$6000,0)),"— нет такого кода —")))</f>
        <v/>
      </c>
      <c r="E158" t="str">
        <f>IF($C158="","",IF(AND(LEFT($F158,3)="ДОК",$H158&lt;&gt;""),IFERROR(INDEX(Документация!$D$2:$D$57,MATCH($H158,Документация!$F$2:$F$57,0)),""),IFERROR(INDEX(Работы!$C$2:$C$6000,MATCH($C158,Работы!$A$2:$A$6000,0)),"")))</f>
        <v/>
      </c>
      <c r="F158" t="str">
        <f>IF($C158="","",IFERROR(INDEX(Работы!$G$2:$G$6000,MATCH($C158,Работы!$A$2:$A$6000,0))&amp;"",""))</f>
        <v/>
      </c>
      <c r="G158" s="4"/>
      <c r="H158" s="4"/>
      <c r="I158" s="5" t="str">
        <f>IF((LEFT($F158,3)="ДОК"),"",IF($H158="","",IFERROR(INDEX(Материалы!$B$2:$B$9000,MATCH($H158,Материалы!$M$2:$M$9000,0)),"")))</f>
        <v/>
      </c>
      <c r="J158" s="6">
        <f>IF(AND(LEFT($F158,3)="ДОК",$H158&lt;&gt;""),IFERROR(INDEX(Документация!$E$2:$E$57,MATCH($H158,Документация!$F$2:$F$57,0)),0),IFERROR(INDEX(Работы!$H$2:$H$6000,MATCH($C158,Работы!$A$2:$A$6000,0)),0))*(1-MEDIAN(0,N(ДисконтТендер),1))</f>
        <v>0</v>
      </c>
      <c r="K158" s="6">
        <f>IF(OR((LEFT($F158,3)="ДОК"),$H158=""),0,IFERROR(INDEX(Материалы!$H$2:$H$9000,MATCH($H158,Материалы!$M$2:$M$9000,0))*IF(INDEX(Материалы!$I$2:$I$9000,MATCH($H158,Материалы!$M$2:$M$9000,0))="USD",КурсUSD,IF(INDEX(Материалы!$I$2:$I$9000,MATCH($H158,Материалы!$M$2:$M$9000,0))="EUR",КурсEUR,1))*(1+IFERROR(INDEX(Работы!$I$2:$I$6000,MATCH($C158,Работы!$A$2:$A$6000,0))/100,0))*(1-MEDIAN(0,N(ДисконтТендер),1)),0))</f>
        <v>0</v>
      </c>
      <c r="L158" s="6">
        <f t="shared" si="13"/>
        <v>0</v>
      </c>
      <c r="M158" s="6">
        <f t="shared" si="14"/>
        <v>0</v>
      </c>
      <c r="N158" s="6">
        <f t="shared" si="15"/>
        <v>0</v>
      </c>
      <c r="O158" t="str">
        <f>IF($N158&gt;0,MAX($O$1:$O157)+1,"")</f>
        <v/>
      </c>
      <c r="P158" t="str">
        <f>IF($C158="","",IFERROR(INDEX(Работы!$D$2:$D$6000,MATCH($C158,Работы!$A$2:$A$6000,0)),""))</f>
        <v/>
      </c>
      <c r="Q158" t="str">
        <f t="shared" si="16"/>
        <v/>
      </c>
      <c r="R158" t="str">
        <f t="shared" si="17"/>
        <v/>
      </c>
      <c r="S158" t="str">
        <f>IF($P158="","",$P158&amp;" · "&amp;IFERROR(INDEX(Работы!$E$2:$E$6000,MATCH($C158,Работы!$A$2:$A$6000,0)),""))</f>
        <v/>
      </c>
    </row>
    <row r="159" spans="1:19" x14ac:dyDescent="0.3">
      <c r="A159" s="4"/>
      <c r="B159" s="4"/>
      <c r="C159" t="str">
        <f t="shared" si="12"/>
        <v/>
      </c>
      <c r="D159" s="5" t="str">
        <f>IF($C159="","",IF(AND(LEFT($F159,3)="ДОК",$H159&lt;&gt;""),IFERROR(INDEX(Документация!$G$2:$G$57,MATCH($H159,Документация!$F$2:$F$57,0)),"— вариант не найден —"),IFERROR(INDEX(Работы!$B$2:$B$6000,MATCH($C159,Работы!$A$2:$A$6000,0)),"— нет такого кода —")))</f>
        <v/>
      </c>
      <c r="E159" t="str">
        <f>IF($C159="","",IF(AND(LEFT($F159,3)="ДОК",$H159&lt;&gt;""),IFERROR(INDEX(Документация!$D$2:$D$57,MATCH($H159,Документация!$F$2:$F$57,0)),""),IFERROR(INDEX(Работы!$C$2:$C$6000,MATCH($C159,Работы!$A$2:$A$6000,0)),"")))</f>
        <v/>
      </c>
      <c r="F159" t="str">
        <f>IF($C159="","",IFERROR(INDEX(Работы!$G$2:$G$6000,MATCH($C159,Работы!$A$2:$A$6000,0))&amp;"",""))</f>
        <v/>
      </c>
      <c r="G159" s="4"/>
      <c r="H159" s="4"/>
      <c r="I159" s="5" t="str">
        <f>IF((LEFT($F159,3)="ДОК"),"",IF($H159="","",IFERROR(INDEX(Материалы!$B$2:$B$9000,MATCH($H159,Материалы!$M$2:$M$9000,0)),"")))</f>
        <v/>
      </c>
      <c r="J159" s="6">
        <f>IF(AND(LEFT($F159,3)="ДОК",$H159&lt;&gt;""),IFERROR(INDEX(Документация!$E$2:$E$57,MATCH($H159,Документация!$F$2:$F$57,0)),0),IFERROR(INDEX(Работы!$H$2:$H$6000,MATCH($C159,Работы!$A$2:$A$6000,0)),0))*(1-MEDIAN(0,N(ДисконтТендер),1))</f>
        <v>0</v>
      </c>
      <c r="K159" s="6">
        <f>IF(OR((LEFT($F159,3)="ДОК"),$H159=""),0,IFERROR(INDEX(Материалы!$H$2:$H$9000,MATCH($H159,Материалы!$M$2:$M$9000,0))*IF(INDEX(Материалы!$I$2:$I$9000,MATCH($H159,Материалы!$M$2:$M$9000,0))="USD",КурсUSD,IF(INDEX(Материалы!$I$2:$I$9000,MATCH($H159,Материалы!$M$2:$M$9000,0))="EUR",КурсEUR,1))*(1+IFERROR(INDEX(Работы!$I$2:$I$6000,MATCH($C159,Работы!$A$2:$A$6000,0))/100,0))*(1-MEDIAN(0,N(ДисконтТендер),1)),0))</f>
        <v>0</v>
      </c>
      <c r="L159" s="6">
        <f t="shared" si="13"/>
        <v>0</v>
      </c>
      <c r="M159" s="6">
        <f t="shared" si="14"/>
        <v>0</v>
      </c>
      <c r="N159" s="6">
        <f t="shared" si="15"/>
        <v>0</v>
      </c>
      <c r="O159" t="str">
        <f>IF($N159&gt;0,MAX($O$1:$O158)+1,"")</f>
        <v/>
      </c>
      <c r="P159" t="str">
        <f>IF($C159="","",IFERROR(INDEX(Работы!$D$2:$D$6000,MATCH($C159,Работы!$A$2:$A$6000,0)),""))</f>
        <v/>
      </c>
      <c r="Q159" t="str">
        <f t="shared" si="16"/>
        <v/>
      </c>
      <c r="R159" t="str">
        <f t="shared" si="17"/>
        <v/>
      </c>
      <c r="S159" t="str">
        <f>IF($P159="","",$P159&amp;" · "&amp;IFERROR(INDEX(Работы!$E$2:$E$6000,MATCH($C159,Работы!$A$2:$A$6000,0)),""))</f>
        <v/>
      </c>
    </row>
    <row r="160" spans="1:19" x14ac:dyDescent="0.3">
      <c r="A160" s="4"/>
      <c r="B160" s="4"/>
      <c r="C160" t="str">
        <f t="shared" si="12"/>
        <v/>
      </c>
      <c r="D160" s="5" t="str">
        <f>IF($C160="","",IF(AND(LEFT($F160,3)="ДОК",$H160&lt;&gt;""),IFERROR(INDEX(Документация!$G$2:$G$57,MATCH($H160,Документация!$F$2:$F$57,0)),"— вариант не найден —"),IFERROR(INDEX(Работы!$B$2:$B$6000,MATCH($C160,Работы!$A$2:$A$6000,0)),"— нет такого кода —")))</f>
        <v/>
      </c>
      <c r="E160" t="str">
        <f>IF($C160="","",IF(AND(LEFT($F160,3)="ДОК",$H160&lt;&gt;""),IFERROR(INDEX(Документация!$D$2:$D$57,MATCH($H160,Документация!$F$2:$F$57,0)),""),IFERROR(INDEX(Работы!$C$2:$C$6000,MATCH($C160,Работы!$A$2:$A$6000,0)),"")))</f>
        <v/>
      </c>
      <c r="F160" t="str">
        <f>IF($C160="","",IFERROR(INDEX(Работы!$G$2:$G$6000,MATCH($C160,Работы!$A$2:$A$6000,0))&amp;"",""))</f>
        <v/>
      </c>
      <c r="G160" s="4"/>
      <c r="H160" s="4"/>
      <c r="I160" s="5" t="str">
        <f>IF((LEFT($F160,3)="ДОК"),"",IF($H160="","",IFERROR(INDEX(Материалы!$B$2:$B$9000,MATCH($H160,Материалы!$M$2:$M$9000,0)),"")))</f>
        <v/>
      </c>
      <c r="J160" s="6">
        <f>IF(AND(LEFT($F160,3)="ДОК",$H160&lt;&gt;""),IFERROR(INDEX(Документация!$E$2:$E$57,MATCH($H160,Документация!$F$2:$F$57,0)),0),IFERROR(INDEX(Работы!$H$2:$H$6000,MATCH($C160,Работы!$A$2:$A$6000,0)),0))*(1-MEDIAN(0,N(ДисконтТендер),1))</f>
        <v>0</v>
      </c>
      <c r="K160" s="6">
        <f>IF(OR((LEFT($F160,3)="ДОК"),$H160=""),0,IFERROR(INDEX(Материалы!$H$2:$H$9000,MATCH($H160,Материалы!$M$2:$M$9000,0))*IF(INDEX(Материалы!$I$2:$I$9000,MATCH($H160,Материалы!$M$2:$M$9000,0))="USD",КурсUSD,IF(INDEX(Материалы!$I$2:$I$9000,MATCH($H160,Материалы!$M$2:$M$9000,0))="EUR",КурсEUR,1))*(1+IFERROR(INDEX(Работы!$I$2:$I$6000,MATCH($C160,Работы!$A$2:$A$6000,0))/100,0))*(1-MEDIAN(0,N(ДисконтТендер),1)),0))</f>
        <v>0</v>
      </c>
      <c r="L160" s="6">
        <f t="shared" si="13"/>
        <v>0</v>
      </c>
      <c r="M160" s="6">
        <f t="shared" si="14"/>
        <v>0</v>
      </c>
      <c r="N160" s="6">
        <f t="shared" si="15"/>
        <v>0</v>
      </c>
      <c r="O160" t="str">
        <f>IF($N160&gt;0,MAX($O$1:$O159)+1,"")</f>
        <v/>
      </c>
      <c r="P160" t="str">
        <f>IF($C160="","",IFERROR(INDEX(Работы!$D$2:$D$6000,MATCH($C160,Работы!$A$2:$A$6000,0)),""))</f>
        <v/>
      </c>
      <c r="Q160" t="str">
        <f t="shared" si="16"/>
        <v/>
      </c>
      <c r="R160" t="str">
        <f t="shared" si="17"/>
        <v/>
      </c>
      <c r="S160" t="str">
        <f>IF($P160="","",$P160&amp;" · "&amp;IFERROR(INDEX(Работы!$E$2:$E$6000,MATCH($C160,Работы!$A$2:$A$6000,0)),""))</f>
        <v/>
      </c>
    </row>
    <row r="161" spans="1:19" x14ac:dyDescent="0.3">
      <c r="A161" s="4"/>
      <c r="B161" s="4"/>
      <c r="C161" t="str">
        <f t="shared" si="12"/>
        <v/>
      </c>
      <c r="D161" s="5" t="str">
        <f>IF($C161="","",IF(AND(LEFT($F161,3)="ДОК",$H161&lt;&gt;""),IFERROR(INDEX(Документация!$G$2:$G$57,MATCH($H161,Документация!$F$2:$F$57,0)),"— вариант не найден —"),IFERROR(INDEX(Работы!$B$2:$B$6000,MATCH($C161,Работы!$A$2:$A$6000,0)),"— нет такого кода —")))</f>
        <v/>
      </c>
      <c r="E161" t="str">
        <f>IF($C161="","",IF(AND(LEFT($F161,3)="ДОК",$H161&lt;&gt;""),IFERROR(INDEX(Документация!$D$2:$D$57,MATCH($H161,Документация!$F$2:$F$57,0)),""),IFERROR(INDEX(Работы!$C$2:$C$6000,MATCH($C161,Работы!$A$2:$A$6000,0)),"")))</f>
        <v/>
      </c>
      <c r="F161" t="str">
        <f>IF($C161="","",IFERROR(INDEX(Работы!$G$2:$G$6000,MATCH($C161,Работы!$A$2:$A$6000,0))&amp;"",""))</f>
        <v/>
      </c>
      <c r="G161" s="4"/>
      <c r="H161" s="4"/>
      <c r="I161" s="5" t="str">
        <f>IF((LEFT($F161,3)="ДОК"),"",IF($H161="","",IFERROR(INDEX(Материалы!$B$2:$B$9000,MATCH($H161,Материалы!$M$2:$M$9000,0)),"")))</f>
        <v/>
      </c>
      <c r="J161" s="6">
        <f>IF(AND(LEFT($F161,3)="ДОК",$H161&lt;&gt;""),IFERROR(INDEX(Документация!$E$2:$E$57,MATCH($H161,Документация!$F$2:$F$57,0)),0),IFERROR(INDEX(Работы!$H$2:$H$6000,MATCH($C161,Работы!$A$2:$A$6000,0)),0))*(1-MEDIAN(0,N(ДисконтТендер),1))</f>
        <v>0</v>
      </c>
      <c r="K161" s="6">
        <f>IF(OR((LEFT($F161,3)="ДОК"),$H161=""),0,IFERROR(INDEX(Материалы!$H$2:$H$9000,MATCH($H161,Материалы!$M$2:$M$9000,0))*IF(INDEX(Материалы!$I$2:$I$9000,MATCH($H161,Материалы!$M$2:$M$9000,0))="USD",КурсUSD,IF(INDEX(Материалы!$I$2:$I$9000,MATCH($H161,Материалы!$M$2:$M$9000,0))="EUR",КурсEUR,1))*(1+IFERROR(INDEX(Работы!$I$2:$I$6000,MATCH($C161,Работы!$A$2:$A$6000,0))/100,0))*(1-MEDIAN(0,N(ДисконтТендер),1)),0))</f>
        <v>0</v>
      </c>
      <c r="L161" s="6">
        <f t="shared" si="13"/>
        <v>0</v>
      </c>
      <c r="M161" s="6">
        <f t="shared" si="14"/>
        <v>0</v>
      </c>
      <c r="N161" s="6">
        <f t="shared" si="15"/>
        <v>0</v>
      </c>
      <c r="O161" t="str">
        <f>IF($N161&gt;0,MAX($O$1:$O160)+1,"")</f>
        <v/>
      </c>
      <c r="P161" t="str">
        <f>IF($C161="","",IFERROR(INDEX(Работы!$D$2:$D$6000,MATCH($C161,Работы!$A$2:$A$6000,0)),""))</f>
        <v/>
      </c>
      <c r="Q161" t="str">
        <f t="shared" si="16"/>
        <v/>
      </c>
      <c r="R161" t="str">
        <f t="shared" si="17"/>
        <v/>
      </c>
      <c r="S161" t="str">
        <f>IF($P161="","",$P161&amp;" · "&amp;IFERROR(INDEX(Работы!$E$2:$E$6000,MATCH($C161,Работы!$A$2:$A$6000,0)),""))</f>
        <v/>
      </c>
    </row>
    <row r="162" spans="1:19" x14ac:dyDescent="0.3">
      <c r="A162" s="4"/>
      <c r="B162" s="4"/>
      <c r="C162" t="str">
        <f t="shared" si="12"/>
        <v/>
      </c>
      <c r="D162" s="5" t="str">
        <f>IF($C162="","",IF(AND(LEFT($F162,3)="ДОК",$H162&lt;&gt;""),IFERROR(INDEX(Документация!$G$2:$G$57,MATCH($H162,Документация!$F$2:$F$57,0)),"— вариант не найден —"),IFERROR(INDEX(Работы!$B$2:$B$6000,MATCH($C162,Работы!$A$2:$A$6000,0)),"— нет такого кода —")))</f>
        <v/>
      </c>
      <c r="E162" t="str">
        <f>IF($C162="","",IF(AND(LEFT($F162,3)="ДОК",$H162&lt;&gt;""),IFERROR(INDEX(Документация!$D$2:$D$57,MATCH($H162,Документация!$F$2:$F$57,0)),""),IFERROR(INDEX(Работы!$C$2:$C$6000,MATCH($C162,Работы!$A$2:$A$6000,0)),"")))</f>
        <v/>
      </c>
      <c r="F162" t="str">
        <f>IF($C162="","",IFERROR(INDEX(Работы!$G$2:$G$6000,MATCH($C162,Работы!$A$2:$A$6000,0))&amp;"",""))</f>
        <v/>
      </c>
      <c r="G162" s="4"/>
      <c r="H162" s="4"/>
      <c r="I162" s="5" t="str">
        <f>IF((LEFT($F162,3)="ДОК"),"",IF($H162="","",IFERROR(INDEX(Материалы!$B$2:$B$9000,MATCH($H162,Материалы!$M$2:$M$9000,0)),"")))</f>
        <v/>
      </c>
      <c r="J162" s="6">
        <f>IF(AND(LEFT($F162,3)="ДОК",$H162&lt;&gt;""),IFERROR(INDEX(Документация!$E$2:$E$57,MATCH($H162,Документация!$F$2:$F$57,0)),0),IFERROR(INDEX(Работы!$H$2:$H$6000,MATCH($C162,Работы!$A$2:$A$6000,0)),0))*(1-MEDIAN(0,N(ДисконтТендер),1))</f>
        <v>0</v>
      </c>
      <c r="K162" s="6">
        <f>IF(OR((LEFT($F162,3)="ДОК"),$H162=""),0,IFERROR(INDEX(Материалы!$H$2:$H$9000,MATCH($H162,Материалы!$M$2:$M$9000,0))*IF(INDEX(Материалы!$I$2:$I$9000,MATCH($H162,Материалы!$M$2:$M$9000,0))="USD",КурсUSD,IF(INDEX(Материалы!$I$2:$I$9000,MATCH($H162,Материалы!$M$2:$M$9000,0))="EUR",КурсEUR,1))*(1+IFERROR(INDEX(Работы!$I$2:$I$6000,MATCH($C162,Работы!$A$2:$A$6000,0))/100,0))*(1-MEDIAN(0,N(ДисконтТендер),1)),0))</f>
        <v>0</v>
      </c>
      <c r="L162" s="6">
        <f t="shared" si="13"/>
        <v>0</v>
      </c>
      <c r="M162" s="6">
        <f t="shared" si="14"/>
        <v>0</v>
      </c>
      <c r="N162" s="6">
        <f t="shared" si="15"/>
        <v>0</v>
      </c>
      <c r="O162" t="str">
        <f>IF($N162&gt;0,MAX($O$1:$O161)+1,"")</f>
        <v/>
      </c>
      <c r="P162" t="str">
        <f>IF($C162="","",IFERROR(INDEX(Работы!$D$2:$D$6000,MATCH($C162,Работы!$A$2:$A$6000,0)),""))</f>
        <v/>
      </c>
      <c r="Q162" t="str">
        <f t="shared" si="16"/>
        <v/>
      </c>
      <c r="R162" t="str">
        <f t="shared" si="17"/>
        <v/>
      </c>
      <c r="S162" t="str">
        <f>IF($P162="","",$P162&amp;" · "&amp;IFERROR(INDEX(Работы!$E$2:$E$6000,MATCH($C162,Работы!$A$2:$A$6000,0)),""))</f>
        <v/>
      </c>
    </row>
    <row r="163" spans="1:19" x14ac:dyDescent="0.3">
      <c r="A163" s="4"/>
      <c r="B163" s="4"/>
      <c r="C163" t="str">
        <f t="shared" si="12"/>
        <v/>
      </c>
      <c r="D163" s="5" t="str">
        <f>IF($C163="","",IF(AND(LEFT($F163,3)="ДОК",$H163&lt;&gt;""),IFERROR(INDEX(Документация!$G$2:$G$57,MATCH($H163,Документация!$F$2:$F$57,0)),"— вариант не найден —"),IFERROR(INDEX(Работы!$B$2:$B$6000,MATCH($C163,Работы!$A$2:$A$6000,0)),"— нет такого кода —")))</f>
        <v/>
      </c>
      <c r="E163" t="str">
        <f>IF($C163="","",IF(AND(LEFT($F163,3)="ДОК",$H163&lt;&gt;""),IFERROR(INDEX(Документация!$D$2:$D$57,MATCH($H163,Документация!$F$2:$F$57,0)),""),IFERROR(INDEX(Работы!$C$2:$C$6000,MATCH($C163,Работы!$A$2:$A$6000,0)),"")))</f>
        <v/>
      </c>
      <c r="F163" t="str">
        <f>IF($C163="","",IFERROR(INDEX(Работы!$G$2:$G$6000,MATCH($C163,Работы!$A$2:$A$6000,0))&amp;"",""))</f>
        <v/>
      </c>
      <c r="G163" s="4"/>
      <c r="H163" s="4"/>
      <c r="I163" s="5" t="str">
        <f>IF((LEFT($F163,3)="ДОК"),"",IF($H163="","",IFERROR(INDEX(Материалы!$B$2:$B$9000,MATCH($H163,Материалы!$M$2:$M$9000,0)),"")))</f>
        <v/>
      </c>
      <c r="J163" s="6">
        <f>IF(AND(LEFT($F163,3)="ДОК",$H163&lt;&gt;""),IFERROR(INDEX(Документация!$E$2:$E$57,MATCH($H163,Документация!$F$2:$F$57,0)),0),IFERROR(INDEX(Работы!$H$2:$H$6000,MATCH($C163,Работы!$A$2:$A$6000,0)),0))*(1-MEDIAN(0,N(ДисконтТендер),1))</f>
        <v>0</v>
      </c>
      <c r="K163" s="6">
        <f>IF(OR((LEFT($F163,3)="ДОК"),$H163=""),0,IFERROR(INDEX(Материалы!$H$2:$H$9000,MATCH($H163,Материалы!$M$2:$M$9000,0))*IF(INDEX(Материалы!$I$2:$I$9000,MATCH($H163,Материалы!$M$2:$M$9000,0))="USD",КурсUSD,IF(INDEX(Материалы!$I$2:$I$9000,MATCH($H163,Материалы!$M$2:$M$9000,0))="EUR",КурсEUR,1))*(1+IFERROR(INDEX(Работы!$I$2:$I$6000,MATCH($C163,Работы!$A$2:$A$6000,0))/100,0))*(1-MEDIAN(0,N(ДисконтТендер),1)),0))</f>
        <v>0</v>
      </c>
      <c r="L163" s="6">
        <f t="shared" si="13"/>
        <v>0</v>
      </c>
      <c r="M163" s="6">
        <f t="shared" si="14"/>
        <v>0</v>
      </c>
      <c r="N163" s="6">
        <f t="shared" si="15"/>
        <v>0</v>
      </c>
      <c r="O163" t="str">
        <f>IF($N163&gt;0,MAX($O$1:$O162)+1,"")</f>
        <v/>
      </c>
      <c r="P163" t="str">
        <f>IF($C163="","",IFERROR(INDEX(Работы!$D$2:$D$6000,MATCH($C163,Работы!$A$2:$A$6000,0)),""))</f>
        <v/>
      </c>
      <c r="Q163" t="str">
        <f t="shared" si="16"/>
        <v/>
      </c>
      <c r="R163" t="str">
        <f t="shared" si="17"/>
        <v/>
      </c>
      <c r="S163" t="str">
        <f>IF($P163="","",$P163&amp;" · "&amp;IFERROR(INDEX(Работы!$E$2:$E$6000,MATCH($C163,Работы!$A$2:$A$6000,0)),""))</f>
        <v/>
      </c>
    </row>
    <row r="164" spans="1:19" x14ac:dyDescent="0.3">
      <c r="A164" s="4"/>
      <c r="B164" s="4"/>
      <c r="C164" t="str">
        <f t="shared" si="12"/>
        <v/>
      </c>
      <c r="D164" s="5" t="str">
        <f>IF($C164="","",IF(AND(LEFT($F164,3)="ДОК",$H164&lt;&gt;""),IFERROR(INDEX(Документация!$G$2:$G$57,MATCH($H164,Документация!$F$2:$F$57,0)),"— вариант не найден —"),IFERROR(INDEX(Работы!$B$2:$B$6000,MATCH($C164,Работы!$A$2:$A$6000,0)),"— нет такого кода —")))</f>
        <v/>
      </c>
      <c r="E164" t="str">
        <f>IF($C164="","",IF(AND(LEFT($F164,3)="ДОК",$H164&lt;&gt;""),IFERROR(INDEX(Документация!$D$2:$D$57,MATCH($H164,Документация!$F$2:$F$57,0)),""),IFERROR(INDEX(Работы!$C$2:$C$6000,MATCH($C164,Работы!$A$2:$A$6000,0)),"")))</f>
        <v/>
      </c>
      <c r="F164" t="str">
        <f>IF($C164="","",IFERROR(INDEX(Работы!$G$2:$G$6000,MATCH($C164,Работы!$A$2:$A$6000,0))&amp;"",""))</f>
        <v/>
      </c>
      <c r="G164" s="4"/>
      <c r="H164" s="4"/>
      <c r="I164" s="5" t="str">
        <f>IF((LEFT($F164,3)="ДОК"),"",IF($H164="","",IFERROR(INDEX(Материалы!$B$2:$B$9000,MATCH($H164,Материалы!$M$2:$M$9000,0)),"")))</f>
        <v/>
      </c>
      <c r="J164" s="6">
        <f>IF(AND(LEFT($F164,3)="ДОК",$H164&lt;&gt;""),IFERROR(INDEX(Документация!$E$2:$E$57,MATCH($H164,Документация!$F$2:$F$57,0)),0),IFERROR(INDEX(Работы!$H$2:$H$6000,MATCH($C164,Работы!$A$2:$A$6000,0)),0))*(1-MEDIAN(0,N(ДисконтТендер),1))</f>
        <v>0</v>
      </c>
      <c r="K164" s="6">
        <f>IF(OR((LEFT($F164,3)="ДОК"),$H164=""),0,IFERROR(INDEX(Материалы!$H$2:$H$9000,MATCH($H164,Материалы!$M$2:$M$9000,0))*IF(INDEX(Материалы!$I$2:$I$9000,MATCH($H164,Материалы!$M$2:$M$9000,0))="USD",КурсUSD,IF(INDEX(Материалы!$I$2:$I$9000,MATCH($H164,Материалы!$M$2:$M$9000,0))="EUR",КурсEUR,1))*(1+IFERROR(INDEX(Работы!$I$2:$I$6000,MATCH($C164,Работы!$A$2:$A$6000,0))/100,0))*(1-MEDIAN(0,N(ДисконтТендер),1)),0))</f>
        <v>0</v>
      </c>
      <c r="L164" s="6">
        <f t="shared" si="13"/>
        <v>0</v>
      </c>
      <c r="M164" s="6">
        <f t="shared" si="14"/>
        <v>0</v>
      </c>
      <c r="N164" s="6">
        <f t="shared" si="15"/>
        <v>0</v>
      </c>
      <c r="O164" t="str">
        <f>IF($N164&gt;0,MAX($O$1:$O163)+1,"")</f>
        <v/>
      </c>
      <c r="P164" t="str">
        <f>IF($C164="","",IFERROR(INDEX(Работы!$D$2:$D$6000,MATCH($C164,Работы!$A$2:$A$6000,0)),""))</f>
        <v/>
      </c>
      <c r="Q164" t="str">
        <f t="shared" si="16"/>
        <v/>
      </c>
      <c r="R164" t="str">
        <f t="shared" si="17"/>
        <v/>
      </c>
      <c r="S164" t="str">
        <f>IF($P164="","",$P164&amp;" · "&amp;IFERROR(INDEX(Работы!$E$2:$E$6000,MATCH($C164,Работы!$A$2:$A$6000,0)),""))</f>
        <v/>
      </c>
    </row>
    <row r="165" spans="1:19" x14ac:dyDescent="0.3">
      <c r="A165" s="4"/>
      <c r="B165" s="4"/>
      <c r="C165" t="str">
        <f t="shared" si="12"/>
        <v/>
      </c>
      <c r="D165" s="5" t="str">
        <f>IF($C165="","",IF(AND(LEFT($F165,3)="ДОК",$H165&lt;&gt;""),IFERROR(INDEX(Документация!$G$2:$G$57,MATCH($H165,Документация!$F$2:$F$57,0)),"— вариант не найден —"),IFERROR(INDEX(Работы!$B$2:$B$6000,MATCH($C165,Работы!$A$2:$A$6000,0)),"— нет такого кода —")))</f>
        <v/>
      </c>
      <c r="E165" t="str">
        <f>IF($C165="","",IF(AND(LEFT($F165,3)="ДОК",$H165&lt;&gt;""),IFERROR(INDEX(Документация!$D$2:$D$57,MATCH($H165,Документация!$F$2:$F$57,0)),""),IFERROR(INDEX(Работы!$C$2:$C$6000,MATCH($C165,Работы!$A$2:$A$6000,0)),"")))</f>
        <v/>
      </c>
      <c r="F165" t="str">
        <f>IF($C165="","",IFERROR(INDEX(Работы!$G$2:$G$6000,MATCH($C165,Работы!$A$2:$A$6000,0))&amp;"",""))</f>
        <v/>
      </c>
      <c r="G165" s="4"/>
      <c r="H165" s="4"/>
      <c r="I165" s="5" t="str">
        <f>IF((LEFT($F165,3)="ДОК"),"",IF($H165="","",IFERROR(INDEX(Материалы!$B$2:$B$9000,MATCH($H165,Материалы!$M$2:$M$9000,0)),"")))</f>
        <v/>
      </c>
      <c r="J165" s="6">
        <f>IF(AND(LEFT($F165,3)="ДОК",$H165&lt;&gt;""),IFERROR(INDEX(Документация!$E$2:$E$57,MATCH($H165,Документация!$F$2:$F$57,0)),0),IFERROR(INDEX(Работы!$H$2:$H$6000,MATCH($C165,Работы!$A$2:$A$6000,0)),0))*(1-MEDIAN(0,N(ДисконтТендер),1))</f>
        <v>0</v>
      </c>
      <c r="K165" s="6">
        <f>IF(OR((LEFT($F165,3)="ДОК"),$H165=""),0,IFERROR(INDEX(Материалы!$H$2:$H$9000,MATCH($H165,Материалы!$M$2:$M$9000,0))*IF(INDEX(Материалы!$I$2:$I$9000,MATCH($H165,Материалы!$M$2:$M$9000,0))="USD",КурсUSD,IF(INDEX(Материалы!$I$2:$I$9000,MATCH($H165,Материалы!$M$2:$M$9000,0))="EUR",КурсEUR,1))*(1+IFERROR(INDEX(Работы!$I$2:$I$6000,MATCH($C165,Работы!$A$2:$A$6000,0))/100,0))*(1-MEDIAN(0,N(ДисконтТендер),1)),0))</f>
        <v>0</v>
      </c>
      <c r="L165" s="6">
        <f t="shared" si="13"/>
        <v>0</v>
      </c>
      <c r="M165" s="6">
        <f t="shared" si="14"/>
        <v>0</v>
      </c>
      <c r="N165" s="6">
        <f t="shared" si="15"/>
        <v>0</v>
      </c>
      <c r="O165" t="str">
        <f>IF($N165&gt;0,MAX($O$1:$O164)+1,"")</f>
        <v/>
      </c>
      <c r="P165" t="str">
        <f>IF($C165="","",IFERROR(INDEX(Работы!$D$2:$D$6000,MATCH($C165,Работы!$A$2:$A$6000,0)),""))</f>
        <v/>
      </c>
      <c r="Q165" t="str">
        <f t="shared" si="16"/>
        <v/>
      </c>
      <c r="R165" t="str">
        <f t="shared" si="17"/>
        <v/>
      </c>
      <c r="S165" t="str">
        <f>IF($P165="","",$P165&amp;" · "&amp;IFERROR(INDEX(Работы!$E$2:$E$6000,MATCH($C165,Работы!$A$2:$A$6000,0)),""))</f>
        <v/>
      </c>
    </row>
    <row r="166" spans="1:19" x14ac:dyDescent="0.3">
      <c r="A166" s="4"/>
      <c r="B166" s="4"/>
      <c r="C166" t="str">
        <f t="shared" si="12"/>
        <v/>
      </c>
      <c r="D166" s="5" t="str">
        <f>IF($C166="","",IF(AND(LEFT($F166,3)="ДОК",$H166&lt;&gt;""),IFERROR(INDEX(Документация!$G$2:$G$57,MATCH($H166,Документация!$F$2:$F$57,0)),"— вариант не найден —"),IFERROR(INDEX(Работы!$B$2:$B$6000,MATCH($C166,Работы!$A$2:$A$6000,0)),"— нет такого кода —")))</f>
        <v/>
      </c>
      <c r="E166" t="str">
        <f>IF($C166="","",IF(AND(LEFT($F166,3)="ДОК",$H166&lt;&gt;""),IFERROR(INDEX(Документация!$D$2:$D$57,MATCH($H166,Документация!$F$2:$F$57,0)),""),IFERROR(INDEX(Работы!$C$2:$C$6000,MATCH($C166,Работы!$A$2:$A$6000,0)),"")))</f>
        <v/>
      </c>
      <c r="F166" t="str">
        <f>IF($C166="","",IFERROR(INDEX(Работы!$G$2:$G$6000,MATCH($C166,Работы!$A$2:$A$6000,0))&amp;"",""))</f>
        <v/>
      </c>
      <c r="G166" s="4"/>
      <c r="H166" s="4"/>
      <c r="I166" s="5" t="str">
        <f>IF((LEFT($F166,3)="ДОК"),"",IF($H166="","",IFERROR(INDEX(Материалы!$B$2:$B$9000,MATCH($H166,Материалы!$M$2:$M$9000,0)),"")))</f>
        <v/>
      </c>
      <c r="J166" s="6">
        <f>IF(AND(LEFT($F166,3)="ДОК",$H166&lt;&gt;""),IFERROR(INDEX(Документация!$E$2:$E$57,MATCH($H166,Документация!$F$2:$F$57,0)),0),IFERROR(INDEX(Работы!$H$2:$H$6000,MATCH($C166,Работы!$A$2:$A$6000,0)),0))*(1-MEDIAN(0,N(ДисконтТендер),1))</f>
        <v>0</v>
      </c>
      <c r="K166" s="6">
        <f>IF(OR((LEFT($F166,3)="ДОК"),$H166=""),0,IFERROR(INDEX(Материалы!$H$2:$H$9000,MATCH($H166,Материалы!$M$2:$M$9000,0))*IF(INDEX(Материалы!$I$2:$I$9000,MATCH($H166,Материалы!$M$2:$M$9000,0))="USD",КурсUSD,IF(INDEX(Материалы!$I$2:$I$9000,MATCH($H166,Материалы!$M$2:$M$9000,0))="EUR",КурсEUR,1))*(1+IFERROR(INDEX(Работы!$I$2:$I$6000,MATCH($C166,Работы!$A$2:$A$6000,0))/100,0))*(1-MEDIAN(0,N(ДисконтТендер),1)),0))</f>
        <v>0</v>
      </c>
      <c r="L166" s="6">
        <f t="shared" si="13"/>
        <v>0</v>
      </c>
      <c r="M166" s="6">
        <f t="shared" si="14"/>
        <v>0</v>
      </c>
      <c r="N166" s="6">
        <f t="shared" si="15"/>
        <v>0</v>
      </c>
      <c r="O166" t="str">
        <f>IF($N166&gt;0,MAX($O$1:$O165)+1,"")</f>
        <v/>
      </c>
      <c r="P166" t="str">
        <f>IF($C166="","",IFERROR(INDEX(Работы!$D$2:$D$6000,MATCH($C166,Работы!$A$2:$A$6000,0)),""))</f>
        <v/>
      </c>
      <c r="Q166" t="str">
        <f t="shared" si="16"/>
        <v/>
      </c>
      <c r="R166" t="str">
        <f t="shared" si="17"/>
        <v/>
      </c>
      <c r="S166" t="str">
        <f>IF($P166="","",$P166&amp;" · "&amp;IFERROR(INDEX(Работы!$E$2:$E$6000,MATCH($C166,Работы!$A$2:$A$6000,0)),""))</f>
        <v/>
      </c>
    </row>
    <row r="167" spans="1:19" x14ac:dyDescent="0.3">
      <c r="A167" s="4"/>
      <c r="B167" s="4"/>
      <c r="C167" t="str">
        <f t="shared" si="12"/>
        <v/>
      </c>
      <c r="D167" s="5" t="str">
        <f>IF($C167="","",IF(AND(LEFT($F167,3)="ДОК",$H167&lt;&gt;""),IFERROR(INDEX(Документация!$G$2:$G$57,MATCH($H167,Документация!$F$2:$F$57,0)),"— вариант не найден —"),IFERROR(INDEX(Работы!$B$2:$B$6000,MATCH($C167,Работы!$A$2:$A$6000,0)),"— нет такого кода —")))</f>
        <v/>
      </c>
      <c r="E167" t="str">
        <f>IF($C167="","",IF(AND(LEFT($F167,3)="ДОК",$H167&lt;&gt;""),IFERROR(INDEX(Документация!$D$2:$D$57,MATCH($H167,Документация!$F$2:$F$57,0)),""),IFERROR(INDEX(Работы!$C$2:$C$6000,MATCH($C167,Работы!$A$2:$A$6000,0)),"")))</f>
        <v/>
      </c>
      <c r="F167" t="str">
        <f>IF($C167="","",IFERROR(INDEX(Работы!$G$2:$G$6000,MATCH($C167,Работы!$A$2:$A$6000,0))&amp;"",""))</f>
        <v/>
      </c>
      <c r="G167" s="4"/>
      <c r="H167" s="4"/>
      <c r="I167" s="5" t="str">
        <f>IF((LEFT($F167,3)="ДОК"),"",IF($H167="","",IFERROR(INDEX(Материалы!$B$2:$B$9000,MATCH($H167,Материалы!$M$2:$M$9000,0)),"")))</f>
        <v/>
      </c>
      <c r="J167" s="6">
        <f>IF(AND(LEFT($F167,3)="ДОК",$H167&lt;&gt;""),IFERROR(INDEX(Документация!$E$2:$E$57,MATCH($H167,Документация!$F$2:$F$57,0)),0),IFERROR(INDEX(Работы!$H$2:$H$6000,MATCH($C167,Работы!$A$2:$A$6000,0)),0))*(1-MEDIAN(0,N(ДисконтТендер),1))</f>
        <v>0</v>
      </c>
      <c r="K167" s="6">
        <f>IF(OR((LEFT($F167,3)="ДОК"),$H167=""),0,IFERROR(INDEX(Материалы!$H$2:$H$9000,MATCH($H167,Материалы!$M$2:$M$9000,0))*IF(INDEX(Материалы!$I$2:$I$9000,MATCH($H167,Материалы!$M$2:$M$9000,0))="USD",КурсUSD,IF(INDEX(Материалы!$I$2:$I$9000,MATCH($H167,Материалы!$M$2:$M$9000,0))="EUR",КурсEUR,1))*(1+IFERROR(INDEX(Работы!$I$2:$I$6000,MATCH($C167,Работы!$A$2:$A$6000,0))/100,0))*(1-MEDIAN(0,N(ДисконтТендер),1)),0))</f>
        <v>0</v>
      </c>
      <c r="L167" s="6">
        <f t="shared" si="13"/>
        <v>0</v>
      </c>
      <c r="M167" s="6">
        <f t="shared" si="14"/>
        <v>0</v>
      </c>
      <c r="N167" s="6">
        <f t="shared" si="15"/>
        <v>0</v>
      </c>
      <c r="O167" t="str">
        <f>IF($N167&gt;0,MAX($O$1:$O166)+1,"")</f>
        <v/>
      </c>
      <c r="P167" t="str">
        <f>IF($C167="","",IFERROR(INDEX(Работы!$D$2:$D$6000,MATCH($C167,Работы!$A$2:$A$6000,0)),""))</f>
        <v/>
      </c>
      <c r="Q167" t="str">
        <f t="shared" si="16"/>
        <v/>
      </c>
      <c r="R167" t="str">
        <f t="shared" si="17"/>
        <v/>
      </c>
      <c r="S167" t="str">
        <f>IF($P167="","",$P167&amp;" · "&amp;IFERROR(INDEX(Работы!$E$2:$E$6000,MATCH($C167,Работы!$A$2:$A$6000,0)),""))</f>
        <v/>
      </c>
    </row>
    <row r="168" spans="1:19" x14ac:dyDescent="0.3">
      <c r="A168" s="4"/>
      <c r="B168" s="4"/>
      <c r="C168" t="str">
        <f t="shared" si="12"/>
        <v/>
      </c>
      <c r="D168" s="5" t="str">
        <f>IF($C168="","",IF(AND(LEFT($F168,3)="ДОК",$H168&lt;&gt;""),IFERROR(INDEX(Документация!$G$2:$G$57,MATCH($H168,Документация!$F$2:$F$57,0)),"— вариант не найден —"),IFERROR(INDEX(Работы!$B$2:$B$6000,MATCH($C168,Работы!$A$2:$A$6000,0)),"— нет такого кода —")))</f>
        <v/>
      </c>
      <c r="E168" t="str">
        <f>IF($C168="","",IF(AND(LEFT($F168,3)="ДОК",$H168&lt;&gt;""),IFERROR(INDEX(Документация!$D$2:$D$57,MATCH($H168,Документация!$F$2:$F$57,0)),""),IFERROR(INDEX(Работы!$C$2:$C$6000,MATCH($C168,Работы!$A$2:$A$6000,0)),"")))</f>
        <v/>
      </c>
      <c r="F168" t="str">
        <f>IF($C168="","",IFERROR(INDEX(Работы!$G$2:$G$6000,MATCH($C168,Работы!$A$2:$A$6000,0))&amp;"",""))</f>
        <v/>
      </c>
      <c r="G168" s="4"/>
      <c r="H168" s="4"/>
      <c r="I168" s="5" t="str">
        <f>IF((LEFT($F168,3)="ДОК"),"",IF($H168="","",IFERROR(INDEX(Материалы!$B$2:$B$9000,MATCH($H168,Материалы!$M$2:$M$9000,0)),"")))</f>
        <v/>
      </c>
      <c r="J168" s="6">
        <f>IF(AND(LEFT($F168,3)="ДОК",$H168&lt;&gt;""),IFERROR(INDEX(Документация!$E$2:$E$57,MATCH($H168,Документация!$F$2:$F$57,0)),0),IFERROR(INDEX(Работы!$H$2:$H$6000,MATCH($C168,Работы!$A$2:$A$6000,0)),0))*(1-MEDIAN(0,N(ДисконтТендер),1))</f>
        <v>0</v>
      </c>
      <c r="K168" s="6">
        <f>IF(OR((LEFT($F168,3)="ДОК"),$H168=""),0,IFERROR(INDEX(Материалы!$H$2:$H$9000,MATCH($H168,Материалы!$M$2:$M$9000,0))*IF(INDEX(Материалы!$I$2:$I$9000,MATCH($H168,Материалы!$M$2:$M$9000,0))="USD",КурсUSD,IF(INDEX(Материалы!$I$2:$I$9000,MATCH($H168,Материалы!$M$2:$M$9000,0))="EUR",КурсEUR,1))*(1+IFERROR(INDEX(Работы!$I$2:$I$6000,MATCH($C168,Работы!$A$2:$A$6000,0))/100,0))*(1-MEDIAN(0,N(ДисконтТендер),1)),0))</f>
        <v>0</v>
      </c>
      <c r="L168" s="6">
        <f t="shared" si="13"/>
        <v>0</v>
      </c>
      <c r="M168" s="6">
        <f t="shared" si="14"/>
        <v>0</v>
      </c>
      <c r="N168" s="6">
        <f t="shared" si="15"/>
        <v>0</v>
      </c>
      <c r="O168" t="str">
        <f>IF($N168&gt;0,MAX($O$1:$O167)+1,"")</f>
        <v/>
      </c>
      <c r="P168" t="str">
        <f>IF($C168="","",IFERROR(INDEX(Работы!$D$2:$D$6000,MATCH($C168,Работы!$A$2:$A$6000,0)),""))</f>
        <v/>
      </c>
      <c r="Q168" t="str">
        <f t="shared" si="16"/>
        <v/>
      </c>
      <c r="R168" t="str">
        <f t="shared" si="17"/>
        <v/>
      </c>
      <c r="S168" t="str">
        <f>IF($P168="","",$P168&amp;" · "&amp;IFERROR(INDEX(Работы!$E$2:$E$6000,MATCH($C168,Работы!$A$2:$A$6000,0)),""))</f>
        <v/>
      </c>
    </row>
    <row r="169" spans="1:19" x14ac:dyDescent="0.3">
      <c r="A169" s="4"/>
      <c r="B169" s="4"/>
      <c r="C169" t="str">
        <f t="shared" si="12"/>
        <v/>
      </c>
      <c r="D169" s="5" t="str">
        <f>IF($C169="","",IF(AND(LEFT($F169,3)="ДОК",$H169&lt;&gt;""),IFERROR(INDEX(Документация!$G$2:$G$57,MATCH($H169,Документация!$F$2:$F$57,0)),"— вариант не найден —"),IFERROR(INDEX(Работы!$B$2:$B$6000,MATCH($C169,Работы!$A$2:$A$6000,0)),"— нет такого кода —")))</f>
        <v/>
      </c>
      <c r="E169" t="str">
        <f>IF($C169="","",IF(AND(LEFT($F169,3)="ДОК",$H169&lt;&gt;""),IFERROR(INDEX(Документация!$D$2:$D$57,MATCH($H169,Документация!$F$2:$F$57,0)),""),IFERROR(INDEX(Работы!$C$2:$C$6000,MATCH($C169,Работы!$A$2:$A$6000,0)),"")))</f>
        <v/>
      </c>
      <c r="F169" t="str">
        <f>IF($C169="","",IFERROR(INDEX(Работы!$G$2:$G$6000,MATCH($C169,Работы!$A$2:$A$6000,0))&amp;"",""))</f>
        <v/>
      </c>
      <c r="G169" s="4"/>
      <c r="H169" s="4"/>
      <c r="I169" s="5" t="str">
        <f>IF((LEFT($F169,3)="ДОК"),"",IF($H169="","",IFERROR(INDEX(Материалы!$B$2:$B$9000,MATCH($H169,Материалы!$M$2:$M$9000,0)),"")))</f>
        <v/>
      </c>
      <c r="J169" s="6">
        <f>IF(AND(LEFT($F169,3)="ДОК",$H169&lt;&gt;""),IFERROR(INDEX(Документация!$E$2:$E$57,MATCH($H169,Документация!$F$2:$F$57,0)),0),IFERROR(INDEX(Работы!$H$2:$H$6000,MATCH($C169,Работы!$A$2:$A$6000,0)),0))*(1-MEDIAN(0,N(ДисконтТендер),1))</f>
        <v>0</v>
      </c>
      <c r="K169" s="6">
        <f>IF(OR((LEFT($F169,3)="ДОК"),$H169=""),0,IFERROR(INDEX(Материалы!$H$2:$H$9000,MATCH($H169,Материалы!$M$2:$M$9000,0))*IF(INDEX(Материалы!$I$2:$I$9000,MATCH($H169,Материалы!$M$2:$M$9000,0))="USD",КурсUSD,IF(INDEX(Материалы!$I$2:$I$9000,MATCH($H169,Материалы!$M$2:$M$9000,0))="EUR",КурсEUR,1))*(1+IFERROR(INDEX(Работы!$I$2:$I$6000,MATCH($C169,Работы!$A$2:$A$6000,0))/100,0))*(1-MEDIAN(0,N(ДисконтТендер),1)),0))</f>
        <v>0</v>
      </c>
      <c r="L169" s="6">
        <f t="shared" si="13"/>
        <v>0</v>
      </c>
      <c r="M169" s="6">
        <f t="shared" si="14"/>
        <v>0</v>
      </c>
      <c r="N169" s="6">
        <f t="shared" si="15"/>
        <v>0</v>
      </c>
      <c r="O169" t="str">
        <f>IF($N169&gt;0,MAX($O$1:$O168)+1,"")</f>
        <v/>
      </c>
      <c r="P169" t="str">
        <f>IF($C169="","",IFERROR(INDEX(Работы!$D$2:$D$6000,MATCH($C169,Работы!$A$2:$A$6000,0)),""))</f>
        <v/>
      </c>
      <c r="Q169" t="str">
        <f t="shared" si="16"/>
        <v/>
      </c>
      <c r="R169" t="str">
        <f t="shared" si="17"/>
        <v/>
      </c>
      <c r="S169" t="str">
        <f>IF($P169="","",$P169&amp;" · "&amp;IFERROR(INDEX(Работы!$E$2:$E$6000,MATCH($C169,Работы!$A$2:$A$6000,0)),""))</f>
        <v/>
      </c>
    </row>
    <row r="170" spans="1:19" x14ac:dyDescent="0.3">
      <c r="A170" s="4"/>
      <c r="B170" s="4"/>
      <c r="C170" t="str">
        <f t="shared" si="12"/>
        <v/>
      </c>
      <c r="D170" s="5" t="str">
        <f>IF($C170="","",IF(AND(LEFT($F170,3)="ДОК",$H170&lt;&gt;""),IFERROR(INDEX(Документация!$G$2:$G$57,MATCH($H170,Документация!$F$2:$F$57,0)),"— вариант не найден —"),IFERROR(INDEX(Работы!$B$2:$B$6000,MATCH($C170,Работы!$A$2:$A$6000,0)),"— нет такого кода —")))</f>
        <v/>
      </c>
      <c r="E170" t="str">
        <f>IF($C170="","",IF(AND(LEFT($F170,3)="ДОК",$H170&lt;&gt;""),IFERROR(INDEX(Документация!$D$2:$D$57,MATCH($H170,Документация!$F$2:$F$57,0)),""),IFERROR(INDEX(Работы!$C$2:$C$6000,MATCH($C170,Работы!$A$2:$A$6000,0)),"")))</f>
        <v/>
      </c>
      <c r="F170" t="str">
        <f>IF($C170="","",IFERROR(INDEX(Работы!$G$2:$G$6000,MATCH($C170,Работы!$A$2:$A$6000,0))&amp;"",""))</f>
        <v/>
      </c>
      <c r="G170" s="4"/>
      <c r="H170" s="4"/>
      <c r="I170" s="5" t="str">
        <f>IF((LEFT($F170,3)="ДОК"),"",IF($H170="","",IFERROR(INDEX(Материалы!$B$2:$B$9000,MATCH($H170,Материалы!$M$2:$M$9000,0)),"")))</f>
        <v/>
      </c>
      <c r="J170" s="6">
        <f>IF(AND(LEFT($F170,3)="ДОК",$H170&lt;&gt;""),IFERROR(INDEX(Документация!$E$2:$E$57,MATCH($H170,Документация!$F$2:$F$57,0)),0),IFERROR(INDEX(Работы!$H$2:$H$6000,MATCH($C170,Работы!$A$2:$A$6000,0)),0))*(1-MEDIAN(0,N(ДисконтТендер),1))</f>
        <v>0</v>
      </c>
      <c r="K170" s="6">
        <f>IF(OR((LEFT($F170,3)="ДОК"),$H170=""),0,IFERROR(INDEX(Материалы!$H$2:$H$9000,MATCH($H170,Материалы!$M$2:$M$9000,0))*IF(INDEX(Материалы!$I$2:$I$9000,MATCH($H170,Материалы!$M$2:$M$9000,0))="USD",КурсUSD,IF(INDEX(Материалы!$I$2:$I$9000,MATCH($H170,Материалы!$M$2:$M$9000,0))="EUR",КурсEUR,1))*(1+IFERROR(INDEX(Работы!$I$2:$I$6000,MATCH($C170,Работы!$A$2:$A$6000,0))/100,0))*(1-MEDIAN(0,N(ДисконтТендер),1)),0))</f>
        <v>0</v>
      </c>
      <c r="L170" s="6">
        <f t="shared" si="13"/>
        <v>0</v>
      </c>
      <c r="M170" s="6">
        <f t="shared" si="14"/>
        <v>0</v>
      </c>
      <c r="N170" s="6">
        <f t="shared" si="15"/>
        <v>0</v>
      </c>
      <c r="O170" t="str">
        <f>IF($N170&gt;0,MAX($O$1:$O169)+1,"")</f>
        <v/>
      </c>
      <c r="P170" t="str">
        <f>IF($C170="","",IFERROR(INDEX(Работы!$D$2:$D$6000,MATCH($C170,Работы!$A$2:$A$6000,0)),""))</f>
        <v/>
      </c>
      <c r="Q170" t="str">
        <f t="shared" si="16"/>
        <v/>
      </c>
      <c r="R170" t="str">
        <f t="shared" si="17"/>
        <v/>
      </c>
      <c r="S170" t="str">
        <f>IF($P170="","",$P170&amp;" · "&amp;IFERROR(INDEX(Работы!$E$2:$E$6000,MATCH($C170,Работы!$A$2:$A$6000,0)),""))</f>
        <v/>
      </c>
    </row>
    <row r="171" spans="1:19" x14ac:dyDescent="0.3">
      <c r="A171" s="4"/>
      <c r="B171" s="4"/>
      <c r="C171" t="str">
        <f t="shared" si="12"/>
        <v/>
      </c>
      <c r="D171" s="5" t="str">
        <f>IF($C171="","",IF(AND(LEFT($F171,3)="ДОК",$H171&lt;&gt;""),IFERROR(INDEX(Документация!$G$2:$G$57,MATCH($H171,Документация!$F$2:$F$57,0)),"— вариант не найден —"),IFERROR(INDEX(Работы!$B$2:$B$6000,MATCH($C171,Работы!$A$2:$A$6000,0)),"— нет такого кода —")))</f>
        <v/>
      </c>
      <c r="E171" t="str">
        <f>IF($C171="","",IF(AND(LEFT($F171,3)="ДОК",$H171&lt;&gt;""),IFERROR(INDEX(Документация!$D$2:$D$57,MATCH($H171,Документация!$F$2:$F$57,0)),""),IFERROR(INDEX(Работы!$C$2:$C$6000,MATCH($C171,Работы!$A$2:$A$6000,0)),"")))</f>
        <v/>
      </c>
      <c r="F171" t="str">
        <f>IF($C171="","",IFERROR(INDEX(Работы!$G$2:$G$6000,MATCH($C171,Работы!$A$2:$A$6000,0))&amp;"",""))</f>
        <v/>
      </c>
      <c r="G171" s="4"/>
      <c r="H171" s="4"/>
      <c r="I171" s="5" t="str">
        <f>IF((LEFT($F171,3)="ДОК"),"",IF($H171="","",IFERROR(INDEX(Материалы!$B$2:$B$9000,MATCH($H171,Материалы!$M$2:$M$9000,0)),"")))</f>
        <v/>
      </c>
      <c r="J171" s="6">
        <f>IF(AND(LEFT($F171,3)="ДОК",$H171&lt;&gt;""),IFERROR(INDEX(Документация!$E$2:$E$57,MATCH($H171,Документация!$F$2:$F$57,0)),0),IFERROR(INDEX(Работы!$H$2:$H$6000,MATCH($C171,Работы!$A$2:$A$6000,0)),0))*(1-MEDIAN(0,N(ДисконтТендер),1))</f>
        <v>0</v>
      </c>
      <c r="K171" s="6">
        <f>IF(OR((LEFT($F171,3)="ДОК"),$H171=""),0,IFERROR(INDEX(Материалы!$H$2:$H$9000,MATCH($H171,Материалы!$M$2:$M$9000,0))*IF(INDEX(Материалы!$I$2:$I$9000,MATCH($H171,Материалы!$M$2:$M$9000,0))="USD",КурсUSD,IF(INDEX(Материалы!$I$2:$I$9000,MATCH($H171,Материалы!$M$2:$M$9000,0))="EUR",КурсEUR,1))*(1+IFERROR(INDEX(Работы!$I$2:$I$6000,MATCH($C171,Работы!$A$2:$A$6000,0))/100,0))*(1-MEDIAN(0,N(ДисконтТендер),1)),0))</f>
        <v>0</v>
      </c>
      <c r="L171" s="6">
        <f t="shared" si="13"/>
        <v>0</v>
      </c>
      <c r="M171" s="6">
        <f t="shared" si="14"/>
        <v>0</v>
      </c>
      <c r="N171" s="6">
        <f t="shared" si="15"/>
        <v>0</v>
      </c>
      <c r="O171" t="str">
        <f>IF($N171&gt;0,MAX($O$1:$O170)+1,"")</f>
        <v/>
      </c>
      <c r="P171" t="str">
        <f>IF($C171="","",IFERROR(INDEX(Работы!$D$2:$D$6000,MATCH($C171,Работы!$A$2:$A$6000,0)),""))</f>
        <v/>
      </c>
      <c r="Q171" t="str">
        <f t="shared" si="16"/>
        <v/>
      </c>
      <c r="R171" t="str">
        <f t="shared" si="17"/>
        <v/>
      </c>
      <c r="S171" t="str">
        <f>IF($P171="","",$P171&amp;" · "&amp;IFERROR(INDEX(Работы!$E$2:$E$6000,MATCH($C171,Работы!$A$2:$A$6000,0)),""))</f>
        <v/>
      </c>
    </row>
    <row r="172" spans="1:19" x14ac:dyDescent="0.3">
      <c r="A172" s="4"/>
      <c r="B172" s="4"/>
      <c r="C172" t="str">
        <f t="shared" si="12"/>
        <v/>
      </c>
      <c r="D172" s="5" t="str">
        <f>IF($C172="","",IF(AND(LEFT($F172,3)="ДОК",$H172&lt;&gt;""),IFERROR(INDEX(Документация!$G$2:$G$57,MATCH($H172,Документация!$F$2:$F$57,0)),"— вариант не найден —"),IFERROR(INDEX(Работы!$B$2:$B$6000,MATCH($C172,Работы!$A$2:$A$6000,0)),"— нет такого кода —")))</f>
        <v/>
      </c>
      <c r="E172" t="str">
        <f>IF($C172="","",IF(AND(LEFT($F172,3)="ДОК",$H172&lt;&gt;""),IFERROR(INDEX(Документация!$D$2:$D$57,MATCH($H172,Документация!$F$2:$F$57,0)),""),IFERROR(INDEX(Работы!$C$2:$C$6000,MATCH($C172,Работы!$A$2:$A$6000,0)),"")))</f>
        <v/>
      </c>
      <c r="F172" t="str">
        <f>IF($C172="","",IFERROR(INDEX(Работы!$G$2:$G$6000,MATCH($C172,Работы!$A$2:$A$6000,0))&amp;"",""))</f>
        <v/>
      </c>
      <c r="G172" s="4"/>
      <c r="H172" s="4"/>
      <c r="I172" s="5" t="str">
        <f>IF((LEFT($F172,3)="ДОК"),"",IF($H172="","",IFERROR(INDEX(Материалы!$B$2:$B$9000,MATCH($H172,Материалы!$M$2:$M$9000,0)),"")))</f>
        <v/>
      </c>
      <c r="J172" s="6">
        <f>IF(AND(LEFT($F172,3)="ДОК",$H172&lt;&gt;""),IFERROR(INDEX(Документация!$E$2:$E$57,MATCH($H172,Документация!$F$2:$F$57,0)),0),IFERROR(INDEX(Работы!$H$2:$H$6000,MATCH($C172,Работы!$A$2:$A$6000,0)),0))*(1-MEDIAN(0,N(ДисконтТендер),1))</f>
        <v>0</v>
      </c>
      <c r="K172" s="6">
        <f>IF(OR((LEFT($F172,3)="ДОК"),$H172=""),0,IFERROR(INDEX(Материалы!$H$2:$H$9000,MATCH($H172,Материалы!$M$2:$M$9000,0))*IF(INDEX(Материалы!$I$2:$I$9000,MATCH($H172,Материалы!$M$2:$M$9000,0))="USD",КурсUSD,IF(INDEX(Материалы!$I$2:$I$9000,MATCH($H172,Материалы!$M$2:$M$9000,0))="EUR",КурсEUR,1))*(1+IFERROR(INDEX(Работы!$I$2:$I$6000,MATCH($C172,Работы!$A$2:$A$6000,0))/100,0))*(1-MEDIAN(0,N(ДисконтТендер),1)),0))</f>
        <v>0</v>
      </c>
      <c r="L172" s="6">
        <f t="shared" si="13"/>
        <v>0</v>
      </c>
      <c r="M172" s="6">
        <f t="shared" si="14"/>
        <v>0</v>
      </c>
      <c r="N172" s="6">
        <f t="shared" si="15"/>
        <v>0</v>
      </c>
      <c r="O172" t="str">
        <f>IF($N172&gt;0,MAX($O$1:$O171)+1,"")</f>
        <v/>
      </c>
      <c r="P172" t="str">
        <f>IF($C172="","",IFERROR(INDEX(Работы!$D$2:$D$6000,MATCH($C172,Работы!$A$2:$A$6000,0)),""))</f>
        <v/>
      </c>
      <c r="Q172" t="str">
        <f t="shared" si="16"/>
        <v/>
      </c>
      <c r="R172" t="str">
        <f t="shared" si="17"/>
        <v/>
      </c>
      <c r="S172" t="str">
        <f>IF($P172="","",$P172&amp;" · "&amp;IFERROR(INDEX(Работы!$E$2:$E$6000,MATCH($C172,Работы!$A$2:$A$6000,0)),""))</f>
        <v/>
      </c>
    </row>
    <row r="173" spans="1:19" x14ac:dyDescent="0.3">
      <c r="A173" s="4"/>
      <c r="B173" s="4"/>
      <c r="C173" t="str">
        <f t="shared" si="12"/>
        <v/>
      </c>
      <c r="D173" s="5" t="str">
        <f>IF($C173="","",IF(AND(LEFT($F173,3)="ДОК",$H173&lt;&gt;""),IFERROR(INDEX(Документация!$G$2:$G$57,MATCH($H173,Документация!$F$2:$F$57,0)),"— вариант не найден —"),IFERROR(INDEX(Работы!$B$2:$B$6000,MATCH($C173,Работы!$A$2:$A$6000,0)),"— нет такого кода —")))</f>
        <v/>
      </c>
      <c r="E173" t="str">
        <f>IF($C173="","",IF(AND(LEFT($F173,3)="ДОК",$H173&lt;&gt;""),IFERROR(INDEX(Документация!$D$2:$D$57,MATCH($H173,Документация!$F$2:$F$57,0)),""),IFERROR(INDEX(Работы!$C$2:$C$6000,MATCH($C173,Работы!$A$2:$A$6000,0)),"")))</f>
        <v/>
      </c>
      <c r="F173" t="str">
        <f>IF($C173="","",IFERROR(INDEX(Работы!$G$2:$G$6000,MATCH($C173,Работы!$A$2:$A$6000,0))&amp;"",""))</f>
        <v/>
      </c>
      <c r="G173" s="4"/>
      <c r="H173" s="4"/>
      <c r="I173" s="5" t="str">
        <f>IF((LEFT($F173,3)="ДОК"),"",IF($H173="","",IFERROR(INDEX(Материалы!$B$2:$B$9000,MATCH($H173,Материалы!$M$2:$M$9000,0)),"")))</f>
        <v/>
      </c>
      <c r="J173" s="6">
        <f>IF(AND(LEFT($F173,3)="ДОК",$H173&lt;&gt;""),IFERROR(INDEX(Документация!$E$2:$E$57,MATCH($H173,Документация!$F$2:$F$57,0)),0),IFERROR(INDEX(Работы!$H$2:$H$6000,MATCH($C173,Работы!$A$2:$A$6000,0)),0))*(1-MEDIAN(0,N(ДисконтТендер),1))</f>
        <v>0</v>
      </c>
      <c r="K173" s="6">
        <f>IF(OR((LEFT($F173,3)="ДОК"),$H173=""),0,IFERROR(INDEX(Материалы!$H$2:$H$9000,MATCH($H173,Материалы!$M$2:$M$9000,0))*IF(INDEX(Материалы!$I$2:$I$9000,MATCH($H173,Материалы!$M$2:$M$9000,0))="USD",КурсUSD,IF(INDEX(Материалы!$I$2:$I$9000,MATCH($H173,Материалы!$M$2:$M$9000,0))="EUR",КурсEUR,1))*(1+IFERROR(INDEX(Работы!$I$2:$I$6000,MATCH($C173,Работы!$A$2:$A$6000,0))/100,0))*(1-MEDIAN(0,N(ДисконтТендер),1)),0))</f>
        <v>0</v>
      </c>
      <c r="L173" s="6">
        <f t="shared" si="13"/>
        <v>0</v>
      </c>
      <c r="M173" s="6">
        <f t="shared" si="14"/>
        <v>0</v>
      </c>
      <c r="N173" s="6">
        <f t="shared" si="15"/>
        <v>0</v>
      </c>
      <c r="O173" t="str">
        <f>IF($N173&gt;0,MAX($O$1:$O172)+1,"")</f>
        <v/>
      </c>
      <c r="P173" t="str">
        <f>IF($C173="","",IFERROR(INDEX(Работы!$D$2:$D$6000,MATCH($C173,Работы!$A$2:$A$6000,0)),""))</f>
        <v/>
      </c>
      <c r="Q173" t="str">
        <f t="shared" si="16"/>
        <v/>
      </c>
      <c r="R173" t="str">
        <f t="shared" si="17"/>
        <v/>
      </c>
      <c r="S173" t="str">
        <f>IF($P173="","",$P173&amp;" · "&amp;IFERROR(INDEX(Работы!$E$2:$E$6000,MATCH($C173,Работы!$A$2:$A$6000,0)),""))</f>
        <v/>
      </c>
    </row>
    <row r="174" spans="1:19" x14ac:dyDescent="0.3">
      <c r="A174" s="4"/>
      <c r="B174" s="4"/>
      <c r="C174" t="str">
        <f t="shared" si="12"/>
        <v/>
      </c>
      <c r="D174" s="5" t="str">
        <f>IF($C174="","",IF(AND(LEFT($F174,3)="ДОК",$H174&lt;&gt;""),IFERROR(INDEX(Документация!$G$2:$G$57,MATCH($H174,Документация!$F$2:$F$57,0)),"— вариант не найден —"),IFERROR(INDEX(Работы!$B$2:$B$6000,MATCH($C174,Работы!$A$2:$A$6000,0)),"— нет такого кода —")))</f>
        <v/>
      </c>
      <c r="E174" t="str">
        <f>IF($C174="","",IF(AND(LEFT($F174,3)="ДОК",$H174&lt;&gt;""),IFERROR(INDEX(Документация!$D$2:$D$57,MATCH($H174,Документация!$F$2:$F$57,0)),""),IFERROR(INDEX(Работы!$C$2:$C$6000,MATCH($C174,Работы!$A$2:$A$6000,0)),"")))</f>
        <v/>
      </c>
      <c r="F174" t="str">
        <f>IF($C174="","",IFERROR(INDEX(Работы!$G$2:$G$6000,MATCH($C174,Работы!$A$2:$A$6000,0))&amp;"",""))</f>
        <v/>
      </c>
      <c r="G174" s="4"/>
      <c r="H174" s="4"/>
      <c r="I174" s="5" t="str">
        <f>IF((LEFT($F174,3)="ДОК"),"",IF($H174="","",IFERROR(INDEX(Материалы!$B$2:$B$9000,MATCH($H174,Материалы!$M$2:$M$9000,0)),"")))</f>
        <v/>
      </c>
      <c r="J174" s="6">
        <f>IF(AND(LEFT($F174,3)="ДОК",$H174&lt;&gt;""),IFERROR(INDEX(Документация!$E$2:$E$57,MATCH($H174,Документация!$F$2:$F$57,0)),0),IFERROR(INDEX(Работы!$H$2:$H$6000,MATCH($C174,Работы!$A$2:$A$6000,0)),0))*(1-MEDIAN(0,N(ДисконтТендер),1))</f>
        <v>0</v>
      </c>
      <c r="K174" s="6">
        <f>IF(OR((LEFT($F174,3)="ДОК"),$H174=""),0,IFERROR(INDEX(Материалы!$H$2:$H$9000,MATCH($H174,Материалы!$M$2:$M$9000,0))*IF(INDEX(Материалы!$I$2:$I$9000,MATCH($H174,Материалы!$M$2:$M$9000,0))="USD",КурсUSD,IF(INDEX(Материалы!$I$2:$I$9000,MATCH($H174,Материалы!$M$2:$M$9000,0))="EUR",КурсEUR,1))*(1+IFERROR(INDEX(Работы!$I$2:$I$6000,MATCH($C174,Работы!$A$2:$A$6000,0))/100,0))*(1-MEDIAN(0,N(ДисконтТендер),1)),0))</f>
        <v>0</v>
      </c>
      <c r="L174" s="6">
        <f t="shared" si="13"/>
        <v>0</v>
      </c>
      <c r="M174" s="6">
        <f t="shared" si="14"/>
        <v>0</v>
      </c>
      <c r="N174" s="6">
        <f t="shared" si="15"/>
        <v>0</v>
      </c>
      <c r="O174" t="str">
        <f>IF($N174&gt;0,MAX($O$1:$O173)+1,"")</f>
        <v/>
      </c>
      <c r="P174" t="str">
        <f>IF($C174="","",IFERROR(INDEX(Работы!$D$2:$D$6000,MATCH($C174,Работы!$A$2:$A$6000,0)),""))</f>
        <v/>
      </c>
      <c r="Q174" t="str">
        <f t="shared" si="16"/>
        <v/>
      </c>
      <c r="R174" t="str">
        <f t="shared" si="17"/>
        <v/>
      </c>
      <c r="S174" t="str">
        <f>IF($P174="","",$P174&amp;" · "&amp;IFERROR(INDEX(Работы!$E$2:$E$6000,MATCH($C174,Работы!$A$2:$A$6000,0)),""))</f>
        <v/>
      </c>
    </row>
    <row r="175" spans="1:19" x14ac:dyDescent="0.3">
      <c r="A175" s="4"/>
      <c r="B175" s="4"/>
      <c r="C175" t="str">
        <f t="shared" si="12"/>
        <v/>
      </c>
      <c r="D175" s="5" t="str">
        <f>IF($C175="","",IF(AND(LEFT($F175,3)="ДОК",$H175&lt;&gt;""),IFERROR(INDEX(Документация!$G$2:$G$57,MATCH($H175,Документация!$F$2:$F$57,0)),"— вариант не найден —"),IFERROR(INDEX(Работы!$B$2:$B$6000,MATCH($C175,Работы!$A$2:$A$6000,0)),"— нет такого кода —")))</f>
        <v/>
      </c>
      <c r="E175" t="str">
        <f>IF($C175="","",IF(AND(LEFT($F175,3)="ДОК",$H175&lt;&gt;""),IFERROR(INDEX(Документация!$D$2:$D$57,MATCH($H175,Документация!$F$2:$F$57,0)),""),IFERROR(INDEX(Работы!$C$2:$C$6000,MATCH($C175,Работы!$A$2:$A$6000,0)),"")))</f>
        <v/>
      </c>
      <c r="F175" t="str">
        <f>IF($C175="","",IFERROR(INDEX(Работы!$G$2:$G$6000,MATCH($C175,Работы!$A$2:$A$6000,0))&amp;"",""))</f>
        <v/>
      </c>
      <c r="G175" s="4"/>
      <c r="H175" s="4"/>
      <c r="I175" s="5" t="str">
        <f>IF((LEFT($F175,3)="ДОК"),"",IF($H175="","",IFERROR(INDEX(Материалы!$B$2:$B$9000,MATCH($H175,Материалы!$M$2:$M$9000,0)),"")))</f>
        <v/>
      </c>
      <c r="J175" s="6">
        <f>IF(AND(LEFT($F175,3)="ДОК",$H175&lt;&gt;""),IFERROR(INDEX(Документация!$E$2:$E$57,MATCH($H175,Документация!$F$2:$F$57,0)),0),IFERROR(INDEX(Работы!$H$2:$H$6000,MATCH($C175,Работы!$A$2:$A$6000,0)),0))*(1-MEDIAN(0,N(ДисконтТендер),1))</f>
        <v>0</v>
      </c>
      <c r="K175" s="6">
        <f>IF(OR((LEFT($F175,3)="ДОК"),$H175=""),0,IFERROR(INDEX(Материалы!$H$2:$H$9000,MATCH($H175,Материалы!$M$2:$M$9000,0))*IF(INDEX(Материалы!$I$2:$I$9000,MATCH($H175,Материалы!$M$2:$M$9000,0))="USD",КурсUSD,IF(INDEX(Материалы!$I$2:$I$9000,MATCH($H175,Материалы!$M$2:$M$9000,0))="EUR",КурсEUR,1))*(1+IFERROR(INDEX(Работы!$I$2:$I$6000,MATCH($C175,Работы!$A$2:$A$6000,0))/100,0))*(1-MEDIAN(0,N(ДисконтТендер),1)),0))</f>
        <v>0</v>
      </c>
      <c r="L175" s="6">
        <f t="shared" si="13"/>
        <v>0</v>
      </c>
      <c r="M175" s="6">
        <f t="shared" si="14"/>
        <v>0</v>
      </c>
      <c r="N175" s="6">
        <f t="shared" si="15"/>
        <v>0</v>
      </c>
      <c r="O175" t="str">
        <f>IF($N175&gt;0,MAX($O$1:$O174)+1,"")</f>
        <v/>
      </c>
      <c r="P175" t="str">
        <f>IF($C175="","",IFERROR(INDEX(Работы!$D$2:$D$6000,MATCH($C175,Работы!$A$2:$A$6000,0)),""))</f>
        <v/>
      </c>
      <c r="Q175" t="str">
        <f t="shared" si="16"/>
        <v/>
      </c>
      <c r="R175" t="str">
        <f t="shared" si="17"/>
        <v/>
      </c>
      <c r="S175" t="str">
        <f>IF($P175="","",$P175&amp;" · "&amp;IFERROR(INDEX(Работы!$E$2:$E$6000,MATCH($C175,Работы!$A$2:$A$6000,0)),""))</f>
        <v/>
      </c>
    </row>
    <row r="176" spans="1:19" x14ac:dyDescent="0.3">
      <c r="A176" s="4"/>
      <c r="B176" s="4"/>
      <c r="C176" t="str">
        <f t="shared" si="12"/>
        <v/>
      </c>
      <c r="D176" s="5" t="str">
        <f>IF($C176="","",IF(AND(LEFT($F176,3)="ДОК",$H176&lt;&gt;""),IFERROR(INDEX(Документация!$G$2:$G$57,MATCH($H176,Документация!$F$2:$F$57,0)),"— вариант не найден —"),IFERROR(INDEX(Работы!$B$2:$B$6000,MATCH($C176,Работы!$A$2:$A$6000,0)),"— нет такого кода —")))</f>
        <v/>
      </c>
      <c r="E176" t="str">
        <f>IF($C176="","",IF(AND(LEFT($F176,3)="ДОК",$H176&lt;&gt;""),IFERROR(INDEX(Документация!$D$2:$D$57,MATCH($H176,Документация!$F$2:$F$57,0)),""),IFERROR(INDEX(Работы!$C$2:$C$6000,MATCH($C176,Работы!$A$2:$A$6000,0)),"")))</f>
        <v/>
      </c>
      <c r="F176" t="str">
        <f>IF($C176="","",IFERROR(INDEX(Работы!$G$2:$G$6000,MATCH($C176,Работы!$A$2:$A$6000,0))&amp;"",""))</f>
        <v/>
      </c>
      <c r="G176" s="4"/>
      <c r="H176" s="4"/>
      <c r="I176" s="5" t="str">
        <f>IF((LEFT($F176,3)="ДОК"),"",IF($H176="","",IFERROR(INDEX(Материалы!$B$2:$B$9000,MATCH($H176,Материалы!$M$2:$M$9000,0)),"")))</f>
        <v/>
      </c>
      <c r="J176" s="6">
        <f>IF(AND(LEFT($F176,3)="ДОК",$H176&lt;&gt;""),IFERROR(INDEX(Документация!$E$2:$E$57,MATCH($H176,Документация!$F$2:$F$57,0)),0),IFERROR(INDEX(Работы!$H$2:$H$6000,MATCH($C176,Работы!$A$2:$A$6000,0)),0))*(1-MEDIAN(0,N(ДисконтТендер),1))</f>
        <v>0</v>
      </c>
      <c r="K176" s="6">
        <f>IF(OR((LEFT($F176,3)="ДОК"),$H176=""),0,IFERROR(INDEX(Материалы!$H$2:$H$9000,MATCH($H176,Материалы!$M$2:$M$9000,0))*IF(INDEX(Материалы!$I$2:$I$9000,MATCH($H176,Материалы!$M$2:$M$9000,0))="USD",КурсUSD,IF(INDEX(Материалы!$I$2:$I$9000,MATCH($H176,Материалы!$M$2:$M$9000,0))="EUR",КурсEUR,1))*(1+IFERROR(INDEX(Работы!$I$2:$I$6000,MATCH($C176,Работы!$A$2:$A$6000,0))/100,0))*(1-MEDIAN(0,N(ДисконтТендер),1)),0))</f>
        <v>0</v>
      </c>
      <c r="L176" s="6">
        <f t="shared" si="13"/>
        <v>0</v>
      </c>
      <c r="M176" s="6">
        <f t="shared" si="14"/>
        <v>0</v>
      </c>
      <c r="N176" s="6">
        <f t="shared" si="15"/>
        <v>0</v>
      </c>
      <c r="O176" t="str">
        <f>IF($N176&gt;0,MAX($O$1:$O175)+1,"")</f>
        <v/>
      </c>
      <c r="P176" t="str">
        <f>IF($C176="","",IFERROR(INDEX(Работы!$D$2:$D$6000,MATCH($C176,Работы!$A$2:$A$6000,0)),""))</f>
        <v/>
      </c>
      <c r="Q176" t="str">
        <f t="shared" si="16"/>
        <v/>
      </c>
      <c r="R176" t="str">
        <f t="shared" si="17"/>
        <v/>
      </c>
      <c r="S176" t="str">
        <f>IF($P176="","",$P176&amp;" · "&amp;IFERROR(INDEX(Работы!$E$2:$E$6000,MATCH($C176,Работы!$A$2:$A$6000,0)),""))</f>
        <v/>
      </c>
    </row>
    <row r="177" spans="1:19" x14ac:dyDescent="0.3">
      <c r="A177" s="4"/>
      <c r="B177" s="4"/>
      <c r="C177" t="str">
        <f t="shared" si="12"/>
        <v/>
      </c>
      <c r="D177" s="5" t="str">
        <f>IF($C177="","",IF(AND(LEFT($F177,3)="ДОК",$H177&lt;&gt;""),IFERROR(INDEX(Документация!$G$2:$G$57,MATCH($H177,Документация!$F$2:$F$57,0)),"— вариант не найден —"),IFERROR(INDEX(Работы!$B$2:$B$6000,MATCH($C177,Работы!$A$2:$A$6000,0)),"— нет такого кода —")))</f>
        <v/>
      </c>
      <c r="E177" t="str">
        <f>IF($C177="","",IF(AND(LEFT($F177,3)="ДОК",$H177&lt;&gt;""),IFERROR(INDEX(Документация!$D$2:$D$57,MATCH($H177,Документация!$F$2:$F$57,0)),""),IFERROR(INDEX(Работы!$C$2:$C$6000,MATCH($C177,Работы!$A$2:$A$6000,0)),"")))</f>
        <v/>
      </c>
      <c r="F177" t="str">
        <f>IF($C177="","",IFERROR(INDEX(Работы!$G$2:$G$6000,MATCH($C177,Работы!$A$2:$A$6000,0))&amp;"",""))</f>
        <v/>
      </c>
      <c r="G177" s="4"/>
      <c r="H177" s="4"/>
      <c r="I177" s="5" t="str">
        <f>IF((LEFT($F177,3)="ДОК"),"",IF($H177="","",IFERROR(INDEX(Материалы!$B$2:$B$9000,MATCH($H177,Материалы!$M$2:$M$9000,0)),"")))</f>
        <v/>
      </c>
      <c r="J177" s="6">
        <f>IF(AND(LEFT($F177,3)="ДОК",$H177&lt;&gt;""),IFERROR(INDEX(Документация!$E$2:$E$57,MATCH($H177,Документация!$F$2:$F$57,0)),0),IFERROR(INDEX(Работы!$H$2:$H$6000,MATCH($C177,Работы!$A$2:$A$6000,0)),0))*(1-MEDIAN(0,N(ДисконтТендер),1))</f>
        <v>0</v>
      </c>
      <c r="K177" s="6">
        <f>IF(OR((LEFT($F177,3)="ДОК"),$H177=""),0,IFERROR(INDEX(Материалы!$H$2:$H$9000,MATCH($H177,Материалы!$M$2:$M$9000,0))*IF(INDEX(Материалы!$I$2:$I$9000,MATCH($H177,Материалы!$M$2:$M$9000,0))="USD",КурсUSD,IF(INDEX(Материалы!$I$2:$I$9000,MATCH($H177,Материалы!$M$2:$M$9000,0))="EUR",КурсEUR,1))*(1+IFERROR(INDEX(Работы!$I$2:$I$6000,MATCH($C177,Работы!$A$2:$A$6000,0))/100,0))*(1-MEDIAN(0,N(ДисконтТендер),1)),0))</f>
        <v>0</v>
      </c>
      <c r="L177" s="6">
        <f t="shared" si="13"/>
        <v>0</v>
      </c>
      <c r="M177" s="6">
        <f t="shared" si="14"/>
        <v>0</v>
      </c>
      <c r="N177" s="6">
        <f t="shared" si="15"/>
        <v>0</v>
      </c>
      <c r="O177" t="str">
        <f>IF($N177&gt;0,MAX($O$1:$O176)+1,"")</f>
        <v/>
      </c>
      <c r="P177" t="str">
        <f>IF($C177="","",IFERROR(INDEX(Работы!$D$2:$D$6000,MATCH($C177,Работы!$A$2:$A$6000,0)),""))</f>
        <v/>
      </c>
      <c r="Q177" t="str">
        <f t="shared" si="16"/>
        <v/>
      </c>
      <c r="R177" t="str">
        <f t="shared" si="17"/>
        <v/>
      </c>
      <c r="S177" t="str">
        <f>IF($P177="","",$P177&amp;" · "&amp;IFERROR(INDEX(Работы!$E$2:$E$6000,MATCH($C177,Работы!$A$2:$A$6000,0)),""))</f>
        <v/>
      </c>
    </row>
    <row r="178" spans="1:19" x14ac:dyDescent="0.3">
      <c r="A178" s="4"/>
      <c r="B178" s="4"/>
      <c r="C178" t="str">
        <f t="shared" si="12"/>
        <v/>
      </c>
      <c r="D178" s="5" t="str">
        <f>IF($C178="","",IF(AND(LEFT($F178,3)="ДОК",$H178&lt;&gt;""),IFERROR(INDEX(Документация!$G$2:$G$57,MATCH($H178,Документация!$F$2:$F$57,0)),"— вариант не найден —"),IFERROR(INDEX(Работы!$B$2:$B$6000,MATCH($C178,Работы!$A$2:$A$6000,0)),"— нет такого кода —")))</f>
        <v/>
      </c>
      <c r="E178" t="str">
        <f>IF($C178="","",IF(AND(LEFT($F178,3)="ДОК",$H178&lt;&gt;""),IFERROR(INDEX(Документация!$D$2:$D$57,MATCH($H178,Документация!$F$2:$F$57,0)),""),IFERROR(INDEX(Работы!$C$2:$C$6000,MATCH($C178,Работы!$A$2:$A$6000,0)),"")))</f>
        <v/>
      </c>
      <c r="F178" t="str">
        <f>IF($C178="","",IFERROR(INDEX(Работы!$G$2:$G$6000,MATCH($C178,Работы!$A$2:$A$6000,0))&amp;"",""))</f>
        <v/>
      </c>
      <c r="G178" s="4"/>
      <c r="H178" s="4"/>
      <c r="I178" s="5" t="str">
        <f>IF((LEFT($F178,3)="ДОК"),"",IF($H178="","",IFERROR(INDEX(Материалы!$B$2:$B$9000,MATCH($H178,Материалы!$M$2:$M$9000,0)),"")))</f>
        <v/>
      </c>
      <c r="J178" s="6">
        <f>IF(AND(LEFT($F178,3)="ДОК",$H178&lt;&gt;""),IFERROR(INDEX(Документация!$E$2:$E$57,MATCH($H178,Документация!$F$2:$F$57,0)),0),IFERROR(INDEX(Работы!$H$2:$H$6000,MATCH($C178,Работы!$A$2:$A$6000,0)),0))*(1-MEDIAN(0,N(ДисконтТендер),1))</f>
        <v>0</v>
      </c>
      <c r="K178" s="6">
        <f>IF(OR((LEFT($F178,3)="ДОК"),$H178=""),0,IFERROR(INDEX(Материалы!$H$2:$H$9000,MATCH($H178,Материалы!$M$2:$M$9000,0))*IF(INDEX(Материалы!$I$2:$I$9000,MATCH($H178,Материалы!$M$2:$M$9000,0))="USD",КурсUSD,IF(INDEX(Материалы!$I$2:$I$9000,MATCH($H178,Материалы!$M$2:$M$9000,0))="EUR",КурсEUR,1))*(1+IFERROR(INDEX(Работы!$I$2:$I$6000,MATCH($C178,Работы!$A$2:$A$6000,0))/100,0))*(1-MEDIAN(0,N(ДисконтТендер),1)),0))</f>
        <v>0</v>
      </c>
      <c r="L178" s="6">
        <f t="shared" si="13"/>
        <v>0</v>
      </c>
      <c r="M178" s="6">
        <f t="shared" si="14"/>
        <v>0</v>
      </c>
      <c r="N178" s="6">
        <f t="shared" si="15"/>
        <v>0</v>
      </c>
      <c r="O178" t="str">
        <f>IF($N178&gt;0,MAX($O$1:$O177)+1,"")</f>
        <v/>
      </c>
      <c r="P178" t="str">
        <f>IF($C178="","",IFERROR(INDEX(Работы!$D$2:$D$6000,MATCH($C178,Работы!$A$2:$A$6000,0)),""))</f>
        <v/>
      </c>
      <c r="Q178" t="str">
        <f t="shared" si="16"/>
        <v/>
      </c>
      <c r="R178" t="str">
        <f t="shared" si="17"/>
        <v/>
      </c>
      <c r="S178" t="str">
        <f>IF($P178="","",$P178&amp;" · "&amp;IFERROR(INDEX(Работы!$E$2:$E$6000,MATCH($C178,Работы!$A$2:$A$6000,0)),""))</f>
        <v/>
      </c>
    </row>
    <row r="179" spans="1:19" x14ac:dyDescent="0.3">
      <c r="A179" s="4"/>
      <c r="B179" s="4"/>
      <c r="C179" t="str">
        <f t="shared" si="12"/>
        <v/>
      </c>
      <c r="D179" s="5" t="str">
        <f>IF($C179="","",IF(AND(LEFT($F179,3)="ДОК",$H179&lt;&gt;""),IFERROR(INDEX(Документация!$G$2:$G$57,MATCH($H179,Документация!$F$2:$F$57,0)),"— вариант не найден —"),IFERROR(INDEX(Работы!$B$2:$B$6000,MATCH($C179,Работы!$A$2:$A$6000,0)),"— нет такого кода —")))</f>
        <v/>
      </c>
      <c r="E179" t="str">
        <f>IF($C179="","",IF(AND(LEFT($F179,3)="ДОК",$H179&lt;&gt;""),IFERROR(INDEX(Документация!$D$2:$D$57,MATCH($H179,Документация!$F$2:$F$57,0)),""),IFERROR(INDEX(Работы!$C$2:$C$6000,MATCH($C179,Работы!$A$2:$A$6000,0)),"")))</f>
        <v/>
      </c>
      <c r="F179" t="str">
        <f>IF($C179="","",IFERROR(INDEX(Работы!$G$2:$G$6000,MATCH($C179,Работы!$A$2:$A$6000,0))&amp;"",""))</f>
        <v/>
      </c>
      <c r="G179" s="4"/>
      <c r="H179" s="4"/>
      <c r="I179" s="5" t="str">
        <f>IF((LEFT($F179,3)="ДОК"),"",IF($H179="","",IFERROR(INDEX(Материалы!$B$2:$B$9000,MATCH($H179,Материалы!$M$2:$M$9000,0)),"")))</f>
        <v/>
      </c>
      <c r="J179" s="6">
        <f>IF(AND(LEFT($F179,3)="ДОК",$H179&lt;&gt;""),IFERROR(INDEX(Документация!$E$2:$E$57,MATCH($H179,Документация!$F$2:$F$57,0)),0),IFERROR(INDEX(Работы!$H$2:$H$6000,MATCH($C179,Работы!$A$2:$A$6000,0)),0))*(1-MEDIAN(0,N(ДисконтТендер),1))</f>
        <v>0</v>
      </c>
      <c r="K179" s="6">
        <f>IF(OR((LEFT($F179,3)="ДОК"),$H179=""),0,IFERROR(INDEX(Материалы!$H$2:$H$9000,MATCH($H179,Материалы!$M$2:$M$9000,0))*IF(INDEX(Материалы!$I$2:$I$9000,MATCH($H179,Материалы!$M$2:$M$9000,0))="USD",КурсUSD,IF(INDEX(Материалы!$I$2:$I$9000,MATCH($H179,Материалы!$M$2:$M$9000,0))="EUR",КурсEUR,1))*(1+IFERROR(INDEX(Работы!$I$2:$I$6000,MATCH($C179,Работы!$A$2:$A$6000,0))/100,0))*(1-MEDIAN(0,N(ДисконтТендер),1)),0))</f>
        <v>0</v>
      </c>
      <c r="L179" s="6">
        <f t="shared" si="13"/>
        <v>0</v>
      </c>
      <c r="M179" s="6">
        <f t="shared" si="14"/>
        <v>0</v>
      </c>
      <c r="N179" s="6">
        <f t="shared" si="15"/>
        <v>0</v>
      </c>
      <c r="O179" t="str">
        <f>IF($N179&gt;0,MAX($O$1:$O178)+1,"")</f>
        <v/>
      </c>
      <c r="P179" t="str">
        <f>IF($C179="","",IFERROR(INDEX(Работы!$D$2:$D$6000,MATCH($C179,Работы!$A$2:$A$6000,0)),""))</f>
        <v/>
      </c>
      <c r="Q179" t="str">
        <f t="shared" si="16"/>
        <v/>
      </c>
      <c r="R179" t="str">
        <f t="shared" si="17"/>
        <v/>
      </c>
      <c r="S179" t="str">
        <f>IF($P179="","",$P179&amp;" · "&amp;IFERROR(INDEX(Работы!$E$2:$E$6000,MATCH($C179,Работы!$A$2:$A$6000,0)),""))</f>
        <v/>
      </c>
    </row>
    <row r="180" spans="1:19" x14ac:dyDescent="0.3">
      <c r="A180" s="4"/>
      <c r="B180" s="4"/>
      <c r="C180" t="str">
        <f t="shared" si="12"/>
        <v/>
      </c>
      <c r="D180" s="5" t="str">
        <f>IF($C180="","",IF(AND(LEFT($F180,3)="ДОК",$H180&lt;&gt;""),IFERROR(INDEX(Документация!$G$2:$G$57,MATCH($H180,Документация!$F$2:$F$57,0)),"— вариант не найден —"),IFERROR(INDEX(Работы!$B$2:$B$6000,MATCH($C180,Работы!$A$2:$A$6000,0)),"— нет такого кода —")))</f>
        <v/>
      </c>
      <c r="E180" t="str">
        <f>IF($C180="","",IF(AND(LEFT($F180,3)="ДОК",$H180&lt;&gt;""),IFERROR(INDEX(Документация!$D$2:$D$57,MATCH($H180,Документация!$F$2:$F$57,0)),""),IFERROR(INDEX(Работы!$C$2:$C$6000,MATCH($C180,Работы!$A$2:$A$6000,0)),"")))</f>
        <v/>
      </c>
      <c r="F180" t="str">
        <f>IF($C180="","",IFERROR(INDEX(Работы!$G$2:$G$6000,MATCH($C180,Работы!$A$2:$A$6000,0))&amp;"",""))</f>
        <v/>
      </c>
      <c r="G180" s="4"/>
      <c r="H180" s="4"/>
      <c r="I180" s="5" t="str">
        <f>IF((LEFT($F180,3)="ДОК"),"",IF($H180="","",IFERROR(INDEX(Материалы!$B$2:$B$9000,MATCH($H180,Материалы!$M$2:$M$9000,0)),"")))</f>
        <v/>
      </c>
      <c r="J180" s="6">
        <f>IF(AND(LEFT($F180,3)="ДОК",$H180&lt;&gt;""),IFERROR(INDEX(Документация!$E$2:$E$57,MATCH($H180,Документация!$F$2:$F$57,0)),0),IFERROR(INDEX(Работы!$H$2:$H$6000,MATCH($C180,Работы!$A$2:$A$6000,0)),0))*(1-MEDIAN(0,N(ДисконтТендер),1))</f>
        <v>0</v>
      </c>
      <c r="K180" s="6">
        <f>IF(OR((LEFT($F180,3)="ДОК"),$H180=""),0,IFERROR(INDEX(Материалы!$H$2:$H$9000,MATCH($H180,Материалы!$M$2:$M$9000,0))*IF(INDEX(Материалы!$I$2:$I$9000,MATCH($H180,Материалы!$M$2:$M$9000,0))="USD",КурсUSD,IF(INDEX(Материалы!$I$2:$I$9000,MATCH($H180,Материалы!$M$2:$M$9000,0))="EUR",КурсEUR,1))*(1+IFERROR(INDEX(Работы!$I$2:$I$6000,MATCH($C180,Работы!$A$2:$A$6000,0))/100,0))*(1-MEDIAN(0,N(ДисконтТендер),1)),0))</f>
        <v>0</v>
      </c>
      <c r="L180" s="6">
        <f t="shared" si="13"/>
        <v>0</v>
      </c>
      <c r="M180" s="6">
        <f t="shared" si="14"/>
        <v>0</v>
      </c>
      <c r="N180" s="6">
        <f t="shared" si="15"/>
        <v>0</v>
      </c>
      <c r="O180" t="str">
        <f>IF($N180&gt;0,MAX($O$1:$O179)+1,"")</f>
        <v/>
      </c>
      <c r="P180" t="str">
        <f>IF($C180="","",IFERROR(INDEX(Работы!$D$2:$D$6000,MATCH($C180,Работы!$A$2:$A$6000,0)),""))</f>
        <v/>
      </c>
      <c r="Q180" t="str">
        <f t="shared" si="16"/>
        <v/>
      </c>
      <c r="R180" t="str">
        <f t="shared" si="17"/>
        <v/>
      </c>
      <c r="S180" t="str">
        <f>IF($P180="","",$P180&amp;" · "&amp;IFERROR(INDEX(Работы!$E$2:$E$6000,MATCH($C180,Работы!$A$2:$A$6000,0)),""))</f>
        <v/>
      </c>
    </row>
    <row r="181" spans="1:19" x14ac:dyDescent="0.3">
      <c r="A181" s="4"/>
      <c r="B181" s="4"/>
      <c r="C181" t="str">
        <f t="shared" si="12"/>
        <v/>
      </c>
      <c r="D181" s="5" t="str">
        <f>IF($C181="","",IF(AND(LEFT($F181,3)="ДОК",$H181&lt;&gt;""),IFERROR(INDEX(Документация!$G$2:$G$57,MATCH($H181,Документация!$F$2:$F$57,0)),"— вариант не найден —"),IFERROR(INDEX(Работы!$B$2:$B$6000,MATCH($C181,Работы!$A$2:$A$6000,0)),"— нет такого кода —")))</f>
        <v/>
      </c>
      <c r="E181" t="str">
        <f>IF($C181="","",IF(AND(LEFT($F181,3)="ДОК",$H181&lt;&gt;""),IFERROR(INDEX(Документация!$D$2:$D$57,MATCH($H181,Документация!$F$2:$F$57,0)),""),IFERROR(INDEX(Работы!$C$2:$C$6000,MATCH($C181,Работы!$A$2:$A$6000,0)),"")))</f>
        <v/>
      </c>
      <c r="F181" t="str">
        <f>IF($C181="","",IFERROR(INDEX(Работы!$G$2:$G$6000,MATCH($C181,Работы!$A$2:$A$6000,0))&amp;"",""))</f>
        <v/>
      </c>
      <c r="G181" s="4"/>
      <c r="H181" s="4"/>
      <c r="I181" s="5" t="str">
        <f>IF((LEFT($F181,3)="ДОК"),"",IF($H181="","",IFERROR(INDEX(Материалы!$B$2:$B$9000,MATCH($H181,Материалы!$M$2:$M$9000,0)),"")))</f>
        <v/>
      </c>
      <c r="J181" s="6">
        <f>IF(AND(LEFT($F181,3)="ДОК",$H181&lt;&gt;""),IFERROR(INDEX(Документация!$E$2:$E$57,MATCH($H181,Документация!$F$2:$F$57,0)),0),IFERROR(INDEX(Работы!$H$2:$H$6000,MATCH($C181,Работы!$A$2:$A$6000,0)),0))*(1-MEDIAN(0,N(ДисконтТендер),1))</f>
        <v>0</v>
      </c>
      <c r="K181" s="6">
        <f>IF(OR((LEFT($F181,3)="ДОК"),$H181=""),0,IFERROR(INDEX(Материалы!$H$2:$H$9000,MATCH($H181,Материалы!$M$2:$M$9000,0))*IF(INDEX(Материалы!$I$2:$I$9000,MATCH($H181,Материалы!$M$2:$M$9000,0))="USD",КурсUSD,IF(INDEX(Материалы!$I$2:$I$9000,MATCH($H181,Материалы!$M$2:$M$9000,0))="EUR",КурсEUR,1))*(1+IFERROR(INDEX(Работы!$I$2:$I$6000,MATCH($C181,Работы!$A$2:$A$6000,0))/100,0))*(1-MEDIAN(0,N(ДисконтТендер),1)),0))</f>
        <v>0</v>
      </c>
      <c r="L181" s="6">
        <f t="shared" si="13"/>
        <v>0</v>
      </c>
      <c r="M181" s="6">
        <f t="shared" si="14"/>
        <v>0</v>
      </c>
      <c r="N181" s="6">
        <f t="shared" si="15"/>
        <v>0</v>
      </c>
      <c r="O181" t="str">
        <f>IF($N181&gt;0,MAX($O$1:$O180)+1,"")</f>
        <v/>
      </c>
      <c r="P181" t="str">
        <f>IF($C181="","",IFERROR(INDEX(Работы!$D$2:$D$6000,MATCH($C181,Работы!$A$2:$A$6000,0)),""))</f>
        <v/>
      </c>
      <c r="Q181" t="str">
        <f t="shared" si="16"/>
        <v/>
      </c>
      <c r="R181" t="str">
        <f t="shared" si="17"/>
        <v/>
      </c>
      <c r="S181" t="str">
        <f>IF($P181="","",$P181&amp;" · "&amp;IFERROR(INDEX(Работы!$E$2:$E$6000,MATCH($C181,Работы!$A$2:$A$6000,0)),""))</f>
        <v/>
      </c>
    </row>
    <row r="182" spans="1:19" x14ac:dyDescent="0.3">
      <c r="A182" s="4"/>
      <c r="B182" s="4"/>
      <c r="C182" t="str">
        <f t="shared" si="12"/>
        <v/>
      </c>
      <c r="D182" s="5" t="str">
        <f>IF($C182="","",IF(AND(LEFT($F182,3)="ДОК",$H182&lt;&gt;""),IFERROR(INDEX(Документация!$G$2:$G$57,MATCH($H182,Документация!$F$2:$F$57,0)),"— вариант не найден —"),IFERROR(INDEX(Работы!$B$2:$B$6000,MATCH($C182,Работы!$A$2:$A$6000,0)),"— нет такого кода —")))</f>
        <v/>
      </c>
      <c r="E182" t="str">
        <f>IF($C182="","",IF(AND(LEFT($F182,3)="ДОК",$H182&lt;&gt;""),IFERROR(INDEX(Документация!$D$2:$D$57,MATCH($H182,Документация!$F$2:$F$57,0)),""),IFERROR(INDEX(Работы!$C$2:$C$6000,MATCH($C182,Работы!$A$2:$A$6000,0)),"")))</f>
        <v/>
      </c>
      <c r="F182" t="str">
        <f>IF($C182="","",IFERROR(INDEX(Работы!$G$2:$G$6000,MATCH($C182,Работы!$A$2:$A$6000,0))&amp;"",""))</f>
        <v/>
      </c>
      <c r="G182" s="4"/>
      <c r="H182" s="4"/>
      <c r="I182" s="5" t="str">
        <f>IF((LEFT($F182,3)="ДОК"),"",IF($H182="","",IFERROR(INDEX(Материалы!$B$2:$B$9000,MATCH($H182,Материалы!$M$2:$M$9000,0)),"")))</f>
        <v/>
      </c>
      <c r="J182" s="6">
        <f>IF(AND(LEFT($F182,3)="ДОК",$H182&lt;&gt;""),IFERROR(INDEX(Документация!$E$2:$E$57,MATCH($H182,Документация!$F$2:$F$57,0)),0),IFERROR(INDEX(Работы!$H$2:$H$6000,MATCH($C182,Работы!$A$2:$A$6000,0)),0))*(1-MEDIAN(0,N(ДисконтТендер),1))</f>
        <v>0</v>
      </c>
      <c r="K182" s="6">
        <f>IF(OR((LEFT($F182,3)="ДОК"),$H182=""),0,IFERROR(INDEX(Материалы!$H$2:$H$9000,MATCH($H182,Материалы!$M$2:$M$9000,0))*IF(INDEX(Материалы!$I$2:$I$9000,MATCH($H182,Материалы!$M$2:$M$9000,0))="USD",КурсUSD,IF(INDEX(Материалы!$I$2:$I$9000,MATCH($H182,Материалы!$M$2:$M$9000,0))="EUR",КурсEUR,1))*(1+IFERROR(INDEX(Работы!$I$2:$I$6000,MATCH($C182,Работы!$A$2:$A$6000,0))/100,0))*(1-MEDIAN(0,N(ДисконтТендер),1)),0))</f>
        <v>0</v>
      </c>
      <c r="L182" s="6">
        <f t="shared" si="13"/>
        <v>0</v>
      </c>
      <c r="M182" s="6">
        <f t="shared" si="14"/>
        <v>0</v>
      </c>
      <c r="N182" s="6">
        <f t="shared" si="15"/>
        <v>0</v>
      </c>
      <c r="O182" t="str">
        <f>IF($N182&gt;0,MAX($O$1:$O181)+1,"")</f>
        <v/>
      </c>
      <c r="P182" t="str">
        <f>IF($C182="","",IFERROR(INDEX(Работы!$D$2:$D$6000,MATCH($C182,Работы!$A$2:$A$6000,0)),""))</f>
        <v/>
      </c>
      <c r="Q182" t="str">
        <f t="shared" si="16"/>
        <v/>
      </c>
      <c r="R182" t="str">
        <f t="shared" si="17"/>
        <v/>
      </c>
      <c r="S182" t="str">
        <f>IF($P182="","",$P182&amp;" · "&amp;IFERROR(INDEX(Работы!$E$2:$E$6000,MATCH($C182,Работы!$A$2:$A$6000,0)),""))</f>
        <v/>
      </c>
    </row>
    <row r="183" spans="1:19" x14ac:dyDescent="0.3">
      <c r="A183" s="4"/>
      <c r="B183" s="4"/>
      <c r="C183" t="str">
        <f t="shared" si="12"/>
        <v/>
      </c>
      <c r="D183" s="5" t="str">
        <f>IF($C183="","",IF(AND(LEFT($F183,3)="ДОК",$H183&lt;&gt;""),IFERROR(INDEX(Документация!$G$2:$G$57,MATCH($H183,Документация!$F$2:$F$57,0)),"— вариант не найден —"),IFERROR(INDEX(Работы!$B$2:$B$6000,MATCH($C183,Работы!$A$2:$A$6000,0)),"— нет такого кода —")))</f>
        <v/>
      </c>
      <c r="E183" t="str">
        <f>IF($C183="","",IF(AND(LEFT($F183,3)="ДОК",$H183&lt;&gt;""),IFERROR(INDEX(Документация!$D$2:$D$57,MATCH($H183,Документация!$F$2:$F$57,0)),""),IFERROR(INDEX(Работы!$C$2:$C$6000,MATCH($C183,Работы!$A$2:$A$6000,0)),"")))</f>
        <v/>
      </c>
      <c r="F183" t="str">
        <f>IF($C183="","",IFERROR(INDEX(Работы!$G$2:$G$6000,MATCH($C183,Работы!$A$2:$A$6000,0))&amp;"",""))</f>
        <v/>
      </c>
      <c r="G183" s="4"/>
      <c r="H183" s="4"/>
      <c r="I183" s="5" t="str">
        <f>IF((LEFT($F183,3)="ДОК"),"",IF($H183="","",IFERROR(INDEX(Материалы!$B$2:$B$9000,MATCH($H183,Материалы!$M$2:$M$9000,0)),"")))</f>
        <v/>
      </c>
      <c r="J183" s="6">
        <f>IF(AND(LEFT($F183,3)="ДОК",$H183&lt;&gt;""),IFERROR(INDEX(Документация!$E$2:$E$57,MATCH($H183,Документация!$F$2:$F$57,0)),0),IFERROR(INDEX(Работы!$H$2:$H$6000,MATCH($C183,Работы!$A$2:$A$6000,0)),0))*(1-MEDIAN(0,N(ДисконтТендер),1))</f>
        <v>0</v>
      </c>
      <c r="K183" s="6">
        <f>IF(OR((LEFT($F183,3)="ДОК"),$H183=""),0,IFERROR(INDEX(Материалы!$H$2:$H$9000,MATCH($H183,Материалы!$M$2:$M$9000,0))*IF(INDEX(Материалы!$I$2:$I$9000,MATCH($H183,Материалы!$M$2:$M$9000,0))="USD",КурсUSD,IF(INDEX(Материалы!$I$2:$I$9000,MATCH($H183,Материалы!$M$2:$M$9000,0))="EUR",КурсEUR,1))*(1+IFERROR(INDEX(Работы!$I$2:$I$6000,MATCH($C183,Работы!$A$2:$A$6000,0))/100,0))*(1-MEDIAN(0,N(ДисконтТендер),1)),0))</f>
        <v>0</v>
      </c>
      <c r="L183" s="6">
        <f t="shared" si="13"/>
        <v>0</v>
      </c>
      <c r="M183" s="6">
        <f t="shared" si="14"/>
        <v>0</v>
      </c>
      <c r="N183" s="6">
        <f t="shared" si="15"/>
        <v>0</v>
      </c>
      <c r="O183" t="str">
        <f>IF($N183&gt;0,MAX($O$1:$O182)+1,"")</f>
        <v/>
      </c>
      <c r="P183" t="str">
        <f>IF($C183="","",IFERROR(INDEX(Работы!$D$2:$D$6000,MATCH($C183,Работы!$A$2:$A$6000,0)),""))</f>
        <v/>
      </c>
      <c r="Q183" t="str">
        <f t="shared" si="16"/>
        <v/>
      </c>
      <c r="R183" t="str">
        <f t="shared" si="17"/>
        <v/>
      </c>
      <c r="S183" t="str">
        <f>IF($P183="","",$P183&amp;" · "&amp;IFERROR(INDEX(Работы!$E$2:$E$6000,MATCH($C183,Работы!$A$2:$A$6000,0)),""))</f>
        <v/>
      </c>
    </row>
    <row r="184" spans="1:19" x14ac:dyDescent="0.3">
      <c r="A184" s="4"/>
      <c r="B184" s="4"/>
      <c r="C184" t="str">
        <f t="shared" si="12"/>
        <v/>
      </c>
      <c r="D184" s="5" t="str">
        <f>IF($C184="","",IF(AND(LEFT($F184,3)="ДОК",$H184&lt;&gt;""),IFERROR(INDEX(Документация!$G$2:$G$57,MATCH($H184,Документация!$F$2:$F$57,0)),"— вариант не найден —"),IFERROR(INDEX(Работы!$B$2:$B$6000,MATCH($C184,Работы!$A$2:$A$6000,0)),"— нет такого кода —")))</f>
        <v/>
      </c>
      <c r="E184" t="str">
        <f>IF($C184="","",IF(AND(LEFT($F184,3)="ДОК",$H184&lt;&gt;""),IFERROR(INDEX(Документация!$D$2:$D$57,MATCH($H184,Документация!$F$2:$F$57,0)),""),IFERROR(INDEX(Работы!$C$2:$C$6000,MATCH($C184,Работы!$A$2:$A$6000,0)),"")))</f>
        <v/>
      </c>
      <c r="F184" t="str">
        <f>IF($C184="","",IFERROR(INDEX(Работы!$G$2:$G$6000,MATCH($C184,Работы!$A$2:$A$6000,0))&amp;"",""))</f>
        <v/>
      </c>
      <c r="G184" s="4"/>
      <c r="H184" s="4"/>
      <c r="I184" s="5" t="str">
        <f>IF((LEFT($F184,3)="ДОК"),"",IF($H184="","",IFERROR(INDEX(Материалы!$B$2:$B$9000,MATCH($H184,Материалы!$M$2:$M$9000,0)),"")))</f>
        <v/>
      </c>
      <c r="J184" s="6">
        <f>IF(AND(LEFT($F184,3)="ДОК",$H184&lt;&gt;""),IFERROR(INDEX(Документация!$E$2:$E$57,MATCH($H184,Документация!$F$2:$F$57,0)),0),IFERROR(INDEX(Работы!$H$2:$H$6000,MATCH($C184,Работы!$A$2:$A$6000,0)),0))*(1-MEDIAN(0,N(ДисконтТендер),1))</f>
        <v>0</v>
      </c>
      <c r="K184" s="6">
        <f>IF(OR((LEFT($F184,3)="ДОК"),$H184=""),0,IFERROR(INDEX(Материалы!$H$2:$H$9000,MATCH($H184,Материалы!$M$2:$M$9000,0))*IF(INDEX(Материалы!$I$2:$I$9000,MATCH($H184,Материалы!$M$2:$M$9000,0))="USD",КурсUSD,IF(INDEX(Материалы!$I$2:$I$9000,MATCH($H184,Материалы!$M$2:$M$9000,0))="EUR",КурсEUR,1))*(1+IFERROR(INDEX(Работы!$I$2:$I$6000,MATCH($C184,Работы!$A$2:$A$6000,0))/100,0))*(1-MEDIAN(0,N(ДисконтТендер),1)),0))</f>
        <v>0</v>
      </c>
      <c r="L184" s="6">
        <f t="shared" si="13"/>
        <v>0</v>
      </c>
      <c r="M184" s="6">
        <f t="shared" si="14"/>
        <v>0</v>
      </c>
      <c r="N184" s="6">
        <f t="shared" si="15"/>
        <v>0</v>
      </c>
      <c r="O184" t="str">
        <f>IF($N184&gt;0,MAX($O$1:$O183)+1,"")</f>
        <v/>
      </c>
      <c r="P184" t="str">
        <f>IF($C184="","",IFERROR(INDEX(Работы!$D$2:$D$6000,MATCH($C184,Работы!$A$2:$A$6000,0)),""))</f>
        <v/>
      </c>
      <c r="Q184" t="str">
        <f t="shared" si="16"/>
        <v/>
      </c>
      <c r="R184" t="str">
        <f t="shared" si="17"/>
        <v/>
      </c>
      <c r="S184" t="str">
        <f>IF($P184="","",$P184&amp;" · "&amp;IFERROR(INDEX(Работы!$E$2:$E$6000,MATCH($C184,Работы!$A$2:$A$6000,0)),""))</f>
        <v/>
      </c>
    </row>
    <row r="185" spans="1:19" x14ac:dyDescent="0.3">
      <c r="A185" s="4"/>
      <c r="B185" s="4"/>
      <c r="C185" t="str">
        <f t="shared" si="12"/>
        <v/>
      </c>
      <c r="D185" s="5" t="str">
        <f>IF($C185="","",IF(AND(LEFT($F185,3)="ДОК",$H185&lt;&gt;""),IFERROR(INDEX(Документация!$G$2:$G$57,MATCH($H185,Документация!$F$2:$F$57,0)),"— вариант не найден —"),IFERROR(INDEX(Работы!$B$2:$B$6000,MATCH($C185,Работы!$A$2:$A$6000,0)),"— нет такого кода —")))</f>
        <v/>
      </c>
      <c r="E185" t="str">
        <f>IF($C185="","",IF(AND(LEFT($F185,3)="ДОК",$H185&lt;&gt;""),IFERROR(INDEX(Документация!$D$2:$D$57,MATCH($H185,Документация!$F$2:$F$57,0)),""),IFERROR(INDEX(Работы!$C$2:$C$6000,MATCH($C185,Работы!$A$2:$A$6000,0)),"")))</f>
        <v/>
      </c>
      <c r="F185" t="str">
        <f>IF($C185="","",IFERROR(INDEX(Работы!$G$2:$G$6000,MATCH($C185,Работы!$A$2:$A$6000,0))&amp;"",""))</f>
        <v/>
      </c>
      <c r="G185" s="4"/>
      <c r="H185" s="4"/>
      <c r="I185" s="5" t="str">
        <f>IF((LEFT($F185,3)="ДОК"),"",IF($H185="","",IFERROR(INDEX(Материалы!$B$2:$B$9000,MATCH($H185,Материалы!$M$2:$M$9000,0)),"")))</f>
        <v/>
      </c>
      <c r="J185" s="6">
        <f>IF(AND(LEFT($F185,3)="ДОК",$H185&lt;&gt;""),IFERROR(INDEX(Документация!$E$2:$E$57,MATCH($H185,Документация!$F$2:$F$57,0)),0),IFERROR(INDEX(Работы!$H$2:$H$6000,MATCH($C185,Работы!$A$2:$A$6000,0)),0))*(1-MEDIAN(0,N(ДисконтТендер),1))</f>
        <v>0</v>
      </c>
      <c r="K185" s="6">
        <f>IF(OR((LEFT($F185,3)="ДОК"),$H185=""),0,IFERROR(INDEX(Материалы!$H$2:$H$9000,MATCH($H185,Материалы!$M$2:$M$9000,0))*IF(INDEX(Материалы!$I$2:$I$9000,MATCH($H185,Материалы!$M$2:$M$9000,0))="USD",КурсUSD,IF(INDEX(Материалы!$I$2:$I$9000,MATCH($H185,Материалы!$M$2:$M$9000,0))="EUR",КурсEUR,1))*(1+IFERROR(INDEX(Работы!$I$2:$I$6000,MATCH($C185,Работы!$A$2:$A$6000,0))/100,0))*(1-MEDIAN(0,N(ДисконтТендер),1)),0))</f>
        <v>0</v>
      </c>
      <c r="L185" s="6">
        <f t="shared" si="13"/>
        <v>0</v>
      </c>
      <c r="M185" s="6">
        <f t="shared" si="14"/>
        <v>0</v>
      </c>
      <c r="N185" s="6">
        <f t="shared" si="15"/>
        <v>0</v>
      </c>
      <c r="O185" t="str">
        <f>IF($N185&gt;0,MAX($O$1:$O184)+1,"")</f>
        <v/>
      </c>
      <c r="P185" t="str">
        <f>IF($C185="","",IFERROR(INDEX(Работы!$D$2:$D$6000,MATCH($C185,Работы!$A$2:$A$6000,0)),""))</f>
        <v/>
      </c>
      <c r="Q185" t="str">
        <f t="shared" si="16"/>
        <v/>
      </c>
      <c r="R185" t="str">
        <f t="shared" si="17"/>
        <v/>
      </c>
      <c r="S185" t="str">
        <f>IF($P185="","",$P185&amp;" · "&amp;IFERROR(INDEX(Работы!$E$2:$E$6000,MATCH($C185,Работы!$A$2:$A$6000,0)),""))</f>
        <v/>
      </c>
    </row>
    <row r="186" spans="1:19" x14ac:dyDescent="0.3">
      <c r="A186" s="4"/>
      <c r="B186" s="4"/>
      <c r="C186" t="str">
        <f t="shared" si="12"/>
        <v/>
      </c>
      <c r="D186" s="5" t="str">
        <f>IF($C186="","",IF(AND(LEFT($F186,3)="ДОК",$H186&lt;&gt;""),IFERROR(INDEX(Документация!$G$2:$G$57,MATCH($H186,Документация!$F$2:$F$57,0)),"— вариант не найден —"),IFERROR(INDEX(Работы!$B$2:$B$6000,MATCH($C186,Работы!$A$2:$A$6000,0)),"— нет такого кода —")))</f>
        <v/>
      </c>
      <c r="E186" t="str">
        <f>IF($C186="","",IF(AND(LEFT($F186,3)="ДОК",$H186&lt;&gt;""),IFERROR(INDEX(Документация!$D$2:$D$57,MATCH($H186,Документация!$F$2:$F$57,0)),""),IFERROR(INDEX(Работы!$C$2:$C$6000,MATCH($C186,Работы!$A$2:$A$6000,0)),"")))</f>
        <v/>
      </c>
      <c r="F186" t="str">
        <f>IF($C186="","",IFERROR(INDEX(Работы!$G$2:$G$6000,MATCH($C186,Работы!$A$2:$A$6000,0))&amp;"",""))</f>
        <v/>
      </c>
      <c r="G186" s="4"/>
      <c r="H186" s="4"/>
      <c r="I186" s="5" t="str">
        <f>IF((LEFT($F186,3)="ДОК"),"",IF($H186="","",IFERROR(INDEX(Материалы!$B$2:$B$9000,MATCH($H186,Материалы!$M$2:$M$9000,0)),"")))</f>
        <v/>
      </c>
      <c r="J186" s="6">
        <f>IF(AND(LEFT($F186,3)="ДОК",$H186&lt;&gt;""),IFERROR(INDEX(Документация!$E$2:$E$57,MATCH($H186,Документация!$F$2:$F$57,0)),0),IFERROR(INDEX(Работы!$H$2:$H$6000,MATCH($C186,Работы!$A$2:$A$6000,0)),0))*(1-MEDIAN(0,N(ДисконтТендер),1))</f>
        <v>0</v>
      </c>
      <c r="K186" s="6">
        <f>IF(OR((LEFT($F186,3)="ДОК"),$H186=""),0,IFERROR(INDEX(Материалы!$H$2:$H$9000,MATCH($H186,Материалы!$M$2:$M$9000,0))*IF(INDEX(Материалы!$I$2:$I$9000,MATCH($H186,Материалы!$M$2:$M$9000,0))="USD",КурсUSD,IF(INDEX(Материалы!$I$2:$I$9000,MATCH($H186,Материалы!$M$2:$M$9000,0))="EUR",КурсEUR,1))*(1+IFERROR(INDEX(Работы!$I$2:$I$6000,MATCH($C186,Работы!$A$2:$A$6000,0))/100,0))*(1-MEDIAN(0,N(ДисконтТендер),1)),0))</f>
        <v>0</v>
      </c>
      <c r="L186" s="6">
        <f t="shared" si="13"/>
        <v>0</v>
      </c>
      <c r="M186" s="6">
        <f t="shared" si="14"/>
        <v>0</v>
      </c>
      <c r="N186" s="6">
        <f t="shared" si="15"/>
        <v>0</v>
      </c>
      <c r="O186" t="str">
        <f>IF($N186&gt;0,MAX($O$1:$O185)+1,"")</f>
        <v/>
      </c>
      <c r="P186" t="str">
        <f>IF($C186="","",IFERROR(INDEX(Работы!$D$2:$D$6000,MATCH($C186,Работы!$A$2:$A$6000,0)),""))</f>
        <v/>
      </c>
      <c r="Q186" t="str">
        <f t="shared" si="16"/>
        <v/>
      </c>
      <c r="R186" t="str">
        <f t="shared" si="17"/>
        <v/>
      </c>
      <c r="S186" t="str">
        <f>IF($P186="","",$P186&amp;" · "&amp;IFERROR(INDEX(Работы!$E$2:$E$6000,MATCH($C186,Работы!$A$2:$A$6000,0)),""))</f>
        <v/>
      </c>
    </row>
    <row r="187" spans="1:19" x14ac:dyDescent="0.3">
      <c r="A187" s="4"/>
      <c r="B187" s="4"/>
      <c r="C187" t="str">
        <f t="shared" si="12"/>
        <v/>
      </c>
      <c r="D187" s="5" t="str">
        <f>IF($C187="","",IF(AND(LEFT($F187,3)="ДОК",$H187&lt;&gt;""),IFERROR(INDEX(Документация!$G$2:$G$57,MATCH($H187,Документация!$F$2:$F$57,0)),"— вариант не найден —"),IFERROR(INDEX(Работы!$B$2:$B$6000,MATCH($C187,Работы!$A$2:$A$6000,0)),"— нет такого кода —")))</f>
        <v/>
      </c>
      <c r="E187" t="str">
        <f>IF($C187="","",IF(AND(LEFT($F187,3)="ДОК",$H187&lt;&gt;""),IFERROR(INDEX(Документация!$D$2:$D$57,MATCH($H187,Документация!$F$2:$F$57,0)),""),IFERROR(INDEX(Работы!$C$2:$C$6000,MATCH($C187,Работы!$A$2:$A$6000,0)),"")))</f>
        <v/>
      </c>
      <c r="F187" t="str">
        <f>IF($C187="","",IFERROR(INDEX(Работы!$G$2:$G$6000,MATCH($C187,Работы!$A$2:$A$6000,0))&amp;"",""))</f>
        <v/>
      </c>
      <c r="G187" s="4"/>
      <c r="H187" s="4"/>
      <c r="I187" s="5" t="str">
        <f>IF((LEFT($F187,3)="ДОК"),"",IF($H187="","",IFERROR(INDEX(Материалы!$B$2:$B$9000,MATCH($H187,Материалы!$M$2:$M$9000,0)),"")))</f>
        <v/>
      </c>
      <c r="J187" s="6">
        <f>IF(AND(LEFT($F187,3)="ДОК",$H187&lt;&gt;""),IFERROR(INDEX(Документация!$E$2:$E$57,MATCH($H187,Документация!$F$2:$F$57,0)),0),IFERROR(INDEX(Работы!$H$2:$H$6000,MATCH($C187,Работы!$A$2:$A$6000,0)),0))*(1-MEDIAN(0,N(ДисконтТендер),1))</f>
        <v>0</v>
      </c>
      <c r="K187" s="6">
        <f>IF(OR((LEFT($F187,3)="ДОК"),$H187=""),0,IFERROR(INDEX(Материалы!$H$2:$H$9000,MATCH($H187,Материалы!$M$2:$M$9000,0))*IF(INDEX(Материалы!$I$2:$I$9000,MATCH($H187,Материалы!$M$2:$M$9000,0))="USD",КурсUSD,IF(INDEX(Материалы!$I$2:$I$9000,MATCH($H187,Материалы!$M$2:$M$9000,0))="EUR",КурсEUR,1))*(1+IFERROR(INDEX(Работы!$I$2:$I$6000,MATCH($C187,Работы!$A$2:$A$6000,0))/100,0))*(1-MEDIAN(0,N(ДисконтТендер),1)),0))</f>
        <v>0</v>
      </c>
      <c r="L187" s="6">
        <f t="shared" si="13"/>
        <v>0</v>
      </c>
      <c r="M187" s="6">
        <f t="shared" si="14"/>
        <v>0</v>
      </c>
      <c r="N187" s="6">
        <f t="shared" si="15"/>
        <v>0</v>
      </c>
      <c r="O187" t="str">
        <f>IF($N187&gt;0,MAX($O$1:$O186)+1,"")</f>
        <v/>
      </c>
      <c r="P187" t="str">
        <f>IF($C187="","",IFERROR(INDEX(Работы!$D$2:$D$6000,MATCH($C187,Работы!$A$2:$A$6000,0)),""))</f>
        <v/>
      </c>
      <c r="Q187" t="str">
        <f t="shared" si="16"/>
        <v/>
      </c>
      <c r="R187" t="str">
        <f t="shared" si="17"/>
        <v/>
      </c>
      <c r="S187" t="str">
        <f>IF($P187="","",$P187&amp;" · "&amp;IFERROR(INDEX(Работы!$E$2:$E$6000,MATCH($C187,Работы!$A$2:$A$6000,0)),""))</f>
        <v/>
      </c>
    </row>
    <row r="188" spans="1:19" x14ac:dyDescent="0.3">
      <c r="A188" s="4"/>
      <c r="B188" s="4"/>
      <c r="C188" t="str">
        <f t="shared" si="12"/>
        <v/>
      </c>
      <c r="D188" s="5" t="str">
        <f>IF($C188="","",IF(AND(LEFT($F188,3)="ДОК",$H188&lt;&gt;""),IFERROR(INDEX(Документация!$G$2:$G$57,MATCH($H188,Документация!$F$2:$F$57,0)),"— вариант не найден —"),IFERROR(INDEX(Работы!$B$2:$B$6000,MATCH($C188,Работы!$A$2:$A$6000,0)),"— нет такого кода —")))</f>
        <v/>
      </c>
      <c r="E188" t="str">
        <f>IF($C188="","",IF(AND(LEFT($F188,3)="ДОК",$H188&lt;&gt;""),IFERROR(INDEX(Документация!$D$2:$D$57,MATCH($H188,Документация!$F$2:$F$57,0)),""),IFERROR(INDEX(Работы!$C$2:$C$6000,MATCH($C188,Работы!$A$2:$A$6000,0)),"")))</f>
        <v/>
      </c>
      <c r="F188" t="str">
        <f>IF($C188="","",IFERROR(INDEX(Работы!$G$2:$G$6000,MATCH($C188,Работы!$A$2:$A$6000,0))&amp;"",""))</f>
        <v/>
      </c>
      <c r="G188" s="4"/>
      <c r="H188" s="4"/>
      <c r="I188" s="5" t="str">
        <f>IF((LEFT($F188,3)="ДОК"),"",IF($H188="","",IFERROR(INDEX(Материалы!$B$2:$B$9000,MATCH($H188,Материалы!$M$2:$M$9000,0)),"")))</f>
        <v/>
      </c>
      <c r="J188" s="6">
        <f>IF(AND(LEFT($F188,3)="ДОК",$H188&lt;&gt;""),IFERROR(INDEX(Документация!$E$2:$E$57,MATCH($H188,Документация!$F$2:$F$57,0)),0),IFERROR(INDEX(Работы!$H$2:$H$6000,MATCH($C188,Работы!$A$2:$A$6000,0)),0))*(1-MEDIAN(0,N(ДисконтТендер),1))</f>
        <v>0</v>
      </c>
      <c r="K188" s="6">
        <f>IF(OR((LEFT($F188,3)="ДОК"),$H188=""),0,IFERROR(INDEX(Материалы!$H$2:$H$9000,MATCH($H188,Материалы!$M$2:$M$9000,0))*IF(INDEX(Материалы!$I$2:$I$9000,MATCH($H188,Материалы!$M$2:$M$9000,0))="USD",КурсUSD,IF(INDEX(Материалы!$I$2:$I$9000,MATCH($H188,Материалы!$M$2:$M$9000,0))="EUR",КурсEUR,1))*(1+IFERROR(INDEX(Работы!$I$2:$I$6000,MATCH($C188,Работы!$A$2:$A$6000,0))/100,0))*(1-MEDIAN(0,N(ДисконтТендер),1)),0))</f>
        <v>0</v>
      </c>
      <c r="L188" s="6">
        <f t="shared" si="13"/>
        <v>0</v>
      </c>
      <c r="M188" s="6">
        <f t="shared" si="14"/>
        <v>0</v>
      </c>
      <c r="N188" s="6">
        <f t="shared" si="15"/>
        <v>0</v>
      </c>
      <c r="O188" t="str">
        <f>IF($N188&gt;0,MAX($O$1:$O187)+1,"")</f>
        <v/>
      </c>
      <c r="P188" t="str">
        <f>IF($C188="","",IFERROR(INDEX(Работы!$D$2:$D$6000,MATCH($C188,Работы!$A$2:$A$6000,0)),""))</f>
        <v/>
      </c>
      <c r="Q188" t="str">
        <f t="shared" si="16"/>
        <v/>
      </c>
      <c r="R188" t="str">
        <f t="shared" si="17"/>
        <v/>
      </c>
      <c r="S188" t="str">
        <f>IF($P188="","",$P188&amp;" · "&amp;IFERROR(INDEX(Работы!$E$2:$E$6000,MATCH($C188,Работы!$A$2:$A$6000,0)),""))</f>
        <v/>
      </c>
    </row>
    <row r="189" spans="1:19" x14ac:dyDescent="0.3">
      <c r="A189" s="4"/>
      <c r="B189" s="4"/>
      <c r="C189" t="str">
        <f t="shared" si="12"/>
        <v/>
      </c>
      <c r="D189" s="5" t="str">
        <f>IF($C189="","",IF(AND(LEFT($F189,3)="ДОК",$H189&lt;&gt;""),IFERROR(INDEX(Документация!$G$2:$G$57,MATCH($H189,Документация!$F$2:$F$57,0)),"— вариант не найден —"),IFERROR(INDEX(Работы!$B$2:$B$6000,MATCH($C189,Работы!$A$2:$A$6000,0)),"— нет такого кода —")))</f>
        <v/>
      </c>
      <c r="E189" t="str">
        <f>IF($C189="","",IF(AND(LEFT($F189,3)="ДОК",$H189&lt;&gt;""),IFERROR(INDEX(Документация!$D$2:$D$57,MATCH($H189,Документация!$F$2:$F$57,0)),""),IFERROR(INDEX(Работы!$C$2:$C$6000,MATCH($C189,Работы!$A$2:$A$6000,0)),"")))</f>
        <v/>
      </c>
      <c r="F189" t="str">
        <f>IF($C189="","",IFERROR(INDEX(Работы!$G$2:$G$6000,MATCH($C189,Работы!$A$2:$A$6000,0))&amp;"",""))</f>
        <v/>
      </c>
      <c r="G189" s="4"/>
      <c r="H189" s="4"/>
      <c r="I189" s="5" t="str">
        <f>IF((LEFT($F189,3)="ДОК"),"",IF($H189="","",IFERROR(INDEX(Материалы!$B$2:$B$9000,MATCH($H189,Материалы!$M$2:$M$9000,0)),"")))</f>
        <v/>
      </c>
      <c r="J189" s="6">
        <f>IF(AND(LEFT($F189,3)="ДОК",$H189&lt;&gt;""),IFERROR(INDEX(Документация!$E$2:$E$57,MATCH($H189,Документация!$F$2:$F$57,0)),0),IFERROR(INDEX(Работы!$H$2:$H$6000,MATCH($C189,Работы!$A$2:$A$6000,0)),0))*(1-MEDIAN(0,N(ДисконтТендер),1))</f>
        <v>0</v>
      </c>
      <c r="K189" s="6">
        <f>IF(OR((LEFT($F189,3)="ДОК"),$H189=""),0,IFERROR(INDEX(Материалы!$H$2:$H$9000,MATCH($H189,Материалы!$M$2:$M$9000,0))*IF(INDEX(Материалы!$I$2:$I$9000,MATCH($H189,Материалы!$M$2:$M$9000,0))="USD",КурсUSD,IF(INDEX(Материалы!$I$2:$I$9000,MATCH($H189,Материалы!$M$2:$M$9000,0))="EUR",КурсEUR,1))*(1+IFERROR(INDEX(Работы!$I$2:$I$6000,MATCH($C189,Работы!$A$2:$A$6000,0))/100,0))*(1-MEDIAN(0,N(ДисконтТендер),1)),0))</f>
        <v>0</v>
      </c>
      <c r="L189" s="6">
        <f t="shared" si="13"/>
        <v>0</v>
      </c>
      <c r="M189" s="6">
        <f t="shared" si="14"/>
        <v>0</v>
      </c>
      <c r="N189" s="6">
        <f t="shared" si="15"/>
        <v>0</v>
      </c>
      <c r="O189" t="str">
        <f>IF($N189&gt;0,MAX($O$1:$O188)+1,"")</f>
        <v/>
      </c>
      <c r="P189" t="str">
        <f>IF($C189="","",IFERROR(INDEX(Работы!$D$2:$D$6000,MATCH($C189,Работы!$A$2:$A$6000,0)),""))</f>
        <v/>
      </c>
      <c r="Q189" t="str">
        <f t="shared" si="16"/>
        <v/>
      </c>
      <c r="R189" t="str">
        <f t="shared" si="17"/>
        <v/>
      </c>
      <c r="S189" t="str">
        <f>IF($P189="","",$P189&amp;" · "&amp;IFERROR(INDEX(Работы!$E$2:$E$6000,MATCH($C189,Работы!$A$2:$A$6000,0)),""))</f>
        <v/>
      </c>
    </row>
    <row r="190" spans="1:19" x14ac:dyDescent="0.3">
      <c r="A190" s="4"/>
      <c r="B190" s="4"/>
      <c r="C190" t="str">
        <f t="shared" si="12"/>
        <v/>
      </c>
      <c r="D190" s="5" t="str">
        <f>IF($C190="","",IF(AND(LEFT($F190,3)="ДОК",$H190&lt;&gt;""),IFERROR(INDEX(Документация!$G$2:$G$57,MATCH($H190,Документация!$F$2:$F$57,0)),"— вариант не найден —"),IFERROR(INDEX(Работы!$B$2:$B$6000,MATCH($C190,Работы!$A$2:$A$6000,0)),"— нет такого кода —")))</f>
        <v/>
      </c>
      <c r="E190" t="str">
        <f>IF($C190="","",IF(AND(LEFT($F190,3)="ДОК",$H190&lt;&gt;""),IFERROR(INDEX(Документация!$D$2:$D$57,MATCH($H190,Документация!$F$2:$F$57,0)),""),IFERROR(INDEX(Работы!$C$2:$C$6000,MATCH($C190,Работы!$A$2:$A$6000,0)),"")))</f>
        <v/>
      </c>
      <c r="F190" t="str">
        <f>IF($C190="","",IFERROR(INDEX(Работы!$G$2:$G$6000,MATCH($C190,Работы!$A$2:$A$6000,0))&amp;"",""))</f>
        <v/>
      </c>
      <c r="G190" s="4"/>
      <c r="H190" s="4"/>
      <c r="I190" s="5" t="str">
        <f>IF((LEFT($F190,3)="ДОК"),"",IF($H190="","",IFERROR(INDEX(Материалы!$B$2:$B$9000,MATCH($H190,Материалы!$M$2:$M$9000,0)),"")))</f>
        <v/>
      </c>
      <c r="J190" s="6">
        <f>IF(AND(LEFT($F190,3)="ДОК",$H190&lt;&gt;""),IFERROR(INDEX(Документация!$E$2:$E$57,MATCH($H190,Документация!$F$2:$F$57,0)),0),IFERROR(INDEX(Работы!$H$2:$H$6000,MATCH($C190,Работы!$A$2:$A$6000,0)),0))*(1-MEDIAN(0,N(ДисконтТендер),1))</f>
        <v>0</v>
      </c>
      <c r="K190" s="6">
        <f>IF(OR((LEFT($F190,3)="ДОК"),$H190=""),0,IFERROR(INDEX(Материалы!$H$2:$H$9000,MATCH($H190,Материалы!$M$2:$M$9000,0))*IF(INDEX(Материалы!$I$2:$I$9000,MATCH($H190,Материалы!$M$2:$M$9000,0))="USD",КурсUSD,IF(INDEX(Материалы!$I$2:$I$9000,MATCH($H190,Материалы!$M$2:$M$9000,0))="EUR",КурсEUR,1))*(1+IFERROR(INDEX(Работы!$I$2:$I$6000,MATCH($C190,Работы!$A$2:$A$6000,0))/100,0))*(1-MEDIAN(0,N(ДисконтТендер),1)),0))</f>
        <v>0</v>
      </c>
      <c r="L190" s="6">
        <f t="shared" si="13"/>
        <v>0</v>
      </c>
      <c r="M190" s="6">
        <f t="shared" si="14"/>
        <v>0</v>
      </c>
      <c r="N190" s="6">
        <f t="shared" si="15"/>
        <v>0</v>
      </c>
      <c r="O190" t="str">
        <f>IF($N190&gt;0,MAX($O$1:$O189)+1,"")</f>
        <v/>
      </c>
      <c r="P190" t="str">
        <f>IF($C190="","",IFERROR(INDEX(Работы!$D$2:$D$6000,MATCH($C190,Работы!$A$2:$A$6000,0)),""))</f>
        <v/>
      </c>
      <c r="Q190" t="str">
        <f t="shared" si="16"/>
        <v/>
      </c>
      <c r="R190" t="str">
        <f t="shared" si="17"/>
        <v/>
      </c>
      <c r="S190" t="str">
        <f>IF($P190="","",$P190&amp;" · "&amp;IFERROR(INDEX(Работы!$E$2:$E$6000,MATCH($C190,Работы!$A$2:$A$6000,0)),""))</f>
        <v/>
      </c>
    </row>
    <row r="191" spans="1:19" x14ac:dyDescent="0.3">
      <c r="A191" s="4"/>
      <c r="B191" s="4"/>
      <c r="C191" t="str">
        <f t="shared" si="12"/>
        <v/>
      </c>
      <c r="D191" s="5" t="str">
        <f>IF($C191="","",IF(AND(LEFT($F191,3)="ДОК",$H191&lt;&gt;""),IFERROR(INDEX(Документация!$G$2:$G$57,MATCH($H191,Документация!$F$2:$F$57,0)),"— вариант не найден —"),IFERROR(INDEX(Работы!$B$2:$B$6000,MATCH($C191,Работы!$A$2:$A$6000,0)),"— нет такого кода —")))</f>
        <v/>
      </c>
      <c r="E191" t="str">
        <f>IF($C191="","",IF(AND(LEFT($F191,3)="ДОК",$H191&lt;&gt;""),IFERROR(INDEX(Документация!$D$2:$D$57,MATCH($H191,Документация!$F$2:$F$57,0)),""),IFERROR(INDEX(Работы!$C$2:$C$6000,MATCH($C191,Работы!$A$2:$A$6000,0)),"")))</f>
        <v/>
      </c>
      <c r="F191" t="str">
        <f>IF($C191="","",IFERROR(INDEX(Работы!$G$2:$G$6000,MATCH($C191,Работы!$A$2:$A$6000,0))&amp;"",""))</f>
        <v/>
      </c>
      <c r="G191" s="4"/>
      <c r="H191" s="4"/>
      <c r="I191" s="5" t="str">
        <f>IF((LEFT($F191,3)="ДОК"),"",IF($H191="","",IFERROR(INDEX(Материалы!$B$2:$B$9000,MATCH($H191,Материалы!$M$2:$M$9000,0)),"")))</f>
        <v/>
      </c>
      <c r="J191" s="6">
        <f>IF(AND(LEFT($F191,3)="ДОК",$H191&lt;&gt;""),IFERROR(INDEX(Документация!$E$2:$E$57,MATCH($H191,Документация!$F$2:$F$57,0)),0),IFERROR(INDEX(Работы!$H$2:$H$6000,MATCH($C191,Работы!$A$2:$A$6000,0)),0))*(1-MEDIAN(0,N(ДисконтТендер),1))</f>
        <v>0</v>
      </c>
      <c r="K191" s="6">
        <f>IF(OR((LEFT($F191,3)="ДОК"),$H191=""),0,IFERROR(INDEX(Материалы!$H$2:$H$9000,MATCH($H191,Материалы!$M$2:$M$9000,0))*IF(INDEX(Материалы!$I$2:$I$9000,MATCH($H191,Материалы!$M$2:$M$9000,0))="USD",КурсUSD,IF(INDEX(Материалы!$I$2:$I$9000,MATCH($H191,Материалы!$M$2:$M$9000,0))="EUR",КурсEUR,1))*(1+IFERROR(INDEX(Работы!$I$2:$I$6000,MATCH($C191,Работы!$A$2:$A$6000,0))/100,0))*(1-MEDIAN(0,N(ДисконтТендер),1)),0))</f>
        <v>0</v>
      </c>
      <c r="L191" s="6">
        <f t="shared" si="13"/>
        <v>0</v>
      </c>
      <c r="M191" s="6">
        <f t="shared" si="14"/>
        <v>0</v>
      </c>
      <c r="N191" s="6">
        <f t="shared" si="15"/>
        <v>0</v>
      </c>
      <c r="O191" t="str">
        <f>IF($N191&gt;0,MAX($O$1:$O190)+1,"")</f>
        <v/>
      </c>
      <c r="P191" t="str">
        <f>IF($C191="","",IFERROR(INDEX(Работы!$D$2:$D$6000,MATCH($C191,Работы!$A$2:$A$6000,0)),""))</f>
        <v/>
      </c>
      <c r="Q191" t="str">
        <f t="shared" si="16"/>
        <v/>
      </c>
      <c r="R191" t="str">
        <f t="shared" si="17"/>
        <v/>
      </c>
      <c r="S191" t="str">
        <f>IF($P191="","",$P191&amp;" · "&amp;IFERROR(INDEX(Работы!$E$2:$E$6000,MATCH($C191,Работы!$A$2:$A$6000,0)),""))</f>
        <v/>
      </c>
    </row>
    <row r="192" spans="1:19" x14ac:dyDescent="0.3">
      <c r="A192" s="4"/>
      <c r="B192" s="4"/>
      <c r="C192" t="str">
        <f t="shared" si="12"/>
        <v/>
      </c>
      <c r="D192" s="5" t="str">
        <f>IF($C192="","",IF(AND(LEFT($F192,3)="ДОК",$H192&lt;&gt;""),IFERROR(INDEX(Документация!$G$2:$G$57,MATCH($H192,Документация!$F$2:$F$57,0)),"— вариант не найден —"),IFERROR(INDEX(Работы!$B$2:$B$6000,MATCH($C192,Работы!$A$2:$A$6000,0)),"— нет такого кода —")))</f>
        <v/>
      </c>
      <c r="E192" t="str">
        <f>IF($C192="","",IF(AND(LEFT($F192,3)="ДОК",$H192&lt;&gt;""),IFERROR(INDEX(Документация!$D$2:$D$57,MATCH($H192,Документация!$F$2:$F$57,0)),""),IFERROR(INDEX(Работы!$C$2:$C$6000,MATCH($C192,Работы!$A$2:$A$6000,0)),"")))</f>
        <v/>
      </c>
      <c r="F192" t="str">
        <f>IF($C192="","",IFERROR(INDEX(Работы!$G$2:$G$6000,MATCH($C192,Работы!$A$2:$A$6000,0))&amp;"",""))</f>
        <v/>
      </c>
      <c r="G192" s="4"/>
      <c r="H192" s="4"/>
      <c r="I192" s="5" t="str">
        <f>IF((LEFT($F192,3)="ДОК"),"",IF($H192="","",IFERROR(INDEX(Материалы!$B$2:$B$9000,MATCH($H192,Материалы!$M$2:$M$9000,0)),"")))</f>
        <v/>
      </c>
      <c r="J192" s="6">
        <f>IF(AND(LEFT($F192,3)="ДОК",$H192&lt;&gt;""),IFERROR(INDEX(Документация!$E$2:$E$57,MATCH($H192,Документация!$F$2:$F$57,0)),0),IFERROR(INDEX(Работы!$H$2:$H$6000,MATCH($C192,Работы!$A$2:$A$6000,0)),0))*(1-MEDIAN(0,N(ДисконтТендер),1))</f>
        <v>0</v>
      </c>
      <c r="K192" s="6">
        <f>IF(OR((LEFT($F192,3)="ДОК"),$H192=""),0,IFERROR(INDEX(Материалы!$H$2:$H$9000,MATCH($H192,Материалы!$M$2:$M$9000,0))*IF(INDEX(Материалы!$I$2:$I$9000,MATCH($H192,Материалы!$M$2:$M$9000,0))="USD",КурсUSD,IF(INDEX(Материалы!$I$2:$I$9000,MATCH($H192,Материалы!$M$2:$M$9000,0))="EUR",КурсEUR,1))*(1+IFERROR(INDEX(Работы!$I$2:$I$6000,MATCH($C192,Работы!$A$2:$A$6000,0))/100,0))*(1-MEDIAN(0,N(ДисконтТендер),1)),0))</f>
        <v>0</v>
      </c>
      <c r="L192" s="6">
        <f t="shared" si="13"/>
        <v>0</v>
      </c>
      <c r="M192" s="6">
        <f t="shared" si="14"/>
        <v>0</v>
      </c>
      <c r="N192" s="6">
        <f t="shared" si="15"/>
        <v>0</v>
      </c>
      <c r="O192" t="str">
        <f>IF($N192&gt;0,MAX($O$1:$O191)+1,"")</f>
        <v/>
      </c>
      <c r="P192" t="str">
        <f>IF($C192="","",IFERROR(INDEX(Работы!$D$2:$D$6000,MATCH($C192,Работы!$A$2:$A$6000,0)),""))</f>
        <v/>
      </c>
      <c r="Q192" t="str">
        <f t="shared" si="16"/>
        <v/>
      </c>
      <c r="R192" t="str">
        <f t="shared" si="17"/>
        <v/>
      </c>
      <c r="S192" t="str">
        <f>IF($P192="","",$P192&amp;" · "&amp;IFERROR(INDEX(Работы!$E$2:$E$6000,MATCH($C192,Работы!$A$2:$A$6000,0)),""))</f>
        <v/>
      </c>
    </row>
    <row r="193" spans="1:19" x14ac:dyDescent="0.3">
      <c r="A193" s="4"/>
      <c r="B193" s="4"/>
      <c r="C193" t="str">
        <f t="shared" si="12"/>
        <v/>
      </c>
      <c r="D193" s="5" t="str">
        <f>IF($C193="","",IF(AND(LEFT($F193,3)="ДОК",$H193&lt;&gt;""),IFERROR(INDEX(Документация!$G$2:$G$57,MATCH($H193,Документация!$F$2:$F$57,0)),"— вариант не найден —"),IFERROR(INDEX(Работы!$B$2:$B$6000,MATCH($C193,Работы!$A$2:$A$6000,0)),"— нет такого кода —")))</f>
        <v/>
      </c>
      <c r="E193" t="str">
        <f>IF($C193="","",IF(AND(LEFT($F193,3)="ДОК",$H193&lt;&gt;""),IFERROR(INDEX(Документация!$D$2:$D$57,MATCH($H193,Документация!$F$2:$F$57,0)),""),IFERROR(INDEX(Работы!$C$2:$C$6000,MATCH($C193,Работы!$A$2:$A$6000,0)),"")))</f>
        <v/>
      </c>
      <c r="F193" t="str">
        <f>IF($C193="","",IFERROR(INDEX(Работы!$G$2:$G$6000,MATCH($C193,Работы!$A$2:$A$6000,0))&amp;"",""))</f>
        <v/>
      </c>
      <c r="G193" s="4"/>
      <c r="H193" s="4"/>
      <c r="I193" s="5" t="str">
        <f>IF((LEFT($F193,3)="ДОК"),"",IF($H193="","",IFERROR(INDEX(Материалы!$B$2:$B$9000,MATCH($H193,Материалы!$M$2:$M$9000,0)),"")))</f>
        <v/>
      </c>
      <c r="J193" s="6">
        <f>IF(AND(LEFT($F193,3)="ДОК",$H193&lt;&gt;""),IFERROR(INDEX(Документация!$E$2:$E$57,MATCH($H193,Документация!$F$2:$F$57,0)),0),IFERROR(INDEX(Работы!$H$2:$H$6000,MATCH($C193,Работы!$A$2:$A$6000,0)),0))*(1-MEDIAN(0,N(ДисконтТендер),1))</f>
        <v>0</v>
      </c>
      <c r="K193" s="6">
        <f>IF(OR((LEFT($F193,3)="ДОК"),$H193=""),0,IFERROR(INDEX(Материалы!$H$2:$H$9000,MATCH($H193,Материалы!$M$2:$M$9000,0))*IF(INDEX(Материалы!$I$2:$I$9000,MATCH($H193,Материалы!$M$2:$M$9000,0))="USD",КурсUSD,IF(INDEX(Материалы!$I$2:$I$9000,MATCH($H193,Материалы!$M$2:$M$9000,0))="EUR",КурсEUR,1))*(1+IFERROR(INDEX(Работы!$I$2:$I$6000,MATCH($C193,Работы!$A$2:$A$6000,0))/100,0))*(1-MEDIAN(0,N(ДисконтТендер),1)),0))</f>
        <v>0</v>
      </c>
      <c r="L193" s="6">
        <f t="shared" si="13"/>
        <v>0</v>
      </c>
      <c r="M193" s="6">
        <f t="shared" si="14"/>
        <v>0</v>
      </c>
      <c r="N193" s="6">
        <f t="shared" si="15"/>
        <v>0</v>
      </c>
      <c r="O193" t="str">
        <f>IF($N193&gt;0,MAX($O$1:$O192)+1,"")</f>
        <v/>
      </c>
      <c r="P193" t="str">
        <f>IF($C193="","",IFERROR(INDEX(Работы!$D$2:$D$6000,MATCH($C193,Работы!$A$2:$A$6000,0)),""))</f>
        <v/>
      </c>
      <c r="Q193" t="str">
        <f t="shared" si="16"/>
        <v/>
      </c>
      <c r="R193" t="str">
        <f t="shared" si="17"/>
        <v/>
      </c>
      <c r="S193" t="str">
        <f>IF($P193="","",$P193&amp;" · "&amp;IFERROR(INDEX(Работы!$E$2:$E$6000,MATCH($C193,Работы!$A$2:$A$6000,0)),""))</f>
        <v/>
      </c>
    </row>
    <row r="194" spans="1:19" x14ac:dyDescent="0.3">
      <c r="A194" s="4"/>
      <c r="B194" s="4"/>
      <c r="C194" t="str">
        <f t="shared" ref="C194:C257" si="18">IF($B194="","",IFERROR(LEFT($B194,FIND(" — ",$B194)-1),$B194))</f>
        <v/>
      </c>
      <c r="D194" s="5" t="str">
        <f>IF($C194="","",IF(AND(LEFT($F194,3)="ДОК",$H194&lt;&gt;""),IFERROR(INDEX(Документация!$G$2:$G$57,MATCH($H194,Документация!$F$2:$F$57,0)),"— вариант не найден —"),IFERROR(INDEX(Работы!$B$2:$B$6000,MATCH($C194,Работы!$A$2:$A$6000,0)),"— нет такого кода —")))</f>
        <v/>
      </c>
      <c r="E194" t="str">
        <f>IF($C194="","",IF(AND(LEFT($F194,3)="ДОК",$H194&lt;&gt;""),IFERROR(INDEX(Документация!$D$2:$D$57,MATCH($H194,Документация!$F$2:$F$57,0)),""),IFERROR(INDEX(Работы!$C$2:$C$6000,MATCH($C194,Работы!$A$2:$A$6000,0)),"")))</f>
        <v/>
      </c>
      <c r="F194" t="str">
        <f>IF($C194="","",IFERROR(INDEX(Работы!$G$2:$G$6000,MATCH($C194,Работы!$A$2:$A$6000,0))&amp;"",""))</f>
        <v/>
      </c>
      <c r="G194" s="4"/>
      <c r="H194" s="4"/>
      <c r="I194" s="5" t="str">
        <f>IF((LEFT($F194,3)="ДОК"),"",IF($H194="","",IFERROR(INDEX(Материалы!$B$2:$B$9000,MATCH($H194,Материалы!$M$2:$M$9000,0)),"")))</f>
        <v/>
      </c>
      <c r="J194" s="6">
        <f>IF(AND(LEFT($F194,3)="ДОК",$H194&lt;&gt;""),IFERROR(INDEX(Документация!$E$2:$E$57,MATCH($H194,Документация!$F$2:$F$57,0)),0),IFERROR(INDEX(Работы!$H$2:$H$6000,MATCH($C194,Работы!$A$2:$A$6000,0)),0))*(1-MEDIAN(0,N(ДисконтТендер),1))</f>
        <v>0</v>
      </c>
      <c r="K194" s="6">
        <f>IF(OR((LEFT($F194,3)="ДОК"),$H194=""),0,IFERROR(INDEX(Материалы!$H$2:$H$9000,MATCH($H194,Материалы!$M$2:$M$9000,0))*IF(INDEX(Материалы!$I$2:$I$9000,MATCH($H194,Материалы!$M$2:$M$9000,0))="USD",КурсUSD,IF(INDEX(Материалы!$I$2:$I$9000,MATCH($H194,Материалы!$M$2:$M$9000,0))="EUR",КурсEUR,1))*(1+IFERROR(INDEX(Работы!$I$2:$I$6000,MATCH($C194,Работы!$A$2:$A$6000,0))/100,0))*(1-MEDIAN(0,N(ДисконтТендер),1)),0))</f>
        <v>0</v>
      </c>
      <c r="L194" s="6">
        <f t="shared" ref="L194:L257" si="19">IF($G194&lt;&gt;"",ROUND($G194*$J194,2),0)</f>
        <v>0</v>
      </c>
      <c r="M194" s="6">
        <f t="shared" ref="M194:M257" si="20">IF($G194&lt;&gt;"",ROUND($G194*$K194,2),0)</f>
        <v>0</v>
      </c>
      <c r="N194" s="6">
        <f t="shared" ref="N194:N257" si="21">$L194+$M194</f>
        <v>0</v>
      </c>
      <c r="O194" t="str">
        <f>IF($N194&gt;0,MAX($O$1:$O193)+1,"")</f>
        <v/>
      </c>
      <c r="P194" t="str">
        <f>IF($C194="","",IFERROR(INDEX(Работы!$D$2:$D$6000,MATCH($C194,Работы!$A$2:$A$6000,0)),""))</f>
        <v/>
      </c>
      <c r="Q194" t="str">
        <f t="shared" ref="Q194:Q257" si="22">IF($O194="","",IF($O194=1,1,IF($P194&lt;&gt;IFERROR(INDEX($P$2:$P$501,MATCH($O194-1,$O$2:$O$501,0)),"~"),1,0)))</f>
        <v/>
      </c>
      <c r="R194" t="str">
        <f t="shared" ref="R194:R257" si="23">IF($O194="","",$O194+SUMIFS($Q$2:$Q$501,$O$2:$O$501,"&lt;="&amp;$O194))</f>
        <v/>
      </c>
      <c r="S194" t="str">
        <f>IF($P194="","",$P194&amp;" · "&amp;IFERROR(INDEX(Работы!$E$2:$E$6000,MATCH($C194,Работы!$A$2:$A$6000,0)),""))</f>
        <v/>
      </c>
    </row>
    <row r="195" spans="1:19" x14ac:dyDescent="0.3">
      <c r="A195" s="4"/>
      <c r="B195" s="4"/>
      <c r="C195" t="str">
        <f t="shared" si="18"/>
        <v/>
      </c>
      <c r="D195" s="5" t="str">
        <f>IF($C195="","",IF(AND(LEFT($F195,3)="ДОК",$H195&lt;&gt;""),IFERROR(INDEX(Документация!$G$2:$G$57,MATCH($H195,Документация!$F$2:$F$57,0)),"— вариант не найден —"),IFERROR(INDEX(Работы!$B$2:$B$6000,MATCH($C195,Работы!$A$2:$A$6000,0)),"— нет такого кода —")))</f>
        <v/>
      </c>
      <c r="E195" t="str">
        <f>IF($C195="","",IF(AND(LEFT($F195,3)="ДОК",$H195&lt;&gt;""),IFERROR(INDEX(Документация!$D$2:$D$57,MATCH($H195,Документация!$F$2:$F$57,0)),""),IFERROR(INDEX(Работы!$C$2:$C$6000,MATCH($C195,Работы!$A$2:$A$6000,0)),"")))</f>
        <v/>
      </c>
      <c r="F195" t="str">
        <f>IF($C195="","",IFERROR(INDEX(Работы!$G$2:$G$6000,MATCH($C195,Работы!$A$2:$A$6000,0))&amp;"",""))</f>
        <v/>
      </c>
      <c r="G195" s="4"/>
      <c r="H195" s="4"/>
      <c r="I195" s="5" t="str">
        <f>IF((LEFT($F195,3)="ДОК"),"",IF($H195="","",IFERROR(INDEX(Материалы!$B$2:$B$9000,MATCH($H195,Материалы!$M$2:$M$9000,0)),"")))</f>
        <v/>
      </c>
      <c r="J195" s="6">
        <f>IF(AND(LEFT($F195,3)="ДОК",$H195&lt;&gt;""),IFERROR(INDEX(Документация!$E$2:$E$57,MATCH($H195,Документация!$F$2:$F$57,0)),0),IFERROR(INDEX(Работы!$H$2:$H$6000,MATCH($C195,Работы!$A$2:$A$6000,0)),0))*(1-MEDIAN(0,N(ДисконтТендер),1))</f>
        <v>0</v>
      </c>
      <c r="K195" s="6">
        <f>IF(OR((LEFT($F195,3)="ДОК"),$H195=""),0,IFERROR(INDEX(Материалы!$H$2:$H$9000,MATCH($H195,Материалы!$M$2:$M$9000,0))*IF(INDEX(Материалы!$I$2:$I$9000,MATCH($H195,Материалы!$M$2:$M$9000,0))="USD",КурсUSD,IF(INDEX(Материалы!$I$2:$I$9000,MATCH($H195,Материалы!$M$2:$M$9000,0))="EUR",КурсEUR,1))*(1+IFERROR(INDEX(Работы!$I$2:$I$6000,MATCH($C195,Работы!$A$2:$A$6000,0))/100,0))*(1-MEDIAN(0,N(ДисконтТендер),1)),0))</f>
        <v>0</v>
      </c>
      <c r="L195" s="6">
        <f t="shared" si="19"/>
        <v>0</v>
      </c>
      <c r="M195" s="6">
        <f t="shared" si="20"/>
        <v>0</v>
      </c>
      <c r="N195" s="6">
        <f t="shared" si="21"/>
        <v>0</v>
      </c>
      <c r="O195" t="str">
        <f>IF($N195&gt;0,MAX($O$1:$O194)+1,"")</f>
        <v/>
      </c>
      <c r="P195" t="str">
        <f>IF($C195="","",IFERROR(INDEX(Работы!$D$2:$D$6000,MATCH($C195,Работы!$A$2:$A$6000,0)),""))</f>
        <v/>
      </c>
      <c r="Q195" t="str">
        <f t="shared" si="22"/>
        <v/>
      </c>
      <c r="R195" t="str">
        <f t="shared" si="23"/>
        <v/>
      </c>
      <c r="S195" t="str">
        <f>IF($P195="","",$P195&amp;" · "&amp;IFERROR(INDEX(Работы!$E$2:$E$6000,MATCH($C195,Работы!$A$2:$A$6000,0)),""))</f>
        <v/>
      </c>
    </row>
    <row r="196" spans="1:19" x14ac:dyDescent="0.3">
      <c r="A196" s="4"/>
      <c r="B196" s="4"/>
      <c r="C196" t="str">
        <f t="shared" si="18"/>
        <v/>
      </c>
      <c r="D196" s="5" t="str">
        <f>IF($C196="","",IF(AND(LEFT($F196,3)="ДОК",$H196&lt;&gt;""),IFERROR(INDEX(Документация!$G$2:$G$57,MATCH($H196,Документация!$F$2:$F$57,0)),"— вариант не найден —"),IFERROR(INDEX(Работы!$B$2:$B$6000,MATCH($C196,Работы!$A$2:$A$6000,0)),"— нет такого кода —")))</f>
        <v/>
      </c>
      <c r="E196" t="str">
        <f>IF($C196="","",IF(AND(LEFT($F196,3)="ДОК",$H196&lt;&gt;""),IFERROR(INDEX(Документация!$D$2:$D$57,MATCH($H196,Документация!$F$2:$F$57,0)),""),IFERROR(INDEX(Работы!$C$2:$C$6000,MATCH($C196,Работы!$A$2:$A$6000,0)),"")))</f>
        <v/>
      </c>
      <c r="F196" t="str">
        <f>IF($C196="","",IFERROR(INDEX(Работы!$G$2:$G$6000,MATCH($C196,Работы!$A$2:$A$6000,0))&amp;"",""))</f>
        <v/>
      </c>
      <c r="G196" s="4"/>
      <c r="H196" s="4"/>
      <c r="I196" s="5" t="str">
        <f>IF((LEFT($F196,3)="ДОК"),"",IF($H196="","",IFERROR(INDEX(Материалы!$B$2:$B$9000,MATCH($H196,Материалы!$M$2:$M$9000,0)),"")))</f>
        <v/>
      </c>
      <c r="J196" s="6">
        <f>IF(AND(LEFT($F196,3)="ДОК",$H196&lt;&gt;""),IFERROR(INDEX(Документация!$E$2:$E$57,MATCH($H196,Документация!$F$2:$F$57,0)),0),IFERROR(INDEX(Работы!$H$2:$H$6000,MATCH($C196,Работы!$A$2:$A$6000,0)),0))*(1-MEDIAN(0,N(ДисконтТендер),1))</f>
        <v>0</v>
      </c>
      <c r="K196" s="6">
        <f>IF(OR((LEFT($F196,3)="ДОК"),$H196=""),0,IFERROR(INDEX(Материалы!$H$2:$H$9000,MATCH($H196,Материалы!$M$2:$M$9000,0))*IF(INDEX(Материалы!$I$2:$I$9000,MATCH($H196,Материалы!$M$2:$M$9000,0))="USD",КурсUSD,IF(INDEX(Материалы!$I$2:$I$9000,MATCH($H196,Материалы!$M$2:$M$9000,0))="EUR",КурсEUR,1))*(1+IFERROR(INDEX(Работы!$I$2:$I$6000,MATCH($C196,Работы!$A$2:$A$6000,0))/100,0))*(1-MEDIAN(0,N(ДисконтТендер),1)),0))</f>
        <v>0</v>
      </c>
      <c r="L196" s="6">
        <f t="shared" si="19"/>
        <v>0</v>
      </c>
      <c r="M196" s="6">
        <f t="shared" si="20"/>
        <v>0</v>
      </c>
      <c r="N196" s="6">
        <f t="shared" si="21"/>
        <v>0</v>
      </c>
      <c r="O196" t="str">
        <f>IF($N196&gt;0,MAX($O$1:$O195)+1,"")</f>
        <v/>
      </c>
      <c r="P196" t="str">
        <f>IF($C196="","",IFERROR(INDEX(Работы!$D$2:$D$6000,MATCH($C196,Работы!$A$2:$A$6000,0)),""))</f>
        <v/>
      </c>
      <c r="Q196" t="str">
        <f t="shared" si="22"/>
        <v/>
      </c>
      <c r="R196" t="str">
        <f t="shared" si="23"/>
        <v/>
      </c>
      <c r="S196" t="str">
        <f>IF($P196="","",$P196&amp;" · "&amp;IFERROR(INDEX(Работы!$E$2:$E$6000,MATCH($C196,Работы!$A$2:$A$6000,0)),""))</f>
        <v/>
      </c>
    </row>
    <row r="197" spans="1:19" x14ac:dyDescent="0.3">
      <c r="A197" s="4"/>
      <c r="B197" s="4"/>
      <c r="C197" t="str">
        <f t="shared" si="18"/>
        <v/>
      </c>
      <c r="D197" s="5" t="str">
        <f>IF($C197="","",IF(AND(LEFT($F197,3)="ДОК",$H197&lt;&gt;""),IFERROR(INDEX(Документация!$G$2:$G$57,MATCH($H197,Документация!$F$2:$F$57,0)),"— вариант не найден —"),IFERROR(INDEX(Работы!$B$2:$B$6000,MATCH($C197,Работы!$A$2:$A$6000,0)),"— нет такого кода —")))</f>
        <v/>
      </c>
      <c r="E197" t="str">
        <f>IF($C197="","",IF(AND(LEFT($F197,3)="ДОК",$H197&lt;&gt;""),IFERROR(INDEX(Документация!$D$2:$D$57,MATCH($H197,Документация!$F$2:$F$57,0)),""),IFERROR(INDEX(Работы!$C$2:$C$6000,MATCH($C197,Работы!$A$2:$A$6000,0)),"")))</f>
        <v/>
      </c>
      <c r="F197" t="str">
        <f>IF($C197="","",IFERROR(INDEX(Работы!$G$2:$G$6000,MATCH($C197,Работы!$A$2:$A$6000,0))&amp;"",""))</f>
        <v/>
      </c>
      <c r="G197" s="4"/>
      <c r="H197" s="4"/>
      <c r="I197" s="5" t="str">
        <f>IF((LEFT($F197,3)="ДОК"),"",IF($H197="","",IFERROR(INDEX(Материалы!$B$2:$B$9000,MATCH($H197,Материалы!$M$2:$M$9000,0)),"")))</f>
        <v/>
      </c>
      <c r="J197" s="6">
        <f>IF(AND(LEFT($F197,3)="ДОК",$H197&lt;&gt;""),IFERROR(INDEX(Документация!$E$2:$E$57,MATCH($H197,Документация!$F$2:$F$57,0)),0),IFERROR(INDEX(Работы!$H$2:$H$6000,MATCH($C197,Работы!$A$2:$A$6000,0)),0))*(1-MEDIAN(0,N(ДисконтТендер),1))</f>
        <v>0</v>
      </c>
      <c r="K197" s="6">
        <f>IF(OR((LEFT($F197,3)="ДОК"),$H197=""),0,IFERROR(INDEX(Материалы!$H$2:$H$9000,MATCH($H197,Материалы!$M$2:$M$9000,0))*IF(INDEX(Материалы!$I$2:$I$9000,MATCH($H197,Материалы!$M$2:$M$9000,0))="USD",КурсUSD,IF(INDEX(Материалы!$I$2:$I$9000,MATCH($H197,Материалы!$M$2:$M$9000,0))="EUR",КурсEUR,1))*(1+IFERROR(INDEX(Работы!$I$2:$I$6000,MATCH($C197,Работы!$A$2:$A$6000,0))/100,0))*(1-MEDIAN(0,N(ДисконтТендер),1)),0))</f>
        <v>0</v>
      </c>
      <c r="L197" s="6">
        <f t="shared" si="19"/>
        <v>0</v>
      </c>
      <c r="M197" s="6">
        <f t="shared" si="20"/>
        <v>0</v>
      </c>
      <c r="N197" s="6">
        <f t="shared" si="21"/>
        <v>0</v>
      </c>
      <c r="O197" t="str">
        <f>IF($N197&gt;0,MAX($O$1:$O196)+1,"")</f>
        <v/>
      </c>
      <c r="P197" t="str">
        <f>IF($C197="","",IFERROR(INDEX(Работы!$D$2:$D$6000,MATCH($C197,Работы!$A$2:$A$6000,0)),""))</f>
        <v/>
      </c>
      <c r="Q197" t="str">
        <f t="shared" si="22"/>
        <v/>
      </c>
      <c r="R197" t="str">
        <f t="shared" si="23"/>
        <v/>
      </c>
      <c r="S197" t="str">
        <f>IF($P197="","",$P197&amp;" · "&amp;IFERROR(INDEX(Работы!$E$2:$E$6000,MATCH($C197,Работы!$A$2:$A$6000,0)),""))</f>
        <v/>
      </c>
    </row>
    <row r="198" spans="1:19" x14ac:dyDescent="0.3">
      <c r="A198" s="4"/>
      <c r="B198" s="4"/>
      <c r="C198" t="str">
        <f t="shared" si="18"/>
        <v/>
      </c>
      <c r="D198" s="5" t="str">
        <f>IF($C198="","",IF(AND(LEFT($F198,3)="ДОК",$H198&lt;&gt;""),IFERROR(INDEX(Документация!$G$2:$G$57,MATCH($H198,Документация!$F$2:$F$57,0)),"— вариант не найден —"),IFERROR(INDEX(Работы!$B$2:$B$6000,MATCH($C198,Работы!$A$2:$A$6000,0)),"— нет такого кода —")))</f>
        <v/>
      </c>
      <c r="E198" t="str">
        <f>IF($C198="","",IF(AND(LEFT($F198,3)="ДОК",$H198&lt;&gt;""),IFERROR(INDEX(Документация!$D$2:$D$57,MATCH($H198,Документация!$F$2:$F$57,0)),""),IFERROR(INDEX(Работы!$C$2:$C$6000,MATCH($C198,Работы!$A$2:$A$6000,0)),"")))</f>
        <v/>
      </c>
      <c r="F198" t="str">
        <f>IF($C198="","",IFERROR(INDEX(Работы!$G$2:$G$6000,MATCH($C198,Работы!$A$2:$A$6000,0))&amp;"",""))</f>
        <v/>
      </c>
      <c r="G198" s="4"/>
      <c r="H198" s="4"/>
      <c r="I198" s="5" t="str">
        <f>IF((LEFT($F198,3)="ДОК"),"",IF($H198="","",IFERROR(INDEX(Материалы!$B$2:$B$9000,MATCH($H198,Материалы!$M$2:$M$9000,0)),"")))</f>
        <v/>
      </c>
      <c r="J198" s="6">
        <f>IF(AND(LEFT($F198,3)="ДОК",$H198&lt;&gt;""),IFERROR(INDEX(Документация!$E$2:$E$57,MATCH($H198,Документация!$F$2:$F$57,0)),0),IFERROR(INDEX(Работы!$H$2:$H$6000,MATCH($C198,Работы!$A$2:$A$6000,0)),0))*(1-MEDIAN(0,N(ДисконтТендер),1))</f>
        <v>0</v>
      </c>
      <c r="K198" s="6">
        <f>IF(OR((LEFT($F198,3)="ДОК"),$H198=""),0,IFERROR(INDEX(Материалы!$H$2:$H$9000,MATCH($H198,Материалы!$M$2:$M$9000,0))*IF(INDEX(Материалы!$I$2:$I$9000,MATCH($H198,Материалы!$M$2:$M$9000,0))="USD",КурсUSD,IF(INDEX(Материалы!$I$2:$I$9000,MATCH($H198,Материалы!$M$2:$M$9000,0))="EUR",КурсEUR,1))*(1+IFERROR(INDEX(Работы!$I$2:$I$6000,MATCH($C198,Работы!$A$2:$A$6000,0))/100,0))*(1-MEDIAN(0,N(ДисконтТендер),1)),0))</f>
        <v>0</v>
      </c>
      <c r="L198" s="6">
        <f t="shared" si="19"/>
        <v>0</v>
      </c>
      <c r="M198" s="6">
        <f t="shared" si="20"/>
        <v>0</v>
      </c>
      <c r="N198" s="6">
        <f t="shared" si="21"/>
        <v>0</v>
      </c>
      <c r="O198" t="str">
        <f>IF($N198&gt;0,MAX($O$1:$O197)+1,"")</f>
        <v/>
      </c>
      <c r="P198" t="str">
        <f>IF($C198="","",IFERROR(INDEX(Работы!$D$2:$D$6000,MATCH($C198,Работы!$A$2:$A$6000,0)),""))</f>
        <v/>
      </c>
      <c r="Q198" t="str">
        <f t="shared" si="22"/>
        <v/>
      </c>
      <c r="R198" t="str">
        <f t="shared" si="23"/>
        <v/>
      </c>
      <c r="S198" t="str">
        <f>IF($P198="","",$P198&amp;" · "&amp;IFERROR(INDEX(Работы!$E$2:$E$6000,MATCH($C198,Работы!$A$2:$A$6000,0)),""))</f>
        <v/>
      </c>
    </row>
    <row r="199" spans="1:19" x14ac:dyDescent="0.3">
      <c r="A199" s="4"/>
      <c r="B199" s="4"/>
      <c r="C199" t="str">
        <f t="shared" si="18"/>
        <v/>
      </c>
      <c r="D199" s="5" t="str">
        <f>IF($C199="","",IF(AND(LEFT($F199,3)="ДОК",$H199&lt;&gt;""),IFERROR(INDEX(Документация!$G$2:$G$57,MATCH($H199,Документация!$F$2:$F$57,0)),"— вариант не найден —"),IFERROR(INDEX(Работы!$B$2:$B$6000,MATCH($C199,Работы!$A$2:$A$6000,0)),"— нет такого кода —")))</f>
        <v/>
      </c>
      <c r="E199" t="str">
        <f>IF($C199="","",IF(AND(LEFT($F199,3)="ДОК",$H199&lt;&gt;""),IFERROR(INDEX(Документация!$D$2:$D$57,MATCH($H199,Документация!$F$2:$F$57,0)),""),IFERROR(INDEX(Работы!$C$2:$C$6000,MATCH($C199,Работы!$A$2:$A$6000,0)),"")))</f>
        <v/>
      </c>
      <c r="F199" t="str">
        <f>IF($C199="","",IFERROR(INDEX(Работы!$G$2:$G$6000,MATCH($C199,Работы!$A$2:$A$6000,0))&amp;"",""))</f>
        <v/>
      </c>
      <c r="G199" s="4"/>
      <c r="H199" s="4"/>
      <c r="I199" s="5" t="str">
        <f>IF((LEFT($F199,3)="ДОК"),"",IF($H199="","",IFERROR(INDEX(Материалы!$B$2:$B$9000,MATCH($H199,Материалы!$M$2:$M$9000,0)),"")))</f>
        <v/>
      </c>
      <c r="J199" s="6">
        <f>IF(AND(LEFT($F199,3)="ДОК",$H199&lt;&gt;""),IFERROR(INDEX(Документация!$E$2:$E$57,MATCH($H199,Документация!$F$2:$F$57,0)),0),IFERROR(INDEX(Работы!$H$2:$H$6000,MATCH($C199,Работы!$A$2:$A$6000,0)),0))*(1-MEDIAN(0,N(ДисконтТендер),1))</f>
        <v>0</v>
      </c>
      <c r="K199" s="6">
        <f>IF(OR((LEFT($F199,3)="ДОК"),$H199=""),0,IFERROR(INDEX(Материалы!$H$2:$H$9000,MATCH($H199,Материалы!$M$2:$M$9000,0))*IF(INDEX(Материалы!$I$2:$I$9000,MATCH($H199,Материалы!$M$2:$M$9000,0))="USD",КурсUSD,IF(INDEX(Материалы!$I$2:$I$9000,MATCH($H199,Материалы!$M$2:$M$9000,0))="EUR",КурсEUR,1))*(1+IFERROR(INDEX(Работы!$I$2:$I$6000,MATCH($C199,Работы!$A$2:$A$6000,0))/100,0))*(1-MEDIAN(0,N(ДисконтТендер),1)),0))</f>
        <v>0</v>
      </c>
      <c r="L199" s="6">
        <f t="shared" si="19"/>
        <v>0</v>
      </c>
      <c r="M199" s="6">
        <f t="shared" si="20"/>
        <v>0</v>
      </c>
      <c r="N199" s="6">
        <f t="shared" si="21"/>
        <v>0</v>
      </c>
      <c r="O199" t="str">
        <f>IF($N199&gt;0,MAX($O$1:$O198)+1,"")</f>
        <v/>
      </c>
      <c r="P199" t="str">
        <f>IF($C199="","",IFERROR(INDEX(Работы!$D$2:$D$6000,MATCH($C199,Работы!$A$2:$A$6000,0)),""))</f>
        <v/>
      </c>
      <c r="Q199" t="str">
        <f t="shared" si="22"/>
        <v/>
      </c>
      <c r="R199" t="str">
        <f t="shared" si="23"/>
        <v/>
      </c>
      <c r="S199" t="str">
        <f>IF($P199="","",$P199&amp;" · "&amp;IFERROR(INDEX(Работы!$E$2:$E$6000,MATCH($C199,Работы!$A$2:$A$6000,0)),""))</f>
        <v/>
      </c>
    </row>
    <row r="200" spans="1:19" x14ac:dyDescent="0.3">
      <c r="A200" s="4"/>
      <c r="B200" s="4"/>
      <c r="C200" t="str">
        <f t="shared" si="18"/>
        <v/>
      </c>
      <c r="D200" s="5" t="str">
        <f>IF($C200="","",IF(AND(LEFT($F200,3)="ДОК",$H200&lt;&gt;""),IFERROR(INDEX(Документация!$G$2:$G$57,MATCH($H200,Документация!$F$2:$F$57,0)),"— вариант не найден —"),IFERROR(INDEX(Работы!$B$2:$B$6000,MATCH($C200,Работы!$A$2:$A$6000,0)),"— нет такого кода —")))</f>
        <v/>
      </c>
      <c r="E200" t="str">
        <f>IF($C200="","",IF(AND(LEFT($F200,3)="ДОК",$H200&lt;&gt;""),IFERROR(INDEX(Документация!$D$2:$D$57,MATCH($H200,Документация!$F$2:$F$57,0)),""),IFERROR(INDEX(Работы!$C$2:$C$6000,MATCH($C200,Работы!$A$2:$A$6000,0)),"")))</f>
        <v/>
      </c>
      <c r="F200" t="str">
        <f>IF($C200="","",IFERROR(INDEX(Работы!$G$2:$G$6000,MATCH($C200,Работы!$A$2:$A$6000,0))&amp;"",""))</f>
        <v/>
      </c>
      <c r="G200" s="4"/>
      <c r="H200" s="4"/>
      <c r="I200" s="5" t="str">
        <f>IF((LEFT($F200,3)="ДОК"),"",IF($H200="","",IFERROR(INDEX(Материалы!$B$2:$B$9000,MATCH($H200,Материалы!$M$2:$M$9000,0)),"")))</f>
        <v/>
      </c>
      <c r="J200" s="6">
        <f>IF(AND(LEFT($F200,3)="ДОК",$H200&lt;&gt;""),IFERROR(INDEX(Документация!$E$2:$E$57,MATCH($H200,Документация!$F$2:$F$57,0)),0),IFERROR(INDEX(Работы!$H$2:$H$6000,MATCH($C200,Работы!$A$2:$A$6000,0)),0))*(1-MEDIAN(0,N(ДисконтТендер),1))</f>
        <v>0</v>
      </c>
      <c r="K200" s="6">
        <f>IF(OR((LEFT($F200,3)="ДОК"),$H200=""),0,IFERROR(INDEX(Материалы!$H$2:$H$9000,MATCH($H200,Материалы!$M$2:$M$9000,0))*IF(INDEX(Материалы!$I$2:$I$9000,MATCH($H200,Материалы!$M$2:$M$9000,0))="USD",КурсUSD,IF(INDEX(Материалы!$I$2:$I$9000,MATCH($H200,Материалы!$M$2:$M$9000,0))="EUR",КурсEUR,1))*(1+IFERROR(INDEX(Работы!$I$2:$I$6000,MATCH($C200,Работы!$A$2:$A$6000,0))/100,0))*(1-MEDIAN(0,N(ДисконтТендер),1)),0))</f>
        <v>0</v>
      </c>
      <c r="L200" s="6">
        <f t="shared" si="19"/>
        <v>0</v>
      </c>
      <c r="M200" s="6">
        <f t="shared" si="20"/>
        <v>0</v>
      </c>
      <c r="N200" s="6">
        <f t="shared" si="21"/>
        <v>0</v>
      </c>
      <c r="O200" t="str">
        <f>IF($N200&gt;0,MAX($O$1:$O199)+1,"")</f>
        <v/>
      </c>
      <c r="P200" t="str">
        <f>IF($C200="","",IFERROR(INDEX(Работы!$D$2:$D$6000,MATCH($C200,Работы!$A$2:$A$6000,0)),""))</f>
        <v/>
      </c>
      <c r="Q200" t="str">
        <f t="shared" si="22"/>
        <v/>
      </c>
      <c r="R200" t="str">
        <f t="shared" si="23"/>
        <v/>
      </c>
      <c r="S200" t="str">
        <f>IF($P200="","",$P200&amp;" · "&amp;IFERROR(INDEX(Работы!$E$2:$E$6000,MATCH($C200,Работы!$A$2:$A$6000,0)),""))</f>
        <v/>
      </c>
    </row>
    <row r="201" spans="1:19" x14ac:dyDescent="0.3">
      <c r="A201" s="4"/>
      <c r="B201" s="4"/>
      <c r="C201" t="str">
        <f t="shared" si="18"/>
        <v/>
      </c>
      <c r="D201" s="5" t="str">
        <f>IF($C201="","",IF(AND(LEFT($F201,3)="ДОК",$H201&lt;&gt;""),IFERROR(INDEX(Документация!$G$2:$G$57,MATCH($H201,Документация!$F$2:$F$57,0)),"— вариант не найден —"),IFERROR(INDEX(Работы!$B$2:$B$6000,MATCH($C201,Работы!$A$2:$A$6000,0)),"— нет такого кода —")))</f>
        <v/>
      </c>
      <c r="E201" t="str">
        <f>IF($C201="","",IF(AND(LEFT($F201,3)="ДОК",$H201&lt;&gt;""),IFERROR(INDEX(Документация!$D$2:$D$57,MATCH($H201,Документация!$F$2:$F$57,0)),""),IFERROR(INDEX(Работы!$C$2:$C$6000,MATCH($C201,Работы!$A$2:$A$6000,0)),"")))</f>
        <v/>
      </c>
      <c r="F201" t="str">
        <f>IF($C201="","",IFERROR(INDEX(Работы!$G$2:$G$6000,MATCH($C201,Работы!$A$2:$A$6000,0))&amp;"",""))</f>
        <v/>
      </c>
      <c r="G201" s="4"/>
      <c r="H201" s="4"/>
      <c r="I201" s="5" t="str">
        <f>IF((LEFT($F201,3)="ДОК"),"",IF($H201="","",IFERROR(INDEX(Материалы!$B$2:$B$9000,MATCH($H201,Материалы!$M$2:$M$9000,0)),"")))</f>
        <v/>
      </c>
      <c r="J201" s="6">
        <f>IF(AND(LEFT($F201,3)="ДОК",$H201&lt;&gt;""),IFERROR(INDEX(Документация!$E$2:$E$57,MATCH($H201,Документация!$F$2:$F$57,0)),0),IFERROR(INDEX(Работы!$H$2:$H$6000,MATCH($C201,Работы!$A$2:$A$6000,0)),0))*(1-MEDIAN(0,N(ДисконтТендер),1))</f>
        <v>0</v>
      </c>
      <c r="K201" s="6">
        <f>IF(OR((LEFT($F201,3)="ДОК"),$H201=""),0,IFERROR(INDEX(Материалы!$H$2:$H$9000,MATCH($H201,Материалы!$M$2:$M$9000,0))*IF(INDEX(Материалы!$I$2:$I$9000,MATCH($H201,Материалы!$M$2:$M$9000,0))="USD",КурсUSD,IF(INDEX(Материалы!$I$2:$I$9000,MATCH($H201,Материалы!$M$2:$M$9000,0))="EUR",КурсEUR,1))*(1+IFERROR(INDEX(Работы!$I$2:$I$6000,MATCH($C201,Работы!$A$2:$A$6000,0))/100,0))*(1-MEDIAN(0,N(ДисконтТендер),1)),0))</f>
        <v>0</v>
      </c>
      <c r="L201" s="6">
        <f t="shared" si="19"/>
        <v>0</v>
      </c>
      <c r="M201" s="6">
        <f t="shared" si="20"/>
        <v>0</v>
      </c>
      <c r="N201" s="6">
        <f t="shared" si="21"/>
        <v>0</v>
      </c>
      <c r="O201" t="str">
        <f>IF($N201&gt;0,MAX($O$1:$O200)+1,"")</f>
        <v/>
      </c>
      <c r="P201" t="str">
        <f>IF($C201="","",IFERROR(INDEX(Работы!$D$2:$D$6000,MATCH($C201,Работы!$A$2:$A$6000,0)),""))</f>
        <v/>
      </c>
      <c r="Q201" t="str">
        <f t="shared" si="22"/>
        <v/>
      </c>
      <c r="R201" t="str">
        <f t="shared" si="23"/>
        <v/>
      </c>
      <c r="S201" t="str">
        <f>IF($P201="","",$P201&amp;" · "&amp;IFERROR(INDEX(Работы!$E$2:$E$6000,MATCH($C201,Работы!$A$2:$A$6000,0)),""))</f>
        <v/>
      </c>
    </row>
    <row r="202" spans="1:19" x14ac:dyDescent="0.3">
      <c r="A202" s="4"/>
      <c r="B202" s="4"/>
      <c r="C202" t="str">
        <f t="shared" si="18"/>
        <v/>
      </c>
      <c r="D202" s="5" t="str">
        <f>IF($C202="","",IF(AND(LEFT($F202,3)="ДОК",$H202&lt;&gt;""),IFERROR(INDEX(Документация!$G$2:$G$57,MATCH($H202,Документация!$F$2:$F$57,0)),"— вариант не найден —"),IFERROR(INDEX(Работы!$B$2:$B$6000,MATCH($C202,Работы!$A$2:$A$6000,0)),"— нет такого кода —")))</f>
        <v/>
      </c>
      <c r="E202" t="str">
        <f>IF($C202="","",IF(AND(LEFT($F202,3)="ДОК",$H202&lt;&gt;""),IFERROR(INDEX(Документация!$D$2:$D$57,MATCH($H202,Документация!$F$2:$F$57,0)),""),IFERROR(INDEX(Работы!$C$2:$C$6000,MATCH($C202,Работы!$A$2:$A$6000,0)),"")))</f>
        <v/>
      </c>
      <c r="F202" t="str">
        <f>IF($C202="","",IFERROR(INDEX(Работы!$G$2:$G$6000,MATCH($C202,Работы!$A$2:$A$6000,0))&amp;"",""))</f>
        <v/>
      </c>
      <c r="G202" s="4"/>
      <c r="H202" s="4"/>
      <c r="I202" s="5" t="str">
        <f>IF((LEFT($F202,3)="ДОК"),"",IF($H202="","",IFERROR(INDEX(Материалы!$B$2:$B$9000,MATCH($H202,Материалы!$M$2:$M$9000,0)),"")))</f>
        <v/>
      </c>
      <c r="J202" s="6">
        <f>IF(AND(LEFT($F202,3)="ДОК",$H202&lt;&gt;""),IFERROR(INDEX(Документация!$E$2:$E$57,MATCH($H202,Документация!$F$2:$F$57,0)),0),IFERROR(INDEX(Работы!$H$2:$H$6000,MATCH($C202,Работы!$A$2:$A$6000,0)),0))*(1-MEDIAN(0,N(ДисконтТендер),1))</f>
        <v>0</v>
      </c>
      <c r="K202" s="6">
        <f>IF(OR((LEFT($F202,3)="ДОК"),$H202=""),0,IFERROR(INDEX(Материалы!$H$2:$H$9000,MATCH($H202,Материалы!$M$2:$M$9000,0))*IF(INDEX(Материалы!$I$2:$I$9000,MATCH($H202,Материалы!$M$2:$M$9000,0))="USD",КурсUSD,IF(INDEX(Материалы!$I$2:$I$9000,MATCH($H202,Материалы!$M$2:$M$9000,0))="EUR",КурсEUR,1))*(1+IFERROR(INDEX(Работы!$I$2:$I$6000,MATCH($C202,Работы!$A$2:$A$6000,0))/100,0))*(1-MEDIAN(0,N(ДисконтТендер),1)),0))</f>
        <v>0</v>
      </c>
      <c r="L202" s="6">
        <f t="shared" si="19"/>
        <v>0</v>
      </c>
      <c r="M202" s="6">
        <f t="shared" si="20"/>
        <v>0</v>
      </c>
      <c r="N202" s="6">
        <f t="shared" si="21"/>
        <v>0</v>
      </c>
      <c r="O202" t="str">
        <f>IF($N202&gt;0,MAX($O$1:$O201)+1,"")</f>
        <v/>
      </c>
      <c r="P202" t="str">
        <f>IF($C202="","",IFERROR(INDEX(Работы!$D$2:$D$6000,MATCH($C202,Работы!$A$2:$A$6000,0)),""))</f>
        <v/>
      </c>
      <c r="Q202" t="str">
        <f t="shared" si="22"/>
        <v/>
      </c>
      <c r="R202" t="str">
        <f t="shared" si="23"/>
        <v/>
      </c>
      <c r="S202" t="str">
        <f>IF($P202="","",$P202&amp;" · "&amp;IFERROR(INDEX(Работы!$E$2:$E$6000,MATCH($C202,Работы!$A$2:$A$6000,0)),""))</f>
        <v/>
      </c>
    </row>
    <row r="203" spans="1:19" x14ac:dyDescent="0.3">
      <c r="A203" s="4"/>
      <c r="B203" s="4"/>
      <c r="C203" t="str">
        <f t="shared" si="18"/>
        <v/>
      </c>
      <c r="D203" s="5" t="str">
        <f>IF($C203="","",IF(AND(LEFT($F203,3)="ДОК",$H203&lt;&gt;""),IFERROR(INDEX(Документация!$G$2:$G$57,MATCH($H203,Документация!$F$2:$F$57,0)),"— вариант не найден —"),IFERROR(INDEX(Работы!$B$2:$B$6000,MATCH($C203,Работы!$A$2:$A$6000,0)),"— нет такого кода —")))</f>
        <v/>
      </c>
      <c r="E203" t="str">
        <f>IF($C203="","",IF(AND(LEFT($F203,3)="ДОК",$H203&lt;&gt;""),IFERROR(INDEX(Документация!$D$2:$D$57,MATCH($H203,Документация!$F$2:$F$57,0)),""),IFERROR(INDEX(Работы!$C$2:$C$6000,MATCH($C203,Работы!$A$2:$A$6000,0)),"")))</f>
        <v/>
      </c>
      <c r="F203" t="str">
        <f>IF($C203="","",IFERROR(INDEX(Работы!$G$2:$G$6000,MATCH($C203,Работы!$A$2:$A$6000,0))&amp;"",""))</f>
        <v/>
      </c>
      <c r="G203" s="4"/>
      <c r="H203" s="4"/>
      <c r="I203" s="5" t="str">
        <f>IF((LEFT($F203,3)="ДОК"),"",IF($H203="","",IFERROR(INDEX(Материалы!$B$2:$B$9000,MATCH($H203,Материалы!$M$2:$M$9000,0)),"")))</f>
        <v/>
      </c>
      <c r="J203" s="6">
        <f>IF(AND(LEFT($F203,3)="ДОК",$H203&lt;&gt;""),IFERROR(INDEX(Документация!$E$2:$E$57,MATCH($H203,Документация!$F$2:$F$57,0)),0),IFERROR(INDEX(Работы!$H$2:$H$6000,MATCH($C203,Работы!$A$2:$A$6000,0)),0))*(1-MEDIAN(0,N(ДисконтТендер),1))</f>
        <v>0</v>
      </c>
      <c r="K203" s="6">
        <f>IF(OR((LEFT($F203,3)="ДОК"),$H203=""),0,IFERROR(INDEX(Материалы!$H$2:$H$9000,MATCH($H203,Материалы!$M$2:$M$9000,0))*IF(INDEX(Материалы!$I$2:$I$9000,MATCH($H203,Материалы!$M$2:$M$9000,0))="USD",КурсUSD,IF(INDEX(Материалы!$I$2:$I$9000,MATCH($H203,Материалы!$M$2:$M$9000,0))="EUR",КурсEUR,1))*(1+IFERROR(INDEX(Работы!$I$2:$I$6000,MATCH($C203,Работы!$A$2:$A$6000,0))/100,0))*(1-MEDIAN(0,N(ДисконтТендер),1)),0))</f>
        <v>0</v>
      </c>
      <c r="L203" s="6">
        <f t="shared" si="19"/>
        <v>0</v>
      </c>
      <c r="M203" s="6">
        <f t="shared" si="20"/>
        <v>0</v>
      </c>
      <c r="N203" s="6">
        <f t="shared" si="21"/>
        <v>0</v>
      </c>
      <c r="O203" t="str">
        <f>IF($N203&gt;0,MAX($O$1:$O202)+1,"")</f>
        <v/>
      </c>
      <c r="P203" t="str">
        <f>IF($C203="","",IFERROR(INDEX(Работы!$D$2:$D$6000,MATCH($C203,Работы!$A$2:$A$6000,0)),""))</f>
        <v/>
      </c>
      <c r="Q203" t="str">
        <f t="shared" si="22"/>
        <v/>
      </c>
      <c r="R203" t="str">
        <f t="shared" si="23"/>
        <v/>
      </c>
      <c r="S203" t="str">
        <f>IF($P203="","",$P203&amp;" · "&amp;IFERROR(INDEX(Работы!$E$2:$E$6000,MATCH($C203,Работы!$A$2:$A$6000,0)),""))</f>
        <v/>
      </c>
    </row>
    <row r="204" spans="1:19" x14ac:dyDescent="0.3">
      <c r="A204" s="4"/>
      <c r="B204" s="4"/>
      <c r="C204" t="str">
        <f t="shared" si="18"/>
        <v/>
      </c>
      <c r="D204" s="5" t="str">
        <f>IF($C204="","",IF(AND(LEFT($F204,3)="ДОК",$H204&lt;&gt;""),IFERROR(INDEX(Документация!$G$2:$G$57,MATCH($H204,Документация!$F$2:$F$57,0)),"— вариант не найден —"),IFERROR(INDEX(Работы!$B$2:$B$6000,MATCH($C204,Работы!$A$2:$A$6000,0)),"— нет такого кода —")))</f>
        <v/>
      </c>
      <c r="E204" t="str">
        <f>IF($C204="","",IF(AND(LEFT($F204,3)="ДОК",$H204&lt;&gt;""),IFERROR(INDEX(Документация!$D$2:$D$57,MATCH($H204,Документация!$F$2:$F$57,0)),""),IFERROR(INDEX(Работы!$C$2:$C$6000,MATCH($C204,Работы!$A$2:$A$6000,0)),"")))</f>
        <v/>
      </c>
      <c r="F204" t="str">
        <f>IF($C204="","",IFERROR(INDEX(Работы!$G$2:$G$6000,MATCH($C204,Работы!$A$2:$A$6000,0))&amp;"",""))</f>
        <v/>
      </c>
      <c r="G204" s="4"/>
      <c r="H204" s="4"/>
      <c r="I204" s="5" t="str">
        <f>IF((LEFT($F204,3)="ДОК"),"",IF($H204="","",IFERROR(INDEX(Материалы!$B$2:$B$9000,MATCH($H204,Материалы!$M$2:$M$9000,0)),"")))</f>
        <v/>
      </c>
      <c r="J204" s="6">
        <f>IF(AND(LEFT($F204,3)="ДОК",$H204&lt;&gt;""),IFERROR(INDEX(Документация!$E$2:$E$57,MATCH($H204,Документация!$F$2:$F$57,0)),0),IFERROR(INDEX(Работы!$H$2:$H$6000,MATCH($C204,Работы!$A$2:$A$6000,0)),0))*(1-MEDIAN(0,N(ДисконтТендер),1))</f>
        <v>0</v>
      </c>
      <c r="K204" s="6">
        <f>IF(OR((LEFT($F204,3)="ДОК"),$H204=""),0,IFERROR(INDEX(Материалы!$H$2:$H$9000,MATCH($H204,Материалы!$M$2:$M$9000,0))*IF(INDEX(Материалы!$I$2:$I$9000,MATCH($H204,Материалы!$M$2:$M$9000,0))="USD",КурсUSD,IF(INDEX(Материалы!$I$2:$I$9000,MATCH($H204,Материалы!$M$2:$M$9000,0))="EUR",КурсEUR,1))*(1+IFERROR(INDEX(Работы!$I$2:$I$6000,MATCH($C204,Работы!$A$2:$A$6000,0))/100,0))*(1-MEDIAN(0,N(ДисконтТендер),1)),0))</f>
        <v>0</v>
      </c>
      <c r="L204" s="6">
        <f t="shared" si="19"/>
        <v>0</v>
      </c>
      <c r="M204" s="6">
        <f t="shared" si="20"/>
        <v>0</v>
      </c>
      <c r="N204" s="6">
        <f t="shared" si="21"/>
        <v>0</v>
      </c>
      <c r="O204" t="str">
        <f>IF($N204&gt;0,MAX($O$1:$O203)+1,"")</f>
        <v/>
      </c>
      <c r="P204" t="str">
        <f>IF($C204="","",IFERROR(INDEX(Работы!$D$2:$D$6000,MATCH($C204,Работы!$A$2:$A$6000,0)),""))</f>
        <v/>
      </c>
      <c r="Q204" t="str">
        <f t="shared" si="22"/>
        <v/>
      </c>
      <c r="R204" t="str">
        <f t="shared" si="23"/>
        <v/>
      </c>
      <c r="S204" t="str">
        <f>IF($P204="","",$P204&amp;" · "&amp;IFERROR(INDEX(Работы!$E$2:$E$6000,MATCH($C204,Работы!$A$2:$A$6000,0)),""))</f>
        <v/>
      </c>
    </row>
    <row r="205" spans="1:19" x14ac:dyDescent="0.3">
      <c r="A205" s="4"/>
      <c r="B205" s="4"/>
      <c r="C205" t="str">
        <f t="shared" si="18"/>
        <v/>
      </c>
      <c r="D205" s="5" t="str">
        <f>IF($C205="","",IF(AND(LEFT($F205,3)="ДОК",$H205&lt;&gt;""),IFERROR(INDEX(Документация!$G$2:$G$57,MATCH($H205,Документация!$F$2:$F$57,0)),"— вариант не найден —"),IFERROR(INDEX(Работы!$B$2:$B$6000,MATCH($C205,Работы!$A$2:$A$6000,0)),"— нет такого кода —")))</f>
        <v/>
      </c>
      <c r="E205" t="str">
        <f>IF($C205="","",IF(AND(LEFT($F205,3)="ДОК",$H205&lt;&gt;""),IFERROR(INDEX(Документация!$D$2:$D$57,MATCH($H205,Документация!$F$2:$F$57,0)),""),IFERROR(INDEX(Работы!$C$2:$C$6000,MATCH($C205,Работы!$A$2:$A$6000,0)),"")))</f>
        <v/>
      </c>
      <c r="F205" t="str">
        <f>IF($C205="","",IFERROR(INDEX(Работы!$G$2:$G$6000,MATCH($C205,Работы!$A$2:$A$6000,0))&amp;"",""))</f>
        <v/>
      </c>
      <c r="G205" s="4"/>
      <c r="H205" s="4"/>
      <c r="I205" s="5" t="str">
        <f>IF((LEFT($F205,3)="ДОК"),"",IF($H205="","",IFERROR(INDEX(Материалы!$B$2:$B$9000,MATCH($H205,Материалы!$M$2:$M$9000,0)),"")))</f>
        <v/>
      </c>
      <c r="J205" s="6">
        <f>IF(AND(LEFT($F205,3)="ДОК",$H205&lt;&gt;""),IFERROR(INDEX(Документация!$E$2:$E$57,MATCH($H205,Документация!$F$2:$F$57,0)),0),IFERROR(INDEX(Работы!$H$2:$H$6000,MATCH($C205,Работы!$A$2:$A$6000,0)),0))*(1-MEDIAN(0,N(ДисконтТендер),1))</f>
        <v>0</v>
      </c>
      <c r="K205" s="6">
        <f>IF(OR((LEFT($F205,3)="ДОК"),$H205=""),0,IFERROR(INDEX(Материалы!$H$2:$H$9000,MATCH($H205,Материалы!$M$2:$M$9000,0))*IF(INDEX(Материалы!$I$2:$I$9000,MATCH($H205,Материалы!$M$2:$M$9000,0))="USD",КурсUSD,IF(INDEX(Материалы!$I$2:$I$9000,MATCH($H205,Материалы!$M$2:$M$9000,0))="EUR",КурсEUR,1))*(1+IFERROR(INDEX(Работы!$I$2:$I$6000,MATCH($C205,Работы!$A$2:$A$6000,0))/100,0))*(1-MEDIAN(0,N(ДисконтТендер),1)),0))</f>
        <v>0</v>
      </c>
      <c r="L205" s="6">
        <f t="shared" si="19"/>
        <v>0</v>
      </c>
      <c r="M205" s="6">
        <f t="shared" si="20"/>
        <v>0</v>
      </c>
      <c r="N205" s="6">
        <f t="shared" si="21"/>
        <v>0</v>
      </c>
      <c r="O205" t="str">
        <f>IF($N205&gt;0,MAX($O$1:$O204)+1,"")</f>
        <v/>
      </c>
      <c r="P205" t="str">
        <f>IF($C205="","",IFERROR(INDEX(Работы!$D$2:$D$6000,MATCH($C205,Работы!$A$2:$A$6000,0)),""))</f>
        <v/>
      </c>
      <c r="Q205" t="str">
        <f t="shared" si="22"/>
        <v/>
      </c>
      <c r="R205" t="str">
        <f t="shared" si="23"/>
        <v/>
      </c>
      <c r="S205" t="str">
        <f>IF($P205="","",$P205&amp;" · "&amp;IFERROR(INDEX(Работы!$E$2:$E$6000,MATCH($C205,Работы!$A$2:$A$6000,0)),""))</f>
        <v/>
      </c>
    </row>
    <row r="206" spans="1:19" x14ac:dyDescent="0.3">
      <c r="A206" s="4"/>
      <c r="B206" s="4"/>
      <c r="C206" t="str">
        <f t="shared" si="18"/>
        <v/>
      </c>
      <c r="D206" s="5" t="str">
        <f>IF($C206="","",IF(AND(LEFT($F206,3)="ДОК",$H206&lt;&gt;""),IFERROR(INDEX(Документация!$G$2:$G$57,MATCH($H206,Документация!$F$2:$F$57,0)),"— вариант не найден —"),IFERROR(INDEX(Работы!$B$2:$B$6000,MATCH($C206,Работы!$A$2:$A$6000,0)),"— нет такого кода —")))</f>
        <v/>
      </c>
      <c r="E206" t="str">
        <f>IF($C206="","",IF(AND(LEFT($F206,3)="ДОК",$H206&lt;&gt;""),IFERROR(INDEX(Документация!$D$2:$D$57,MATCH($H206,Документация!$F$2:$F$57,0)),""),IFERROR(INDEX(Работы!$C$2:$C$6000,MATCH($C206,Работы!$A$2:$A$6000,0)),"")))</f>
        <v/>
      </c>
      <c r="F206" t="str">
        <f>IF($C206="","",IFERROR(INDEX(Работы!$G$2:$G$6000,MATCH($C206,Работы!$A$2:$A$6000,0))&amp;"",""))</f>
        <v/>
      </c>
      <c r="G206" s="4"/>
      <c r="H206" s="4"/>
      <c r="I206" s="5" t="str">
        <f>IF((LEFT($F206,3)="ДОК"),"",IF($H206="","",IFERROR(INDEX(Материалы!$B$2:$B$9000,MATCH($H206,Материалы!$M$2:$M$9000,0)),"")))</f>
        <v/>
      </c>
      <c r="J206" s="6">
        <f>IF(AND(LEFT($F206,3)="ДОК",$H206&lt;&gt;""),IFERROR(INDEX(Документация!$E$2:$E$57,MATCH($H206,Документация!$F$2:$F$57,0)),0),IFERROR(INDEX(Работы!$H$2:$H$6000,MATCH($C206,Работы!$A$2:$A$6000,0)),0))*(1-MEDIAN(0,N(ДисконтТендер),1))</f>
        <v>0</v>
      </c>
      <c r="K206" s="6">
        <f>IF(OR((LEFT($F206,3)="ДОК"),$H206=""),0,IFERROR(INDEX(Материалы!$H$2:$H$9000,MATCH($H206,Материалы!$M$2:$M$9000,0))*IF(INDEX(Материалы!$I$2:$I$9000,MATCH($H206,Материалы!$M$2:$M$9000,0))="USD",КурсUSD,IF(INDEX(Материалы!$I$2:$I$9000,MATCH($H206,Материалы!$M$2:$M$9000,0))="EUR",КурсEUR,1))*(1+IFERROR(INDEX(Работы!$I$2:$I$6000,MATCH($C206,Работы!$A$2:$A$6000,0))/100,0))*(1-MEDIAN(0,N(ДисконтТендер),1)),0))</f>
        <v>0</v>
      </c>
      <c r="L206" s="6">
        <f t="shared" si="19"/>
        <v>0</v>
      </c>
      <c r="M206" s="6">
        <f t="shared" si="20"/>
        <v>0</v>
      </c>
      <c r="N206" s="6">
        <f t="shared" si="21"/>
        <v>0</v>
      </c>
      <c r="O206" t="str">
        <f>IF($N206&gt;0,MAX($O$1:$O205)+1,"")</f>
        <v/>
      </c>
      <c r="P206" t="str">
        <f>IF($C206="","",IFERROR(INDEX(Работы!$D$2:$D$6000,MATCH($C206,Работы!$A$2:$A$6000,0)),""))</f>
        <v/>
      </c>
      <c r="Q206" t="str">
        <f t="shared" si="22"/>
        <v/>
      </c>
      <c r="R206" t="str">
        <f t="shared" si="23"/>
        <v/>
      </c>
      <c r="S206" t="str">
        <f>IF($P206="","",$P206&amp;" · "&amp;IFERROR(INDEX(Работы!$E$2:$E$6000,MATCH($C206,Работы!$A$2:$A$6000,0)),""))</f>
        <v/>
      </c>
    </row>
    <row r="207" spans="1:19" x14ac:dyDescent="0.3">
      <c r="A207" s="4"/>
      <c r="B207" s="4"/>
      <c r="C207" t="str">
        <f t="shared" si="18"/>
        <v/>
      </c>
      <c r="D207" s="5" t="str">
        <f>IF($C207="","",IF(AND(LEFT($F207,3)="ДОК",$H207&lt;&gt;""),IFERROR(INDEX(Документация!$G$2:$G$57,MATCH($H207,Документация!$F$2:$F$57,0)),"— вариант не найден —"),IFERROR(INDEX(Работы!$B$2:$B$6000,MATCH($C207,Работы!$A$2:$A$6000,0)),"— нет такого кода —")))</f>
        <v/>
      </c>
      <c r="E207" t="str">
        <f>IF($C207="","",IF(AND(LEFT($F207,3)="ДОК",$H207&lt;&gt;""),IFERROR(INDEX(Документация!$D$2:$D$57,MATCH($H207,Документация!$F$2:$F$57,0)),""),IFERROR(INDEX(Работы!$C$2:$C$6000,MATCH($C207,Работы!$A$2:$A$6000,0)),"")))</f>
        <v/>
      </c>
      <c r="F207" t="str">
        <f>IF($C207="","",IFERROR(INDEX(Работы!$G$2:$G$6000,MATCH($C207,Работы!$A$2:$A$6000,0))&amp;"",""))</f>
        <v/>
      </c>
      <c r="G207" s="4"/>
      <c r="H207" s="4"/>
      <c r="I207" s="5" t="str">
        <f>IF((LEFT($F207,3)="ДОК"),"",IF($H207="","",IFERROR(INDEX(Материалы!$B$2:$B$9000,MATCH($H207,Материалы!$M$2:$M$9000,0)),"")))</f>
        <v/>
      </c>
      <c r="J207" s="6">
        <f>IF(AND(LEFT($F207,3)="ДОК",$H207&lt;&gt;""),IFERROR(INDEX(Документация!$E$2:$E$57,MATCH($H207,Документация!$F$2:$F$57,0)),0),IFERROR(INDEX(Работы!$H$2:$H$6000,MATCH($C207,Работы!$A$2:$A$6000,0)),0))*(1-MEDIAN(0,N(ДисконтТендер),1))</f>
        <v>0</v>
      </c>
      <c r="K207" s="6">
        <f>IF(OR((LEFT($F207,3)="ДОК"),$H207=""),0,IFERROR(INDEX(Материалы!$H$2:$H$9000,MATCH($H207,Материалы!$M$2:$M$9000,0))*IF(INDEX(Материалы!$I$2:$I$9000,MATCH($H207,Материалы!$M$2:$M$9000,0))="USD",КурсUSD,IF(INDEX(Материалы!$I$2:$I$9000,MATCH($H207,Материалы!$M$2:$M$9000,0))="EUR",КурсEUR,1))*(1+IFERROR(INDEX(Работы!$I$2:$I$6000,MATCH($C207,Работы!$A$2:$A$6000,0))/100,0))*(1-MEDIAN(0,N(ДисконтТендер),1)),0))</f>
        <v>0</v>
      </c>
      <c r="L207" s="6">
        <f t="shared" si="19"/>
        <v>0</v>
      </c>
      <c r="M207" s="6">
        <f t="shared" si="20"/>
        <v>0</v>
      </c>
      <c r="N207" s="6">
        <f t="shared" si="21"/>
        <v>0</v>
      </c>
      <c r="O207" t="str">
        <f>IF($N207&gt;0,MAX($O$1:$O206)+1,"")</f>
        <v/>
      </c>
      <c r="P207" t="str">
        <f>IF($C207="","",IFERROR(INDEX(Работы!$D$2:$D$6000,MATCH($C207,Работы!$A$2:$A$6000,0)),""))</f>
        <v/>
      </c>
      <c r="Q207" t="str">
        <f t="shared" si="22"/>
        <v/>
      </c>
      <c r="R207" t="str">
        <f t="shared" si="23"/>
        <v/>
      </c>
      <c r="S207" t="str">
        <f>IF($P207="","",$P207&amp;" · "&amp;IFERROR(INDEX(Работы!$E$2:$E$6000,MATCH($C207,Работы!$A$2:$A$6000,0)),""))</f>
        <v/>
      </c>
    </row>
    <row r="208" spans="1:19" x14ac:dyDescent="0.3">
      <c r="A208" s="4"/>
      <c r="B208" s="4"/>
      <c r="C208" t="str">
        <f t="shared" si="18"/>
        <v/>
      </c>
      <c r="D208" s="5" t="str">
        <f>IF($C208="","",IF(AND(LEFT($F208,3)="ДОК",$H208&lt;&gt;""),IFERROR(INDEX(Документация!$G$2:$G$57,MATCH($H208,Документация!$F$2:$F$57,0)),"— вариант не найден —"),IFERROR(INDEX(Работы!$B$2:$B$6000,MATCH($C208,Работы!$A$2:$A$6000,0)),"— нет такого кода —")))</f>
        <v/>
      </c>
      <c r="E208" t="str">
        <f>IF($C208="","",IF(AND(LEFT($F208,3)="ДОК",$H208&lt;&gt;""),IFERROR(INDEX(Документация!$D$2:$D$57,MATCH($H208,Документация!$F$2:$F$57,0)),""),IFERROR(INDEX(Работы!$C$2:$C$6000,MATCH($C208,Работы!$A$2:$A$6000,0)),"")))</f>
        <v/>
      </c>
      <c r="F208" t="str">
        <f>IF($C208="","",IFERROR(INDEX(Работы!$G$2:$G$6000,MATCH($C208,Работы!$A$2:$A$6000,0))&amp;"",""))</f>
        <v/>
      </c>
      <c r="G208" s="4"/>
      <c r="H208" s="4"/>
      <c r="I208" s="5" t="str">
        <f>IF((LEFT($F208,3)="ДОК"),"",IF($H208="","",IFERROR(INDEX(Материалы!$B$2:$B$9000,MATCH($H208,Материалы!$M$2:$M$9000,0)),"")))</f>
        <v/>
      </c>
      <c r="J208" s="6">
        <f>IF(AND(LEFT($F208,3)="ДОК",$H208&lt;&gt;""),IFERROR(INDEX(Документация!$E$2:$E$57,MATCH($H208,Документация!$F$2:$F$57,0)),0),IFERROR(INDEX(Работы!$H$2:$H$6000,MATCH($C208,Работы!$A$2:$A$6000,0)),0))*(1-MEDIAN(0,N(ДисконтТендер),1))</f>
        <v>0</v>
      </c>
      <c r="K208" s="6">
        <f>IF(OR((LEFT($F208,3)="ДОК"),$H208=""),0,IFERROR(INDEX(Материалы!$H$2:$H$9000,MATCH($H208,Материалы!$M$2:$M$9000,0))*IF(INDEX(Материалы!$I$2:$I$9000,MATCH($H208,Материалы!$M$2:$M$9000,0))="USD",КурсUSD,IF(INDEX(Материалы!$I$2:$I$9000,MATCH($H208,Материалы!$M$2:$M$9000,0))="EUR",КурсEUR,1))*(1+IFERROR(INDEX(Работы!$I$2:$I$6000,MATCH($C208,Работы!$A$2:$A$6000,0))/100,0))*(1-MEDIAN(0,N(ДисконтТендер),1)),0))</f>
        <v>0</v>
      </c>
      <c r="L208" s="6">
        <f t="shared" si="19"/>
        <v>0</v>
      </c>
      <c r="M208" s="6">
        <f t="shared" si="20"/>
        <v>0</v>
      </c>
      <c r="N208" s="6">
        <f t="shared" si="21"/>
        <v>0</v>
      </c>
      <c r="O208" t="str">
        <f>IF($N208&gt;0,MAX($O$1:$O207)+1,"")</f>
        <v/>
      </c>
      <c r="P208" t="str">
        <f>IF($C208="","",IFERROR(INDEX(Работы!$D$2:$D$6000,MATCH($C208,Работы!$A$2:$A$6000,0)),""))</f>
        <v/>
      </c>
      <c r="Q208" t="str">
        <f t="shared" si="22"/>
        <v/>
      </c>
      <c r="R208" t="str">
        <f t="shared" si="23"/>
        <v/>
      </c>
      <c r="S208" t="str">
        <f>IF($P208="","",$P208&amp;" · "&amp;IFERROR(INDEX(Работы!$E$2:$E$6000,MATCH($C208,Работы!$A$2:$A$6000,0)),""))</f>
        <v/>
      </c>
    </row>
    <row r="209" spans="1:19" x14ac:dyDescent="0.3">
      <c r="A209" s="4"/>
      <c r="B209" s="4"/>
      <c r="C209" t="str">
        <f t="shared" si="18"/>
        <v/>
      </c>
      <c r="D209" s="5" t="str">
        <f>IF($C209="","",IF(AND(LEFT($F209,3)="ДОК",$H209&lt;&gt;""),IFERROR(INDEX(Документация!$G$2:$G$57,MATCH($H209,Документация!$F$2:$F$57,0)),"— вариант не найден —"),IFERROR(INDEX(Работы!$B$2:$B$6000,MATCH($C209,Работы!$A$2:$A$6000,0)),"— нет такого кода —")))</f>
        <v/>
      </c>
      <c r="E209" t="str">
        <f>IF($C209="","",IF(AND(LEFT($F209,3)="ДОК",$H209&lt;&gt;""),IFERROR(INDEX(Документация!$D$2:$D$57,MATCH($H209,Документация!$F$2:$F$57,0)),""),IFERROR(INDEX(Работы!$C$2:$C$6000,MATCH($C209,Работы!$A$2:$A$6000,0)),"")))</f>
        <v/>
      </c>
      <c r="F209" t="str">
        <f>IF($C209="","",IFERROR(INDEX(Работы!$G$2:$G$6000,MATCH($C209,Работы!$A$2:$A$6000,0))&amp;"",""))</f>
        <v/>
      </c>
      <c r="G209" s="4"/>
      <c r="H209" s="4"/>
      <c r="I209" s="5" t="str">
        <f>IF((LEFT($F209,3)="ДОК"),"",IF($H209="","",IFERROR(INDEX(Материалы!$B$2:$B$9000,MATCH($H209,Материалы!$M$2:$M$9000,0)),"")))</f>
        <v/>
      </c>
      <c r="J209" s="6">
        <f>IF(AND(LEFT($F209,3)="ДОК",$H209&lt;&gt;""),IFERROR(INDEX(Документация!$E$2:$E$57,MATCH($H209,Документация!$F$2:$F$57,0)),0),IFERROR(INDEX(Работы!$H$2:$H$6000,MATCH($C209,Работы!$A$2:$A$6000,0)),0))*(1-MEDIAN(0,N(ДисконтТендер),1))</f>
        <v>0</v>
      </c>
      <c r="K209" s="6">
        <f>IF(OR((LEFT($F209,3)="ДОК"),$H209=""),0,IFERROR(INDEX(Материалы!$H$2:$H$9000,MATCH($H209,Материалы!$M$2:$M$9000,0))*IF(INDEX(Материалы!$I$2:$I$9000,MATCH($H209,Материалы!$M$2:$M$9000,0))="USD",КурсUSD,IF(INDEX(Материалы!$I$2:$I$9000,MATCH($H209,Материалы!$M$2:$M$9000,0))="EUR",КурсEUR,1))*(1+IFERROR(INDEX(Работы!$I$2:$I$6000,MATCH($C209,Работы!$A$2:$A$6000,0))/100,0))*(1-MEDIAN(0,N(ДисконтТендер),1)),0))</f>
        <v>0</v>
      </c>
      <c r="L209" s="6">
        <f t="shared" si="19"/>
        <v>0</v>
      </c>
      <c r="M209" s="6">
        <f t="shared" si="20"/>
        <v>0</v>
      </c>
      <c r="N209" s="6">
        <f t="shared" si="21"/>
        <v>0</v>
      </c>
      <c r="O209" t="str">
        <f>IF($N209&gt;0,MAX($O$1:$O208)+1,"")</f>
        <v/>
      </c>
      <c r="P209" t="str">
        <f>IF($C209="","",IFERROR(INDEX(Работы!$D$2:$D$6000,MATCH($C209,Работы!$A$2:$A$6000,0)),""))</f>
        <v/>
      </c>
      <c r="Q209" t="str">
        <f t="shared" si="22"/>
        <v/>
      </c>
      <c r="R209" t="str">
        <f t="shared" si="23"/>
        <v/>
      </c>
      <c r="S209" t="str">
        <f>IF($P209="","",$P209&amp;" · "&amp;IFERROR(INDEX(Работы!$E$2:$E$6000,MATCH($C209,Работы!$A$2:$A$6000,0)),""))</f>
        <v/>
      </c>
    </row>
    <row r="210" spans="1:19" x14ac:dyDescent="0.3">
      <c r="A210" s="4"/>
      <c r="B210" s="4"/>
      <c r="C210" t="str">
        <f t="shared" si="18"/>
        <v/>
      </c>
      <c r="D210" s="5" t="str">
        <f>IF($C210="","",IF(AND(LEFT($F210,3)="ДОК",$H210&lt;&gt;""),IFERROR(INDEX(Документация!$G$2:$G$57,MATCH($H210,Документация!$F$2:$F$57,0)),"— вариант не найден —"),IFERROR(INDEX(Работы!$B$2:$B$6000,MATCH($C210,Работы!$A$2:$A$6000,0)),"— нет такого кода —")))</f>
        <v/>
      </c>
      <c r="E210" t="str">
        <f>IF($C210="","",IF(AND(LEFT($F210,3)="ДОК",$H210&lt;&gt;""),IFERROR(INDEX(Документация!$D$2:$D$57,MATCH($H210,Документация!$F$2:$F$57,0)),""),IFERROR(INDEX(Работы!$C$2:$C$6000,MATCH($C210,Работы!$A$2:$A$6000,0)),"")))</f>
        <v/>
      </c>
      <c r="F210" t="str">
        <f>IF($C210="","",IFERROR(INDEX(Работы!$G$2:$G$6000,MATCH($C210,Работы!$A$2:$A$6000,0))&amp;"",""))</f>
        <v/>
      </c>
      <c r="G210" s="4"/>
      <c r="H210" s="4"/>
      <c r="I210" s="5" t="str">
        <f>IF((LEFT($F210,3)="ДОК"),"",IF($H210="","",IFERROR(INDEX(Материалы!$B$2:$B$9000,MATCH($H210,Материалы!$M$2:$M$9000,0)),"")))</f>
        <v/>
      </c>
      <c r="J210" s="6">
        <f>IF(AND(LEFT($F210,3)="ДОК",$H210&lt;&gt;""),IFERROR(INDEX(Документация!$E$2:$E$57,MATCH($H210,Документация!$F$2:$F$57,0)),0),IFERROR(INDEX(Работы!$H$2:$H$6000,MATCH($C210,Работы!$A$2:$A$6000,0)),0))*(1-MEDIAN(0,N(ДисконтТендер),1))</f>
        <v>0</v>
      </c>
      <c r="K210" s="6">
        <f>IF(OR((LEFT($F210,3)="ДОК"),$H210=""),0,IFERROR(INDEX(Материалы!$H$2:$H$9000,MATCH($H210,Материалы!$M$2:$M$9000,0))*IF(INDEX(Материалы!$I$2:$I$9000,MATCH($H210,Материалы!$M$2:$M$9000,0))="USD",КурсUSD,IF(INDEX(Материалы!$I$2:$I$9000,MATCH($H210,Материалы!$M$2:$M$9000,0))="EUR",КурсEUR,1))*(1+IFERROR(INDEX(Работы!$I$2:$I$6000,MATCH($C210,Работы!$A$2:$A$6000,0))/100,0))*(1-MEDIAN(0,N(ДисконтТендер),1)),0))</f>
        <v>0</v>
      </c>
      <c r="L210" s="6">
        <f t="shared" si="19"/>
        <v>0</v>
      </c>
      <c r="M210" s="6">
        <f t="shared" si="20"/>
        <v>0</v>
      </c>
      <c r="N210" s="6">
        <f t="shared" si="21"/>
        <v>0</v>
      </c>
      <c r="O210" t="str">
        <f>IF($N210&gt;0,MAX($O$1:$O209)+1,"")</f>
        <v/>
      </c>
      <c r="P210" t="str">
        <f>IF($C210="","",IFERROR(INDEX(Работы!$D$2:$D$6000,MATCH($C210,Работы!$A$2:$A$6000,0)),""))</f>
        <v/>
      </c>
      <c r="Q210" t="str">
        <f t="shared" si="22"/>
        <v/>
      </c>
      <c r="R210" t="str">
        <f t="shared" si="23"/>
        <v/>
      </c>
      <c r="S210" t="str">
        <f>IF($P210="","",$P210&amp;" · "&amp;IFERROR(INDEX(Работы!$E$2:$E$6000,MATCH($C210,Работы!$A$2:$A$6000,0)),""))</f>
        <v/>
      </c>
    </row>
    <row r="211" spans="1:19" x14ac:dyDescent="0.3">
      <c r="A211" s="4"/>
      <c r="B211" s="4"/>
      <c r="C211" t="str">
        <f t="shared" si="18"/>
        <v/>
      </c>
      <c r="D211" s="5" t="str">
        <f>IF($C211="","",IF(AND(LEFT($F211,3)="ДОК",$H211&lt;&gt;""),IFERROR(INDEX(Документация!$G$2:$G$57,MATCH($H211,Документация!$F$2:$F$57,0)),"— вариант не найден —"),IFERROR(INDEX(Работы!$B$2:$B$6000,MATCH($C211,Работы!$A$2:$A$6000,0)),"— нет такого кода —")))</f>
        <v/>
      </c>
      <c r="E211" t="str">
        <f>IF($C211="","",IF(AND(LEFT($F211,3)="ДОК",$H211&lt;&gt;""),IFERROR(INDEX(Документация!$D$2:$D$57,MATCH($H211,Документация!$F$2:$F$57,0)),""),IFERROR(INDEX(Работы!$C$2:$C$6000,MATCH($C211,Работы!$A$2:$A$6000,0)),"")))</f>
        <v/>
      </c>
      <c r="F211" t="str">
        <f>IF($C211="","",IFERROR(INDEX(Работы!$G$2:$G$6000,MATCH($C211,Работы!$A$2:$A$6000,0))&amp;"",""))</f>
        <v/>
      </c>
      <c r="G211" s="4"/>
      <c r="H211" s="4"/>
      <c r="I211" s="5" t="str">
        <f>IF((LEFT($F211,3)="ДОК"),"",IF($H211="","",IFERROR(INDEX(Материалы!$B$2:$B$9000,MATCH($H211,Материалы!$M$2:$M$9000,0)),"")))</f>
        <v/>
      </c>
      <c r="J211" s="6">
        <f>IF(AND(LEFT($F211,3)="ДОК",$H211&lt;&gt;""),IFERROR(INDEX(Документация!$E$2:$E$57,MATCH($H211,Документация!$F$2:$F$57,0)),0),IFERROR(INDEX(Работы!$H$2:$H$6000,MATCH($C211,Работы!$A$2:$A$6000,0)),0))*(1-MEDIAN(0,N(ДисконтТендер),1))</f>
        <v>0</v>
      </c>
      <c r="K211" s="6">
        <f>IF(OR((LEFT($F211,3)="ДОК"),$H211=""),0,IFERROR(INDEX(Материалы!$H$2:$H$9000,MATCH($H211,Материалы!$M$2:$M$9000,0))*IF(INDEX(Материалы!$I$2:$I$9000,MATCH($H211,Материалы!$M$2:$M$9000,0))="USD",КурсUSD,IF(INDEX(Материалы!$I$2:$I$9000,MATCH($H211,Материалы!$M$2:$M$9000,0))="EUR",КурсEUR,1))*(1+IFERROR(INDEX(Работы!$I$2:$I$6000,MATCH($C211,Работы!$A$2:$A$6000,0))/100,0))*(1-MEDIAN(0,N(ДисконтТендер),1)),0))</f>
        <v>0</v>
      </c>
      <c r="L211" s="6">
        <f t="shared" si="19"/>
        <v>0</v>
      </c>
      <c r="M211" s="6">
        <f t="shared" si="20"/>
        <v>0</v>
      </c>
      <c r="N211" s="6">
        <f t="shared" si="21"/>
        <v>0</v>
      </c>
      <c r="O211" t="str">
        <f>IF($N211&gt;0,MAX($O$1:$O210)+1,"")</f>
        <v/>
      </c>
      <c r="P211" t="str">
        <f>IF($C211="","",IFERROR(INDEX(Работы!$D$2:$D$6000,MATCH($C211,Работы!$A$2:$A$6000,0)),""))</f>
        <v/>
      </c>
      <c r="Q211" t="str">
        <f t="shared" si="22"/>
        <v/>
      </c>
      <c r="R211" t="str">
        <f t="shared" si="23"/>
        <v/>
      </c>
      <c r="S211" t="str">
        <f>IF($P211="","",$P211&amp;" · "&amp;IFERROR(INDEX(Работы!$E$2:$E$6000,MATCH($C211,Работы!$A$2:$A$6000,0)),""))</f>
        <v/>
      </c>
    </row>
    <row r="212" spans="1:19" x14ac:dyDescent="0.3">
      <c r="A212" s="4"/>
      <c r="B212" s="4"/>
      <c r="C212" t="str">
        <f t="shared" si="18"/>
        <v/>
      </c>
      <c r="D212" s="5" t="str">
        <f>IF($C212="","",IF(AND(LEFT($F212,3)="ДОК",$H212&lt;&gt;""),IFERROR(INDEX(Документация!$G$2:$G$57,MATCH($H212,Документация!$F$2:$F$57,0)),"— вариант не найден —"),IFERROR(INDEX(Работы!$B$2:$B$6000,MATCH($C212,Работы!$A$2:$A$6000,0)),"— нет такого кода —")))</f>
        <v/>
      </c>
      <c r="E212" t="str">
        <f>IF($C212="","",IF(AND(LEFT($F212,3)="ДОК",$H212&lt;&gt;""),IFERROR(INDEX(Документация!$D$2:$D$57,MATCH($H212,Документация!$F$2:$F$57,0)),""),IFERROR(INDEX(Работы!$C$2:$C$6000,MATCH($C212,Работы!$A$2:$A$6000,0)),"")))</f>
        <v/>
      </c>
      <c r="F212" t="str">
        <f>IF($C212="","",IFERROR(INDEX(Работы!$G$2:$G$6000,MATCH($C212,Работы!$A$2:$A$6000,0))&amp;"",""))</f>
        <v/>
      </c>
      <c r="G212" s="4"/>
      <c r="H212" s="4"/>
      <c r="I212" s="5" t="str">
        <f>IF((LEFT($F212,3)="ДОК"),"",IF($H212="","",IFERROR(INDEX(Материалы!$B$2:$B$9000,MATCH($H212,Материалы!$M$2:$M$9000,0)),"")))</f>
        <v/>
      </c>
      <c r="J212" s="6">
        <f>IF(AND(LEFT($F212,3)="ДОК",$H212&lt;&gt;""),IFERROR(INDEX(Документация!$E$2:$E$57,MATCH($H212,Документация!$F$2:$F$57,0)),0),IFERROR(INDEX(Работы!$H$2:$H$6000,MATCH($C212,Работы!$A$2:$A$6000,0)),0))*(1-MEDIAN(0,N(ДисконтТендер),1))</f>
        <v>0</v>
      </c>
      <c r="K212" s="6">
        <f>IF(OR((LEFT($F212,3)="ДОК"),$H212=""),0,IFERROR(INDEX(Материалы!$H$2:$H$9000,MATCH($H212,Материалы!$M$2:$M$9000,0))*IF(INDEX(Материалы!$I$2:$I$9000,MATCH($H212,Материалы!$M$2:$M$9000,0))="USD",КурсUSD,IF(INDEX(Материалы!$I$2:$I$9000,MATCH($H212,Материалы!$M$2:$M$9000,0))="EUR",КурсEUR,1))*(1+IFERROR(INDEX(Работы!$I$2:$I$6000,MATCH($C212,Работы!$A$2:$A$6000,0))/100,0))*(1-MEDIAN(0,N(ДисконтТендер),1)),0))</f>
        <v>0</v>
      </c>
      <c r="L212" s="6">
        <f t="shared" si="19"/>
        <v>0</v>
      </c>
      <c r="M212" s="6">
        <f t="shared" si="20"/>
        <v>0</v>
      </c>
      <c r="N212" s="6">
        <f t="shared" si="21"/>
        <v>0</v>
      </c>
      <c r="O212" t="str">
        <f>IF($N212&gt;0,MAX($O$1:$O211)+1,"")</f>
        <v/>
      </c>
      <c r="P212" t="str">
        <f>IF($C212="","",IFERROR(INDEX(Работы!$D$2:$D$6000,MATCH($C212,Работы!$A$2:$A$6000,0)),""))</f>
        <v/>
      </c>
      <c r="Q212" t="str">
        <f t="shared" si="22"/>
        <v/>
      </c>
      <c r="R212" t="str">
        <f t="shared" si="23"/>
        <v/>
      </c>
      <c r="S212" t="str">
        <f>IF($P212="","",$P212&amp;" · "&amp;IFERROR(INDEX(Работы!$E$2:$E$6000,MATCH($C212,Работы!$A$2:$A$6000,0)),""))</f>
        <v/>
      </c>
    </row>
    <row r="213" spans="1:19" x14ac:dyDescent="0.3">
      <c r="A213" s="4"/>
      <c r="B213" s="4"/>
      <c r="C213" t="str">
        <f t="shared" si="18"/>
        <v/>
      </c>
      <c r="D213" s="5" t="str">
        <f>IF($C213="","",IF(AND(LEFT($F213,3)="ДОК",$H213&lt;&gt;""),IFERROR(INDEX(Документация!$G$2:$G$57,MATCH($H213,Документация!$F$2:$F$57,0)),"— вариант не найден —"),IFERROR(INDEX(Работы!$B$2:$B$6000,MATCH($C213,Работы!$A$2:$A$6000,0)),"— нет такого кода —")))</f>
        <v/>
      </c>
      <c r="E213" t="str">
        <f>IF($C213="","",IF(AND(LEFT($F213,3)="ДОК",$H213&lt;&gt;""),IFERROR(INDEX(Документация!$D$2:$D$57,MATCH($H213,Документация!$F$2:$F$57,0)),""),IFERROR(INDEX(Работы!$C$2:$C$6000,MATCH($C213,Работы!$A$2:$A$6000,0)),"")))</f>
        <v/>
      </c>
      <c r="F213" t="str">
        <f>IF($C213="","",IFERROR(INDEX(Работы!$G$2:$G$6000,MATCH($C213,Работы!$A$2:$A$6000,0))&amp;"",""))</f>
        <v/>
      </c>
      <c r="G213" s="4"/>
      <c r="H213" s="4"/>
      <c r="I213" s="5" t="str">
        <f>IF((LEFT($F213,3)="ДОК"),"",IF($H213="","",IFERROR(INDEX(Материалы!$B$2:$B$9000,MATCH($H213,Материалы!$M$2:$M$9000,0)),"")))</f>
        <v/>
      </c>
      <c r="J213" s="6">
        <f>IF(AND(LEFT($F213,3)="ДОК",$H213&lt;&gt;""),IFERROR(INDEX(Документация!$E$2:$E$57,MATCH($H213,Документация!$F$2:$F$57,0)),0),IFERROR(INDEX(Работы!$H$2:$H$6000,MATCH($C213,Работы!$A$2:$A$6000,0)),0))*(1-MEDIAN(0,N(ДисконтТендер),1))</f>
        <v>0</v>
      </c>
      <c r="K213" s="6">
        <f>IF(OR((LEFT($F213,3)="ДОК"),$H213=""),0,IFERROR(INDEX(Материалы!$H$2:$H$9000,MATCH($H213,Материалы!$M$2:$M$9000,0))*IF(INDEX(Материалы!$I$2:$I$9000,MATCH($H213,Материалы!$M$2:$M$9000,0))="USD",КурсUSD,IF(INDEX(Материалы!$I$2:$I$9000,MATCH($H213,Материалы!$M$2:$M$9000,0))="EUR",КурсEUR,1))*(1+IFERROR(INDEX(Работы!$I$2:$I$6000,MATCH($C213,Работы!$A$2:$A$6000,0))/100,0))*(1-MEDIAN(0,N(ДисконтТендер),1)),0))</f>
        <v>0</v>
      </c>
      <c r="L213" s="6">
        <f t="shared" si="19"/>
        <v>0</v>
      </c>
      <c r="M213" s="6">
        <f t="shared" si="20"/>
        <v>0</v>
      </c>
      <c r="N213" s="6">
        <f t="shared" si="21"/>
        <v>0</v>
      </c>
      <c r="O213" t="str">
        <f>IF($N213&gt;0,MAX($O$1:$O212)+1,"")</f>
        <v/>
      </c>
      <c r="P213" t="str">
        <f>IF($C213="","",IFERROR(INDEX(Работы!$D$2:$D$6000,MATCH($C213,Работы!$A$2:$A$6000,0)),""))</f>
        <v/>
      </c>
      <c r="Q213" t="str">
        <f t="shared" si="22"/>
        <v/>
      </c>
      <c r="R213" t="str">
        <f t="shared" si="23"/>
        <v/>
      </c>
      <c r="S213" t="str">
        <f>IF($P213="","",$P213&amp;" · "&amp;IFERROR(INDEX(Работы!$E$2:$E$6000,MATCH($C213,Работы!$A$2:$A$6000,0)),""))</f>
        <v/>
      </c>
    </row>
    <row r="214" spans="1:19" x14ac:dyDescent="0.3">
      <c r="A214" s="4"/>
      <c r="B214" s="4"/>
      <c r="C214" t="str">
        <f t="shared" si="18"/>
        <v/>
      </c>
      <c r="D214" s="5" t="str">
        <f>IF($C214="","",IF(AND(LEFT($F214,3)="ДОК",$H214&lt;&gt;""),IFERROR(INDEX(Документация!$G$2:$G$57,MATCH($H214,Документация!$F$2:$F$57,0)),"— вариант не найден —"),IFERROR(INDEX(Работы!$B$2:$B$6000,MATCH($C214,Работы!$A$2:$A$6000,0)),"— нет такого кода —")))</f>
        <v/>
      </c>
      <c r="E214" t="str">
        <f>IF($C214="","",IF(AND(LEFT($F214,3)="ДОК",$H214&lt;&gt;""),IFERROR(INDEX(Документация!$D$2:$D$57,MATCH($H214,Документация!$F$2:$F$57,0)),""),IFERROR(INDEX(Работы!$C$2:$C$6000,MATCH($C214,Работы!$A$2:$A$6000,0)),"")))</f>
        <v/>
      </c>
      <c r="F214" t="str">
        <f>IF($C214="","",IFERROR(INDEX(Работы!$G$2:$G$6000,MATCH($C214,Работы!$A$2:$A$6000,0))&amp;"",""))</f>
        <v/>
      </c>
      <c r="G214" s="4"/>
      <c r="H214" s="4"/>
      <c r="I214" s="5" t="str">
        <f>IF((LEFT($F214,3)="ДОК"),"",IF($H214="","",IFERROR(INDEX(Материалы!$B$2:$B$9000,MATCH($H214,Материалы!$M$2:$M$9000,0)),"")))</f>
        <v/>
      </c>
      <c r="J214" s="6">
        <f>IF(AND(LEFT($F214,3)="ДОК",$H214&lt;&gt;""),IFERROR(INDEX(Документация!$E$2:$E$57,MATCH($H214,Документация!$F$2:$F$57,0)),0),IFERROR(INDEX(Работы!$H$2:$H$6000,MATCH($C214,Работы!$A$2:$A$6000,0)),0))*(1-MEDIAN(0,N(ДисконтТендер),1))</f>
        <v>0</v>
      </c>
      <c r="K214" s="6">
        <f>IF(OR((LEFT($F214,3)="ДОК"),$H214=""),0,IFERROR(INDEX(Материалы!$H$2:$H$9000,MATCH($H214,Материалы!$M$2:$M$9000,0))*IF(INDEX(Материалы!$I$2:$I$9000,MATCH($H214,Материалы!$M$2:$M$9000,0))="USD",КурсUSD,IF(INDEX(Материалы!$I$2:$I$9000,MATCH($H214,Материалы!$M$2:$M$9000,0))="EUR",КурсEUR,1))*(1+IFERROR(INDEX(Работы!$I$2:$I$6000,MATCH($C214,Работы!$A$2:$A$6000,0))/100,0))*(1-MEDIAN(0,N(ДисконтТендер),1)),0))</f>
        <v>0</v>
      </c>
      <c r="L214" s="6">
        <f t="shared" si="19"/>
        <v>0</v>
      </c>
      <c r="M214" s="6">
        <f t="shared" si="20"/>
        <v>0</v>
      </c>
      <c r="N214" s="6">
        <f t="shared" si="21"/>
        <v>0</v>
      </c>
      <c r="O214" t="str">
        <f>IF($N214&gt;0,MAX($O$1:$O213)+1,"")</f>
        <v/>
      </c>
      <c r="P214" t="str">
        <f>IF($C214="","",IFERROR(INDEX(Работы!$D$2:$D$6000,MATCH($C214,Работы!$A$2:$A$6000,0)),""))</f>
        <v/>
      </c>
      <c r="Q214" t="str">
        <f t="shared" si="22"/>
        <v/>
      </c>
      <c r="R214" t="str">
        <f t="shared" si="23"/>
        <v/>
      </c>
      <c r="S214" t="str">
        <f>IF($P214="","",$P214&amp;" · "&amp;IFERROR(INDEX(Работы!$E$2:$E$6000,MATCH($C214,Работы!$A$2:$A$6000,0)),""))</f>
        <v/>
      </c>
    </row>
    <row r="215" spans="1:19" x14ac:dyDescent="0.3">
      <c r="A215" s="4"/>
      <c r="B215" s="4"/>
      <c r="C215" t="str">
        <f t="shared" si="18"/>
        <v/>
      </c>
      <c r="D215" s="5" t="str">
        <f>IF($C215="","",IF(AND(LEFT($F215,3)="ДОК",$H215&lt;&gt;""),IFERROR(INDEX(Документация!$G$2:$G$57,MATCH($H215,Документация!$F$2:$F$57,0)),"— вариант не найден —"),IFERROR(INDEX(Работы!$B$2:$B$6000,MATCH($C215,Работы!$A$2:$A$6000,0)),"— нет такого кода —")))</f>
        <v/>
      </c>
      <c r="E215" t="str">
        <f>IF($C215="","",IF(AND(LEFT($F215,3)="ДОК",$H215&lt;&gt;""),IFERROR(INDEX(Документация!$D$2:$D$57,MATCH($H215,Документация!$F$2:$F$57,0)),""),IFERROR(INDEX(Работы!$C$2:$C$6000,MATCH($C215,Работы!$A$2:$A$6000,0)),"")))</f>
        <v/>
      </c>
      <c r="F215" t="str">
        <f>IF($C215="","",IFERROR(INDEX(Работы!$G$2:$G$6000,MATCH($C215,Работы!$A$2:$A$6000,0))&amp;"",""))</f>
        <v/>
      </c>
      <c r="G215" s="4"/>
      <c r="H215" s="4"/>
      <c r="I215" s="5" t="str">
        <f>IF((LEFT($F215,3)="ДОК"),"",IF($H215="","",IFERROR(INDEX(Материалы!$B$2:$B$9000,MATCH($H215,Материалы!$M$2:$M$9000,0)),"")))</f>
        <v/>
      </c>
      <c r="J215" s="6">
        <f>IF(AND(LEFT($F215,3)="ДОК",$H215&lt;&gt;""),IFERROR(INDEX(Документация!$E$2:$E$57,MATCH($H215,Документация!$F$2:$F$57,0)),0),IFERROR(INDEX(Работы!$H$2:$H$6000,MATCH($C215,Работы!$A$2:$A$6000,0)),0))*(1-MEDIAN(0,N(ДисконтТендер),1))</f>
        <v>0</v>
      </c>
      <c r="K215" s="6">
        <f>IF(OR((LEFT($F215,3)="ДОК"),$H215=""),0,IFERROR(INDEX(Материалы!$H$2:$H$9000,MATCH($H215,Материалы!$M$2:$M$9000,0))*IF(INDEX(Материалы!$I$2:$I$9000,MATCH($H215,Материалы!$M$2:$M$9000,0))="USD",КурсUSD,IF(INDEX(Материалы!$I$2:$I$9000,MATCH($H215,Материалы!$M$2:$M$9000,0))="EUR",КурсEUR,1))*(1+IFERROR(INDEX(Работы!$I$2:$I$6000,MATCH($C215,Работы!$A$2:$A$6000,0))/100,0))*(1-MEDIAN(0,N(ДисконтТендер),1)),0))</f>
        <v>0</v>
      </c>
      <c r="L215" s="6">
        <f t="shared" si="19"/>
        <v>0</v>
      </c>
      <c r="M215" s="6">
        <f t="shared" si="20"/>
        <v>0</v>
      </c>
      <c r="N215" s="6">
        <f t="shared" si="21"/>
        <v>0</v>
      </c>
      <c r="O215" t="str">
        <f>IF($N215&gt;0,MAX($O$1:$O214)+1,"")</f>
        <v/>
      </c>
      <c r="P215" t="str">
        <f>IF($C215="","",IFERROR(INDEX(Работы!$D$2:$D$6000,MATCH($C215,Работы!$A$2:$A$6000,0)),""))</f>
        <v/>
      </c>
      <c r="Q215" t="str">
        <f t="shared" si="22"/>
        <v/>
      </c>
      <c r="R215" t="str">
        <f t="shared" si="23"/>
        <v/>
      </c>
      <c r="S215" t="str">
        <f>IF($P215="","",$P215&amp;" · "&amp;IFERROR(INDEX(Работы!$E$2:$E$6000,MATCH($C215,Работы!$A$2:$A$6000,0)),""))</f>
        <v/>
      </c>
    </row>
    <row r="216" spans="1:19" x14ac:dyDescent="0.3">
      <c r="A216" s="4"/>
      <c r="B216" s="4"/>
      <c r="C216" t="str">
        <f t="shared" si="18"/>
        <v/>
      </c>
      <c r="D216" s="5" t="str">
        <f>IF($C216="","",IF(AND(LEFT($F216,3)="ДОК",$H216&lt;&gt;""),IFERROR(INDEX(Документация!$G$2:$G$57,MATCH($H216,Документация!$F$2:$F$57,0)),"— вариант не найден —"),IFERROR(INDEX(Работы!$B$2:$B$6000,MATCH($C216,Работы!$A$2:$A$6000,0)),"— нет такого кода —")))</f>
        <v/>
      </c>
      <c r="E216" t="str">
        <f>IF($C216="","",IF(AND(LEFT($F216,3)="ДОК",$H216&lt;&gt;""),IFERROR(INDEX(Документация!$D$2:$D$57,MATCH($H216,Документация!$F$2:$F$57,0)),""),IFERROR(INDEX(Работы!$C$2:$C$6000,MATCH($C216,Работы!$A$2:$A$6000,0)),"")))</f>
        <v/>
      </c>
      <c r="F216" t="str">
        <f>IF($C216="","",IFERROR(INDEX(Работы!$G$2:$G$6000,MATCH($C216,Работы!$A$2:$A$6000,0))&amp;"",""))</f>
        <v/>
      </c>
      <c r="G216" s="4"/>
      <c r="H216" s="4"/>
      <c r="I216" s="5" t="str">
        <f>IF((LEFT($F216,3)="ДОК"),"",IF($H216="","",IFERROR(INDEX(Материалы!$B$2:$B$9000,MATCH($H216,Материалы!$M$2:$M$9000,0)),"")))</f>
        <v/>
      </c>
      <c r="J216" s="6">
        <f>IF(AND(LEFT($F216,3)="ДОК",$H216&lt;&gt;""),IFERROR(INDEX(Документация!$E$2:$E$57,MATCH($H216,Документация!$F$2:$F$57,0)),0),IFERROR(INDEX(Работы!$H$2:$H$6000,MATCH($C216,Работы!$A$2:$A$6000,0)),0))*(1-MEDIAN(0,N(ДисконтТендер),1))</f>
        <v>0</v>
      </c>
      <c r="K216" s="6">
        <f>IF(OR((LEFT($F216,3)="ДОК"),$H216=""),0,IFERROR(INDEX(Материалы!$H$2:$H$9000,MATCH($H216,Материалы!$M$2:$M$9000,0))*IF(INDEX(Материалы!$I$2:$I$9000,MATCH($H216,Материалы!$M$2:$M$9000,0))="USD",КурсUSD,IF(INDEX(Материалы!$I$2:$I$9000,MATCH($H216,Материалы!$M$2:$M$9000,0))="EUR",КурсEUR,1))*(1+IFERROR(INDEX(Работы!$I$2:$I$6000,MATCH($C216,Работы!$A$2:$A$6000,0))/100,0))*(1-MEDIAN(0,N(ДисконтТендер),1)),0))</f>
        <v>0</v>
      </c>
      <c r="L216" s="6">
        <f t="shared" si="19"/>
        <v>0</v>
      </c>
      <c r="M216" s="6">
        <f t="shared" si="20"/>
        <v>0</v>
      </c>
      <c r="N216" s="6">
        <f t="shared" si="21"/>
        <v>0</v>
      </c>
      <c r="O216" t="str">
        <f>IF($N216&gt;0,MAX($O$1:$O215)+1,"")</f>
        <v/>
      </c>
      <c r="P216" t="str">
        <f>IF($C216="","",IFERROR(INDEX(Работы!$D$2:$D$6000,MATCH($C216,Работы!$A$2:$A$6000,0)),""))</f>
        <v/>
      </c>
      <c r="Q216" t="str">
        <f t="shared" si="22"/>
        <v/>
      </c>
      <c r="R216" t="str">
        <f t="shared" si="23"/>
        <v/>
      </c>
      <c r="S216" t="str">
        <f>IF($P216="","",$P216&amp;" · "&amp;IFERROR(INDEX(Работы!$E$2:$E$6000,MATCH($C216,Работы!$A$2:$A$6000,0)),""))</f>
        <v/>
      </c>
    </row>
    <row r="217" spans="1:19" x14ac:dyDescent="0.3">
      <c r="A217" s="4"/>
      <c r="B217" s="4"/>
      <c r="C217" t="str">
        <f t="shared" si="18"/>
        <v/>
      </c>
      <c r="D217" s="5" t="str">
        <f>IF($C217="","",IF(AND(LEFT($F217,3)="ДОК",$H217&lt;&gt;""),IFERROR(INDEX(Документация!$G$2:$G$57,MATCH($H217,Документация!$F$2:$F$57,0)),"— вариант не найден —"),IFERROR(INDEX(Работы!$B$2:$B$6000,MATCH($C217,Работы!$A$2:$A$6000,0)),"— нет такого кода —")))</f>
        <v/>
      </c>
      <c r="E217" t="str">
        <f>IF($C217="","",IF(AND(LEFT($F217,3)="ДОК",$H217&lt;&gt;""),IFERROR(INDEX(Документация!$D$2:$D$57,MATCH($H217,Документация!$F$2:$F$57,0)),""),IFERROR(INDEX(Работы!$C$2:$C$6000,MATCH($C217,Работы!$A$2:$A$6000,0)),"")))</f>
        <v/>
      </c>
      <c r="F217" t="str">
        <f>IF($C217="","",IFERROR(INDEX(Работы!$G$2:$G$6000,MATCH($C217,Работы!$A$2:$A$6000,0))&amp;"",""))</f>
        <v/>
      </c>
      <c r="G217" s="4"/>
      <c r="H217" s="4"/>
      <c r="I217" s="5" t="str">
        <f>IF((LEFT($F217,3)="ДОК"),"",IF($H217="","",IFERROR(INDEX(Материалы!$B$2:$B$9000,MATCH($H217,Материалы!$M$2:$M$9000,0)),"")))</f>
        <v/>
      </c>
      <c r="J217" s="6">
        <f>IF(AND(LEFT($F217,3)="ДОК",$H217&lt;&gt;""),IFERROR(INDEX(Документация!$E$2:$E$57,MATCH($H217,Документация!$F$2:$F$57,0)),0),IFERROR(INDEX(Работы!$H$2:$H$6000,MATCH($C217,Работы!$A$2:$A$6000,0)),0))*(1-MEDIAN(0,N(ДисконтТендер),1))</f>
        <v>0</v>
      </c>
      <c r="K217" s="6">
        <f>IF(OR((LEFT($F217,3)="ДОК"),$H217=""),0,IFERROR(INDEX(Материалы!$H$2:$H$9000,MATCH($H217,Материалы!$M$2:$M$9000,0))*IF(INDEX(Материалы!$I$2:$I$9000,MATCH($H217,Материалы!$M$2:$M$9000,0))="USD",КурсUSD,IF(INDEX(Материалы!$I$2:$I$9000,MATCH($H217,Материалы!$M$2:$M$9000,0))="EUR",КурсEUR,1))*(1+IFERROR(INDEX(Работы!$I$2:$I$6000,MATCH($C217,Работы!$A$2:$A$6000,0))/100,0))*(1-MEDIAN(0,N(ДисконтТендер),1)),0))</f>
        <v>0</v>
      </c>
      <c r="L217" s="6">
        <f t="shared" si="19"/>
        <v>0</v>
      </c>
      <c r="M217" s="6">
        <f t="shared" si="20"/>
        <v>0</v>
      </c>
      <c r="N217" s="6">
        <f t="shared" si="21"/>
        <v>0</v>
      </c>
      <c r="O217" t="str">
        <f>IF($N217&gt;0,MAX($O$1:$O216)+1,"")</f>
        <v/>
      </c>
      <c r="P217" t="str">
        <f>IF($C217="","",IFERROR(INDEX(Работы!$D$2:$D$6000,MATCH($C217,Работы!$A$2:$A$6000,0)),""))</f>
        <v/>
      </c>
      <c r="Q217" t="str">
        <f t="shared" si="22"/>
        <v/>
      </c>
      <c r="R217" t="str">
        <f t="shared" si="23"/>
        <v/>
      </c>
      <c r="S217" t="str">
        <f>IF($P217="","",$P217&amp;" · "&amp;IFERROR(INDEX(Работы!$E$2:$E$6000,MATCH($C217,Работы!$A$2:$A$6000,0)),""))</f>
        <v/>
      </c>
    </row>
    <row r="218" spans="1:19" x14ac:dyDescent="0.3">
      <c r="A218" s="4"/>
      <c r="B218" s="4"/>
      <c r="C218" t="str">
        <f t="shared" si="18"/>
        <v/>
      </c>
      <c r="D218" s="5" t="str">
        <f>IF($C218="","",IF(AND(LEFT($F218,3)="ДОК",$H218&lt;&gt;""),IFERROR(INDEX(Документация!$G$2:$G$57,MATCH($H218,Документация!$F$2:$F$57,0)),"— вариант не найден —"),IFERROR(INDEX(Работы!$B$2:$B$6000,MATCH($C218,Работы!$A$2:$A$6000,0)),"— нет такого кода —")))</f>
        <v/>
      </c>
      <c r="E218" t="str">
        <f>IF($C218="","",IF(AND(LEFT($F218,3)="ДОК",$H218&lt;&gt;""),IFERROR(INDEX(Документация!$D$2:$D$57,MATCH($H218,Документация!$F$2:$F$57,0)),""),IFERROR(INDEX(Работы!$C$2:$C$6000,MATCH($C218,Работы!$A$2:$A$6000,0)),"")))</f>
        <v/>
      </c>
      <c r="F218" t="str">
        <f>IF($C218="","",IFERROR(INDEX(Работы!$G$2:$G$6000,MATCH($C218,Работы!$A$2:$A$6000,0))&amp;"",""))</f>
        <v/>
      </c>
      <c r="G218" s="4"/>
      <c r="H218" s="4"/>
      <c r="I218" s="5" t="str">
        <f>IF((LEFT($F218,3)="ДОК"),"",IF($H218="","",IFERROR(INDEX(Материалы!$B$2:$B$9000,MATCH($H218,Материалы!$M$2:$M$9000,0)),"")))</f>
        <v/>
      </c>
      <c r="J218" s="6">
        <f>IF(AND(LEFT($F218,3)="ДОК",$H218&lt;&gt;""),IFERROR(INDEX(Документация!$E$2:$E$57,MATCH($H218,Документация!$F$2:$F$57,0)),0),IFERROR(INDEX(Работы!$H$2:$H$6000,MATCH($C218,Работы!$A$2:$A$6000,0)),0))*(1-MEDIAN(0,N(ДисконтТендер),1))</f>
        <v>0</v>
      </c>
      <c r="K218" s="6">
        <f>IF(OR((LEFT($F218,3)="ДОК"),$H218=""),0,IFERROR(INDEX(Материалы!$H$2:$H$9000,MATCH($H218,Материалы!$M$2:$M$9000,0))*IF(INDEX(Материалы!$I$2:$I$9000,MATCH($H218,Материалы!$M$2:$M$9000,0))="USD",КурсUSD,IF(INDEX(Материалы!$I$2:$I$9000,MATCH($H218,Материалы!$M$2:$M$9000,0))="EUR",КурсEUR,1))*(1+IFERROR(INDEX(Работы!$I$2:$I$6000,MATCH($C218,Работы!$A$2:$A$6000,0))/100,0))*(1-MEDIAN(0,N(ДисконтТендер),1)),0))</f>
        <v>0</v>
      </c>
      <c r="L218" s="6">
        <f t="shared" si="19"/>
        <v>0</v>
      </c>
      <c r="M218" s="6">
        <f t="shared" si="20"/>
        <v>0</v>
      </c>
      <c r="N218" s="6">
        <f t="shared" si="21"/>
        <v>0</v>
      </c>
      <c r="O218" t="str">
        <f>IF($N218&gt;0,MAX($O$1:$O217)+1,"")</f>
        <v/>
      </c>
      <c r="P218" t="str">
        <f>IF($C218="","",IFERROR(INDEX(Работы!$D$2:$D$6000,MATCH($C218,Работы!$A$2:$A$6000,0)),""))</f>
        <v/>
      </c>
      <c r="Q218" t="str">
        <f t="shared" si="22"/>
        <v/>
      </c>
      <c r="R218" t="str">
        <f t="shared" si="23"/>
        <v/>
      </c>
      <c r="S218" t="str">
        <f>IF($P218="","",$P218&amp;" · "&amp;IFERROR(INDEX(Работы!$E$2:$E$6000,MATCH($C218,Работы!$A$2:$A$6000,0)),""))</f>
        <v/>
      </c>
    </row>
    <row r="219" spans="1:19" x14ac:dyDescent="0.3">
      <c r="A219" s="4"/>
      <c r="B219" s="4"/>
      <c r="C219" t="str">
        <f t="shared" si="18"/>
        <v/>
      </c>
      <c r="D219" s="5" t="str">
        <f>IF($C219="","",IF(AND(LEFT($F219,3)="ДОК",$H219&lt;&gt;""),IFERROR(INDEX(Документация!$G$2:$G$57,MATCH($H219,Документация!$F$2:$F$57,0)),"— вариант не найден —"),IFERROR(INDEX(Работы!$B$2:$B$6000,MATCH($C219,Работы!$A$2:$A$6000,0)),"— нет такого кода —")))</f>
        <v/>
      </c>
      <c r="E219" t="str">
        <f>IF($C219="","",IF(AND(LEFT($F219,3)="ДОК",$H219&lt;&gt;""),IFERROR(INDEX(Документация!$D$2:$D$57,MATCH($H219,Документация!$F$2:$F$57,0)),""),IFERROR(INDEX(Работы!$C$2:$C$6000,MATCH($C219,Работы!$A$2:$A$6000,0)),"")))</f>
        <v/>
      </c>
      <c r="F219" t="str">
        <f>IF($C219="","",IFERROR(INDEX(Работы!$G$2:$G$6000,MATCH($C219,Работы!$A$2:$A$6000,0))&amp;"",""))</f>
        <v/>
      </c>
      <c r="G219" s="4"/>
      <c r="H219" s="4"/>
      <c r="I219" s="5" t="str">
        <f>IF((LEFT($F219,3)="ДОК"),"",IF($H219="","",IFERROR(INDEX(Материалы!$B$2:$B$9000,MATCH($H219,Материалы!$M$2:$M$9000,0)),"")))</f>
        <v/>
      </c>
      <c r="J219" s="6">
        <f>IF(AND(LEFT($F219,3)="ДОК",$H219&lt;&gt;""),IFERROR(INDEX(Документация!$E$2:$E$57,MATCH($H219,Документация!$F$2:$F$57,0)),0),IFERROR(INDEX(Работы!$H$2:$H$6000,MATCH($C219,Работы!$A$2:$A$6000,0)),0))*(1-MEDIAN(0,N(ДисконтТендер),1))</f>
        <v>0</v>
      </c>
      <c r="K219" s="6">
        <f>IF(OR((LEFT($F219,3)="ДОК"),$H219=""),0,IFERROR(INDEX(Материалы!$H$2:$H$9000,MATCH($H219,Материалы!$M$2:$M$9000,0))*IF(INDEX(Материалы!$I$2:$I$9000,MATCH($H219,Материалы!$M$2:$M$9000,0))="USD",КурсUSD,IF(INDEX(Материалы!$I$2:$I$9000,MATCH($H219,Материалы!$M$2:$M$9000,0))="EUR",КурсEUR,1))*(1+IFERROR(INDEX(Работы!$I$2:$I$6000,MATCH($C219,Работы!$A$2:$A$6000,0))/100,0))*(1-MEDIAN(0,N(ДисконтТендер),1)),0))</f>
        <v>0</v>
      </c>
      <c r="L219" s="6">
        <f t="shared" si="19"/>
        <v>0</v>
      </c>
      <c r="M219" s="6">
        <f t="shared" si="20"/>
        <v>0</v>
      </c>
      <c r="N219" s="6">
        <f t="shared" si="21"/>
        <v>0</v>
      </c>
      <c r="O219" t="str">
        <f>IF($N219&gt;0,MAX($O$1:$O218)+1,"")</f>
        <v/>
      </c>
      <c r="P219" t="str">
        <f>IF($C219="","",IFERROR(INDEX(Работы!$D$2:$D$6000,MATCH($C219,Работы!$A$2:$A$6000,0)),""))</f>
        <v/>
      </c>
      <c r="Q219" t="str">
        <f t="shared" si="22"/>
        <v/>
      </c>
      <c r="R219" t="str">
        <f t="shared" si="23"/>
        <v/>
      </c>
      <c r="S219" t="str">
        <f>IF($P219="","",$P219&amp;" · "&amp;IFERROR(INDEX(Работы!$E$2:$E$6000,MATCH($C219,Работы!$A$2:$A$6000,0)),""))</f>
        <v/>
      </c>
    </row>
    <row r="220" spans="1:19" x14ac:dyDescent="0.3">
      <c r="A220" s="4"/>
      <c r="B220" s="4"/>
      <c r="C220" t="str">
        <f t="shared" si="18"/>
        <v/>
      </c>
      <c r="D220" s="5" t="str">
        <f>IF($C220="","",IF(AND(LEFT($F220,3)="ДОК",$H220&lt;&gt;""),IFERROR(INDEX(Документация!$G$2:$G$57,MATCH($H220,Документация!$F$2:$F$57,0)),"— вариант не найден —"),IFERROR(INDEX(Работы!$B$2:$B$6000,MATCH($C220,Работы!$A$2:$A$6000,0)),"— нет такого кода —")))</f>
        <v/>
      </c>
      <c r="E220" t="str">
        <f>IF($C220="","",IF(AND(LEFT($F220,3)="ДОК",$H220&lt;&gt;""),IFERROR(INDEX(Документация!$D$2:$D$57,MATCH($H220,Документация!$F$2:$F$57,0)),""),IFERROR(INDEX(Работы!$C$2:$C$6000,MATCH($C220,Работы!$A$2:$A$6000,0)),"")))</f>
        <v/>
      </c>
      <c r="F220" t="str">
        <f>IF($C220="","",IFERROR(INDEX(Работы!$G$2:$G$6000,MATCH($C220,Работы!$A$2:$A$6000,0))&amp;"",""))</f>
        <v/>
      </c>
      <c r="G220" s="4"/>
      <c r="H220" s="4"/>
      <c r="I220" s="5" t="str">
        <f>IF((LEFT($F220,3)="ДОК"),"",IF($H220="","",IFERROR(INDEX(Материалы!$B$2:$B$9000,MATCH($H220,Материалы!$M$2:$M$9000,0)),"")))</f>
        <v/>
      </c>
      <c r="J220" s="6">
        <f>IF(AND(LEFT($F220,3)="ДОК",$H220&lt;&gt;""),IFERROR(INDEX(Документация!$E$2:$E$57,MATCH($H220,Документация!$F$2:$F$57,0)),0),IFERROR(INDEX(Работы!$H$2:$H$6000,MATCH($C220,Работы!$A$2:$A$6000,0)),0))*(1-MEDIAN(0,N(ДисконтТендер),1))</f>
        <v>0</v>
      </c>
      <c r="K220" s="6">
        <f>IF(OR((LEFT($F220,3)="ДОК"),$H220=""),0,IFERROR(INDEX(Материалы!$H$2:$H$9000,MATCH($H220,Материалы!$M$2:$M$9000,0))*IF(INDEX(Материалы!$I$2:$I$9000,MATCH($H220,Материалы!$M$2:$M$9000,0))="USD",КурсUSD,IF(INDEX(Материалы!$I$2:$I$9000,MATCH($H220,Материалы!$M$2:$M$9000,0))="EUR",КурсEUR,1))*(1+IFERROR(INDEX(Работы!$I$2:$I$6000,MATCH($C220,Работы!$A$2:$A$6000,0))/100,0))*(1-MEDIAN(0,N(ДисконтТендер),1)),0))</f>
        <v>0</v>
      </c>
      <c r="L220" s="6">
        <f t="shared" si="19"/>
        <v>0</v>
      </c>
      <c r="M220" s="6">
        <f t="shared" si="20"/>
        <v>0</v>
      </c>
      <c r="N220" s="6">
        <f t="shared" si="21"/>
        <v>0</v>
      </c>
      <c r="O220" t="str">
        <f>IF($N220&gt;0,MAX($O$1:$O219)+1,"")</f>
        <v/>
      </c>
      <c r="P220" t="str">
        <f>IF($C220="","",IFERROR(INDEX(Работы!$D$2:$D$6000,MATCH($C220,Работы!$A$2:$A$6000,0)),""))</f>
        <v/>
      </c>
      <c r="Q220" t="str">
        <f t="shared" si="22"/>
        <v/>
      </c>
      <c r="R220" t="str">
        <f t="shared" si="23"/>
        <v/>
      </c>
      <c r="S220" t="str">
        <f>IF($P220="","",$P220&amp;" · "&amp;IFERROR(INDEX(Работы!$E$2:$E$6000,MATCH($C220,Работы!$A$2:$A$6000,0)),""))</f>
        <v/>
      </c>
    </row>
    <row r="221" spans="1:19" x14ac:dyDescent="0.3">
      <c r="A221" s="4"/>
      <c r="B221" s="4"/>
      <c r="C221" t="str">
        <f t="shared" si="18"/>
        <v/>
      </c>
      <c r="D221" s="5" t="str">
        <f>IF($C221="","",IF(AND(LEFT($F221,3)="ДОК",$H221&lt;&gt;""),IFERROR(INDEX(Документация!$G$2:$G$57,MATCH($H221,Документация!$F$2:$F$57,0)),"— вариант не найден —"),IFERROR(INDEX(Работы!$B$2:$B$6000,MATCH($C221,Работы!$A$2:$A$6000,0)),"— нет такого кода —")))</f>
        <v/>
      </c>
      <c r="E221" t="str">
        <f>IF($C221="","",IF(AND(LEFT($F221,3)="ДОК",$H221&lt;&gt;""),IFERROR(INDEX(Документация!$D$2:$D$57,MATCH($H221,Документация!$F$2:$F$57,0)),""),IFERROR(INDEX(Работы!$C$2:$C$6000,MATCH($C221,Работы!$A$2:$A$6000,0)),"")))</f>
        <v/>
      </c>
      <c r="F221" t="str">
        <f>IF($C221="","",IFERROR(INDEX(Работы!$G$2:$G$6000,MATCH($C221,Работы!$A$2:$A$6000,0))&amp;"",""))</f>
        <v/>
      </c>
      <c r="G221" s="4"/>
      <c r="H221" s="4"/>
      <c r="I221" s="5" t="str">
        <f>IF((LEFT($F221,3)="ДОК"),"",IF($H221="","",IFERROR(INDEX(Материалы!$B$2:$B$9000,MATCH($H221,Материалы!$M$2:$M$9000,0)),"")))</f>
        <v/>
      </c>
      <c r="J221" s="6">
        <f>IF(AND(LEFT($F221,3)="ДОК",$H221&lt;&gt;""),IFERROR(INDEX(Документация!$E$2:$E$57,MATCH($H221,Документация!$F$2:$F$57,0)),0),IFERROR(INDEX(Работы!$H$2:$H$6000,MATCH($C221,Работы!$A$2:$A$6000,0)),0))*(1-MEDIAN(0,N(ДисконтТендер),1))</f>
        <v>0</v>
      </c>
      <c r="K221" s="6">
        <f>IF(OR((LEFT($F221,3)="ДОК"),$H221=""),0,IFERROR(INDEX(Материалы!$H$2:$H$9000,MATCH($H221,Материалы!$M$2:$M$9000,0))*IF(INDEX(Материалы!$I$2:$I$9000,MATCH($H221,Материалы!$M$2:$M$9000,0))="USD",КурсUSD,IF(INDEX(Материалы!$I$2:$I$9000,MATCH($H221,Материалы!$M$2:$M$9000,0))="EUR",КурсEUR,1))*(1+IFERROR(INDEX(Работы!$I$2:$I$6000,MATCH($C221,Работы!$A$2:$A$6000,0))/100,0))*(1-MEDIAN(0,N(ДисконтТендер),1)),0))</f>
        <v>0</v>
      </c>
      <c r="L221" s="6">
        <f t="shared" si="19"/>
        <v>0</v>
      </c>
      <c r="M221" s="6">
        <f t="shared" si="20"/>
        <v>0</v>
      </c>
      <c r="N221" s="6">
        <f t="shared" si="21"/>
        <v>0</v>
      </c>
      <c r="O221" t="str">
        <f>IF($N221&gt;0,MAX($O$1:$O220)+1,"")</f>
        <v/>
      </c>
      <c r="P221" t="str">
        <f>IF($C221="","",IFERROR(INDEX(Работы!$D$2:$D$6000,MATCH($C221,Работы!$A$2:$A$6000,0)),""))</f>
        <v/>
      </c>
      <c r="Q221" t="str">
        <f t="shared" si="22"/>
        <v/>
      </c>
      <c r="R221" t="str">
        <f t="shared" si="23"/>
        <v/>
      </c>
      <c r="S221" t="str">
        <f>IF($P221="","",$P221&amp;" · "&amp;IFERROR(INDEX(Работы!$E$2:$E$6000,MATCH($C221,Работы!$A$2:$A$6000,0)),""))</f>
        <v/>
      </c>
    </row>
    <row r="222" spans="1:19" x14ac:dyDescent="0.3">
      <c r="A222" s="4"/>
      <c r="B222" s="4"/>
      <c r="C222" t="str">
        <f t="shared" si="18"/>
        <v/>
      </c>
      <c r="D222" s="5" t="str">
        <f>IF($C222="","",IF(AND(LEFT($F222,3)="ДОК",$H222&lt;&gt;""),IFERROR(INDEX(Документация!$G$2:$G$57,MATCH($H222,Документация!$F$2:$F$57,0)),"— вариант не найден —"),IFERROR(INDEX(Работы!$B$2:$B$6000,MATCH($C222,Работы!$A$2:$A$6000,0)),"— нет такого кода —")))</f>
        <v/>
      </c>
      <c r="E222" t="str">
        <f>IF($C222="","",IF(AND(LEFT($F222,3)="ДОК",$H222&lt;&gt;""),IFERROR(INDEX(Документация!$D$2:$D$57,MATCH($H222,Документация!$F$2:$F$57,0)),""),IFERROR(INDEX(Работы!$C$2:$C$6000,MATCH($C222,Работы!$A$2:$A$6000,0)),"")))</f>
        <v/>
      </c>
      <c r="F222" t="str">
        <f>IF($C222="","",IFERROR(INDEX(Работы!$G$2:$G$6000,MATCH($C222,Работы!$A$2:$A$6000,0))&amp;"",""))</f>
        <v/>
      </c>
      <c r="G222" s="4"/>
      <c r="H222" s="4"/>
      <c r="I222" s="5" t="str">
        <f>IF((LEFT($F222,3)="ДОК"),"",IF($H222="","",IFERROR(INDEX(Материалы!$B$2:$B$9000,MATCH($H222,Материалы!$M$2:$M$9000,0)),"")))</f>
        <v/>
      </c>
      <c r="J222" s="6">
        <f>IF(AND(LEFT($F222,3)="ДОК",$H222&lt;&gt;""),IFERROR(INDEX(Документация!$E$2:$E$57,MATCH($H222,Документация!$F$2:$F$57,0)),0),IFERROR(INDEX(Работы!$H$2:$H$6000,MATCH($C222,Работы!$A$2:$A$6000,0)),0))*(1-MEDIAN(0,N(ДисконтТендер),1))</f>
        <v>0</v>
      </c>
      <c r="K222" s="6">
        <f>IF(OR((LEFT($F222,3)="ДОК"),$H222=""),0,IFERROR(INDEX(Материалы!$H$2:$H$9000,MATCH($H222,Материалы!$M$2:$M$9000,0))*IF(INDEX(Материалы!$I$2:$I$9000,MATCH($H222,Материалы!$M$2:$M$9000,0))="USD",КурсUSD,IF(INDEX(Материалы!$I$2:$I$9000,MATCH($H222,Материалы!$M$2:$M$9000,0))="EUR",КурсEUR,1))*(1+IFERROR(INDEX(Работы!$I$2:$I$6000,MATCH($C222,Работы!$A$2:$A$6000,0))/100,0))*(1-MEDIAN(0,N(ДисконтТендер),1)),0))</f>
        <v>0</v>
      </c>
      <c r="L222" s="6">
        <f t="shared" si="19"/>
        <v>0</v>
      </c>
      <c r="M222" s="6">
        <f t="shared" si="20"/>
        <v>0</v>
      </c>
      <c r="N222" s="6">
        <f t="shared" si="21"/>
        <v>0</v>
      </c>
      <c r="O222" t="str">
        <f>IF($N222&gt;0,MAX($O$1:$O221)+1,"")</f>
        <v/>
      </c>
      <c r="P222" t="str">
        <f>IF($C222="","",IFERROR(INDEX(Работы!$D$2:$D$6000,MATCH($C222,Работы!$A$2:$A$6000,0)),""))</f>
        <v/>
      </c>
      <c r="Q222" t="str">
        <f t="shared" si="22"/>
        <v/>
      </c>
      <c r="R222" t="str">
        <f t="shared" si="23"/>
        <v/>
      </c>
      <c r="S222" t="str">
        <f>IF($P222="","",$P222&amp;" · "&amp;IFERROR(INDEX(Работы!$E$2:$E$6000,MATCH($C222,Работы!$A$2:$A$6000,0)),""))</f>
        <v/>
      </c>
    </row>
    <row r="223" spans="1:19" x14ac:dyDescent="0.3">
      <c r="A223" s="4"/>
      <c r="B223" s="4"/>
      <c r="C223" t="str">
        <f t="shared" si="18"/>
        <v/>
      </c>
      <c r="D223" s="5" t="str">
        <f>IF($C223="","",IF(AND(LEFT($F223,3)="ДОК",$H223&lt;&gt;""),IFERROR(INDEX(Документация!$G$2:$G$57,MATCH($H223,Документация!$F$2:$F$57,0)),"— вариант не найден —"),IFERROR(INDEX(Работы!$B$2:$B$6000,MATCH($C223,Работы!$A$2:$A$6000,0)),"— нет такого кода —")))</f>
        <v/>
      </c>
      <c r="E223" t="str">
        <f>IF($C223="","",IF(AND(LEFT($F223,3)="ДОК",$H223&lt;&gt;""),IFERROR(INDEX(Документация!$D$2:$D$57,MATCH($H223,Документация!$F$2:$F$57,0)),""),IFERROR(INDEX(Работы!$C$2:$C$6000,MATCH($C223,Работы!$A$2:$A$6000,0)),"")))</f>
        <v/>
      </c>
      <c r="F223" t="str">
        <f>IF($C223="","",IFERROR(INDEX(Работы!$G$2:$G$6000,MATCH($C223,Работы!$A$2:$A$6000,0))&amp;"",""))</f>
        <v/>
      </c>
      <c r="G223" s="4"/>
      <c r="H223" s="4"/>
      <c r="I223" s="5" t="str">
        <f>IF((LEFT($F223,3)="ДОК"),"",IF($H223="","",IFERROR(INDEX(Материалы!$B$2:$B$9000,MATCH($H223,Материалы!$M$2:$M$9000,0)),"")))</f>
        <v/>
      </c>
      <c r="J223" s="6">
        <f>IF(AND(LEFT($F223,3)="ДОК",$H223&lt;&gt;""),IFERROR(INDEX(Документация!$E$2:$E$57,MATCH($H223,Документация!$F$2:$F$57,0)),0),IFERROR(INDEX(Работы!$H$2:$H$6000,MATCH($C223,Работы!$A$2:$A$6000,0)),0))*(1-MEDIAN(0,N(ДисконтТендер),1))</f>
        <v>0</v>
      </c>
      <c r="K223" s="6">
        <f>IF(OR((LEFT($F223,3)="ДОК"),$H223=""),0,IFERROR(INDEX(Материалы!$H$2:$H$9000,MATCH($H223,Материалы!$M$2:$M$9000,0))*IF(INDEX(Материалы!$I$2:$I$9000,MATCH($H223,Материалы!$M$2:$M$9000,0))="USD",КурсUSD,IF(INDEX(Материалы!$I$2:$I$9000,MATCH($H223,Материалы!$M$2:$M$9000,0))="EUR",КурсEUR,1))*(1+IFERROR(INDEX(Работы!$I$2:$I$6000,MATCH($C223,Работы!$A$2:$A$6000,0))/100,0))*(1-MEDIAN(0,N(ДисконтТендер),1)),0))</f>
        <v>0</v>
      </c>
      <c r="L223" s="6">
        <f t="shared" si="19"/>
        <v>0</v>
      </c>
      <c r="M223" s="6">
        <f t="shared" si="20"/>
        <v>0</v>
      </c>
      <c r="N223" s="6">
        <f t="shared" si="21"/>
        <v>0</v>
      </c>
      <c r="O223" t="str">
        <f>IF($N223&gt;0,MAX($O$1:$O222)+1,"")</f>
        <v/>
      </c>
      <c r="P223" t="str">
        <f>IF($C223="","",IFERROR(INDEX(Работы!$D$2:$D$6000,MATCH($C223,Работы!$A$2:$A$6000,0)),""))</f>
        <v/>
      </c>
      <c r="Q223" t="str">
        <f t="shared" si="22"/>
        <v/>
      </c>
      <c r="R223" t="str">
        <f t="shared" si="23"/>
        <v/>
      </c>
      <c r="S223" t="str">
        <f>IF($P223="","",$P223&amp;" · "&amp;IFERROR(INDEX(Работы!$E$2:$E$6000,MATCH($C223,Работы!$A$2:$A$6000,0)),""))</f>
        <v/>
      </c>
    </row>
    <row r="224" spans="1:19" x14ac:dyDescent="0.3">
      <c r="A224" s="4"/>
      <c r="B224" s="4"/>
      <c r="C224" t="str">
        <f t="shared" si="18"/>
        <v/>
      </c>
      <c r="D224" s="5" t="str">
        <f>IF($C224="","",IF(AND(LEFT($F224,3)="ДОК",$H224&lt;&gt;""),IFERROR(INDEX(Документация!$G$2:$G$57,MATCH($H224,Документация!$F$2:$F$57,0)),"— вариант не найден —"),IFERROR(INDEX(Работы!$B$2:$B$6000,MATCH($C224,Работы!$A$2:$A$6000,0)),"— нет такого кода —")))</f>
        <v/>
      </c>
      <c r="E224" t="str">
        <f>IF($C224="","",IF(AND(LEFT($F224,3)="ДОК",$H224&lt;&gt;""),IFERROR(INDEX(Документация!$D$2:$D$57,MATCH($H224,Документация!$F$2:$F$57,0)),""),IFERROR(INDEX(Работы!$C$2:$C$6000,MATCH($C224,Работы!$A$2:$A$6000,0)),"")))</f>
        <v/>
      </c>
      <c r="F224" t="str">
        <f>IF($C224="","",IFERROR(INDEX(Работы!$G$2:$G$6000,MATCH($C224,Работы!$A$2:$A$6000,0))&amp;"",""))</f>
        <v/>
      </c>
      <c r="G224" s="4"/>
      <c r="H224" s="4"/>
      <c r="I224" s="5" t="str">
        <f>IF((LEFT($F224,3)="ДОК"),"",IF($H224="","",IFERROR(INDEX(Материалы!$B$2:$B$9000,MATCH($H224,Материалы!$M$2:$M$9000,0)),"")))</f>
        <v/>
      </c>
      <c r="J224" s="6">
        <f>IF(AND(LEFT($F224,3)="ДОК",$H224&lt;&gt;""),IFERROR(INDEX(Документация!$E$2:$E$57,MATCH($H224,Документация!$F$2:$F$57,0)),0),IFERROR(INDEX(Работы!$H$2:$H$6000,MATCH($C224,Работы!$A$2:$A$6000,0)),0))*(1-MEDIAN(0,N(ДисконтТендер),1))</f>
        <v>0</v>
      </c>
      <c r="K224" s="6">
        <f>IF(OR((LEFT($F224,3)="ДОК"),$H224=""),0,IFERROR(INDEX(Материалы!$H$2:$H$9000,MATCH($H224,Материалы!$M$2:$M$9000,0))*IF(INDEX(Материалы!$I$2:$I$9000,MATCH($H224,Материалы!$M$2:$M$9000,0))="USD",КурсUSD,IF(INDEX(Материалы!$I$2:$I$9000,MATCH($H224,Материалы!$M$2:$M$9000,0))="EUR",КурсEUR,1))*(1+IFERROR(INDEX(Работы!$I$2:$I$6000,MATCH($C224,Работы!$A$2:$A$6000,0))/100,0))*(1-MEDIAN(0,N(ДисконтТендер),1)),0))</f>
        <v>0</v>
      </c>
      <c r="L224" s="6">
        <f t="shared" si="19"/>
        <v>0</v>
      </c>
      <c r="M224" s="6">
        <f t="shared" si="20"/>
        <v>0</v>
      </c>
      <c r="N224" s="6">
        <f t="shared" si="21"/>
        <v>0</v>
      </c>
      <c r="O224" t="str">
        <f>IF($N224&gt;0,MAX($O$1:$O223)+1,"")</f>
        <v/>
      </c>
      <c r="P224" t="str">
        <f>IF($C224="","",IFERROR(INDEX(Работы!$D$2:$D$6000,MATCH($C224,Работы!$A$2:$A$6000,0)),""))</f>
        <v/>
      </c>
      <c r="Q224" t="str">
        <f t="shared" si="22"/>
        <v/>
      </c>
      <c r="R224" t="str">
        <f t="shared" si="23"/>
        <v/>
      </c>
      <c r="S224" t="str">
        <f>IF($P224="","",$P224&amp;" · "&amp;IFERROR(INDEX(Работы!$E$2:$E$6000,MATCH($C224,Работы!$A$2:$A$6000,0)),""))</f>
        <v/>
      </c>
    </row>
    <row r="225" spans="1:19" x14ac:dyDescent="0.3">
      <c r="A225" s="4"/>
      <c r="B225" s="4"/>
      <c r="C225" t="str">
        <f t="shared" si="18"/>
        <v/>
      </c>
      <c r="D225" s="5" t="str">
        <f>IF($C225="","",IF(AND(LEFT($F225,3)="ДОК",$H225&lt;&gt;""),IFERROR(INDEX(Документация!$G$2:$G$57,MATCH($H225,Документация!$F$2:$F$57,0)),"— вариант не найден —"),IFERROR(INDEX(Работы!$B$2:$B$6000,MATCH($C225,Работы!$A$2:$A$6000,0)),"— нет такого кода —")))</f>
        <v/>
      </c>
      <c r="E225" t="str">
        <f>IF($C225="","",IF(AND(LEFT($F225,3)="ДОК",$H225&lt;&gt;""),IFERROR(INDEX(Документация!$D$2:$D$57,MATCH($H225,Документация!$F$2:$F$57,0)),""),IFERROR(INDEX(Работы!$C$2:$C$6000,MATCH($C225,Работы!$A$2:$A$6000,0)),"")))</f>
        <v/>
      </c>
      <c r="F225" t="str">
        <f>IF($C225="","",IFERROR(INDEX(Работы!$G$2:$G$6000,MATCH($C225,Работы!$A$2:$A$6000,0))&amp;"",""))</f>
        <v/>
      </c>
      <c r="G225" s="4"/>
      <c r="H225" s="4"/>
      <c r="I225" s="5" t="str">
        <f>IF((LEFT($F225,3)="ДОК"),"",IF($H225="","",IFERROR(INDEX(Материалы!$B$2:$B$9000,MATCH($H225,Материалы!$M$2:$M$9000,0)),"")))</f>
        <v/>
      </c>
      <c r="J225" s="6">
        <f>IF(AND(LEFT($F225,3)="ДОК",$H225&lt;&gt;""),IFERROR(INDEX(Документация!$E$2:$E$57,MATCH($H225,Документация!$F$2:$F$57,0)),0),IFERROR(INDEX(Работы!$H$2:$H$6000,MATCH($C225,Работы!$A$2:$A$6000,0)),0))*(1-MEDIAN(0,N(ДисконтТендер),1))</f>
        <v>0</v>
      </c>
      <c r="K225" s="6">
        <f>IF(OR((LEFT($F225,3)="ДОК"),$H225=""),0,IFERROR(INDEX(Материалы!$H$2:$H$9000,MATCH($H225,Материалы!$M$2:$M$9000,0))*IF(INDEX(Материалы!$I$2:$I$9000,MATCH($H225,Материалы!$M$2:$M$9000,0))="USD",КурсUSD,IF(INDEX(Материалы!$I$2:$I$9000,MATCH($H225,Материалы!$M$2:$M$9000,0))="EUR",КурсEUR,1))*(1+IFERROR(INDEX(Работы!$I$2:$I$6000,MATCH($C225,Работы!$A$2:$A$6000,0))/100,0))*(1-MEDIAN(0,N(ДисконтТендер),1)),0))</f>
        <v>0</v>
      </c>
      <c r="L225" s="6">
        <f t="shared" si="19"/>
        <v>0</v>
      </c>
      <c r="M225" s="6">
        <f t="shared" si="20"/>
        <v>0</v>
      </c>
      <c r="N225" s="6">
        <f t="shared" si="21"/>
        <v>0</v>
      </c>
      <c r="O225" t="str">
        <f>IF($N225&gt;0,MAX($O$1:$O224)+1,"")</f>
        <v/>
      </c>
      <c r="P225" t="str">
        <f>IF($C225="","",IFERROR(INDEX(Работы!$D$2:$D$6000,MATCH($C225,Работы!$A$2:$A$6000,0)),""))</f>
        <v/>
      </c>
      <c r="Q225" t="str">
        <f t="shared" si="22"/>
        <v/>
      </c>
      <c r="R225" t="str">
        <f t="shared" si="23"/>
        <v/>
      </c>
      <c r="S225" t="str">
        <f>IF($P225="","",$P225&amp;" · "&amp;IFERROR(INDEX(Работы!$E$2:$E$6000,MATCH($C225,Работы!$A$2:$A$6000,0)),""))</f>
        <v/>
      </c>
    </row>
    <row r="226" spans="1:19" x14ac:dyDescent="0.3">
      <c r="A226" s="4"/>
      <c r="B226" s="4"/>
      <c r="C226" t="str">
        <f t="shared" si="18"/>
        <v/>
      </c>
      <c r="D226" s="5" t="str">
        <f>IF($C226="","",IF(AND(LEFT($F226,3)="ДОК",$H226&lt;&gt;""),IFERROR(INDEX(Документация!$G$2:$G$57,MATCH($H226,Документация!$F$2:$F$57,0)),"— вариант не найден —"),IFERROR(INDEX(Работы!$B$2:$B$6000,MATCH($C226,Работы!$A$2:$A$6000,0)),"— нет такого кода —")))</f>
        <v/>
      </c>
      <c r="E226" t="str">
        <f>IF($C226="","",IF(AND(LEFT($F226,3)="ДОК",$H226&lt;&gt;""),IFERROR(INDEX(Документация!$D$2:$D$57,MATCH($H226,Документация!$F$2:$F$57,0)),""),IFERROR(INDEX(Работы!$C$2:$C$6000,MATCH($C226,Работы!$A$2:$A$6000,0)),"")))</f>
        <v/>
      </c>
      <c r="F226" t="str">
        <f>IF($C226="","",IFERROR(INDEX(Работы!$G$2:$G$6000,MATCH($C226,Работы!$A$2:$A$6000,0))&amp;"",""))</f>
        <v/>
      </c>
      <c r="G226" s="4"/>
      <c r="H226" s="4"/>
      <c r="I226" s="5" t="str">
        <f>IF((LEFT($F226,3)="ДОК"),"",IF($H226="","",IFERROR(INDEX(Материалы!$B$2:$B$9000,MATCH($H226,Материалы!$M$2:$M$9000,0)),"")))</f>
        <v/>
      </c>
      <c r="J226" s="6">
        <f>IF(AND(LEFT($F226,3)="ДОК",$H226&lt;&gt;""),IFERROR(INDEX(Документация!$E$2:$E$57,MATCH($H226,Документация!$F$2:$F$57,0)),0),IFERROR(INDEX(Работы!$H$2:$H$6000,MATCH($C226,Работы!$A$2:$A$6000,0)),0))*(1-MEDIAN(0,N(ДисконтТендер),1))</f>
        <v>0</v>
      </c>
      <c r="K226" s="6">
        <f>IF(OR((LEFT($F226,3)="ДОК"),$H226=""),0,IFERROR(INDEX(Материалы!$H$2:$H$9000,MATCH($H226,Материалы!$M$2:$M$9000,0))*IF(INDEX(Материалы!$I$2:$I$9000,MATCH($H226,Материалы!$M$2:$M$9000,0))="USD",КурсUSD,IF(INDEX(Материалы!$I$2:$I$9000,MATCH($H226,Материалы!$M$2:$M$9000,0))="EUR",КурсEUR,1))*(1+IFERROR(INDEX(Работы!$I$2:$I$6000,MATCH($C226,Работы!$A$2:$A$6000,0))/100,0))*(1-MEDIAN(0,N(ДисконтТендер),1)),0))</f>
        <v>0</v>
      </c>
      <c r="L226" s="6">
        <f t="shared" si="19"/>
        <v>0</v>
      </c>
      <c r="M226" s="6">
        <f t="shared" si="20"/>
        <v>0</v>
      </c>
      <c r="N226" s="6">
        <f t="shared" si="21"/>
        <v>0</v>
      </c>
      <c r="O226" t="str">
        <f>IF($N226&gt;0,MAX($O$1:$O225)+1,"")</f>
        <v/>
      </c>
      <c r="P226" t="str">
        <f>IF($C226="","",IFERROR(INDEX(Работы!$D$2:$D$6000,MATCH($C226,Работы!$A$2:$A$6000,0)),""))</f>
        <v/>
      </c>
      <c r="Q226" t="str">
        <f t="shared" si="22"/>
        <v/>
      </c>
      <c r="R226" t="str">
        <f t="shared" si="23"/>
        <v/>
      </c>
      <c r="S226" t="str">
        <f>IF($P226="","",$P226&amp;" · "&amp;IFERROR(INDEX(Работы!$E$2:$E$6000,MATCH($C226,Работы!$A$2:$A$6000,0)),""))</f>
        <v/>
      </c>
    </row>
    <row r="227" spans="1:19" x14ac:dyDescent="0.3">
      <c r="A227" s="4"/>
      <c r="B227" s="4"/>
      <c r="C227" t="str">
        <f t="shared" si="18"/>
        <v/>
      </c>
      <c r="D227" s="5" t="str">
        <f>IF($C227="","",IF(AND(LEFT($F227,3)="ДОК",$H227&lt;&gt;""),IFERROR(INDEX(Документация!$G$2:$G$57,MATCH($H227,Документация!$F$2:$F$57,0)),"— вариант не найден —"),IFERROR(INDEX(Работы!$B$2:$B$6000,MATCH($C227,Работы!$A$2:$A$6000,0)),"— нет такого кода —")))</f>
        <v/>
      </c>
      <c r="E227" t="str">
        <f>IF($C227="","",IF(AND(LEFT($F227,3)="ДОК",$H227&lt;&gt;""),IFERROR(INDEX(Документация!$D$2:$D$57,MATCH($H227,Документация!$F$2:$F$57,0)),""),IFERROR(INDEX(Работы!$C$2:$C$6000,MATCH($C227,Работы!$A$2:$A$6000,0)),"")))</f>
        <v/>
      </c>
      <c r="F227" t="str">
        <f>IF($C227="","",IFERROR(INDEX(Работы!$G$2:$G$6000,MATCH($C227,Работы!$A$2:$A$6000,0))&amp;"",""))</f>
        <v/>
      </c>
      <c r="G227" s="4"/>
      <c r="H227" s="4"/>
      <c r="I227" s="5" t="str">
        <f>IF((LEFT($F227,3)="ДОК"),"",IF($H227="","",IFERROR(INDEX(Материалы!$B$2:$B$9000,MATCH($H227,Материалы!$M$2:$M$9000,0)),"")))</f>
        <v/>
      </c>
      <c r="J227" s="6">
        <f>IF(AND(LEFT($F227,3)="ДОК",$H227&lt;&gt;""),IFERROR(INDEX(Документация!$E$2:$E$57,MATCH($H227,Документация!$F$2:$F$57,0)),0),IFERROR(INDEX(Работы!$H$2:$H$6000,MATCH($C227,Работы!$A$2:$A$6000,0)),0))*(1-MEDIAN(0,N(ДисконтТендер),1))</f>
        <v>0</v>
      </c>
      <c r="K227" s="6">
        <f>IF(OR((LEFT($F227,3)="ДОК"),$H227=""),0,IFERROR(INDEX(Материалы!$H$2:$H$9000,MATCH($H227,Материалы!$M$2:$M$9000,0))*IF(INDEX(Материалы!$I$2:$I$9000,MATCH($H227,Материалы!$M$2:$M$9000,0))="USD",КурсUSD,IF(INDEX(Материалы!$I$2:$I$9000,MATCH($H227,Материалы!$M$2:$M$9000,0))="EUR",КурсEUR,1))*(1+IFERROR(INDEX(Работы!$I$2:$I$6000,MATCH($C227,Работы!$A$2:$A$6000,0))/100,0))*(1-MEDIAN(0,N(ДисконтТендер),1)),0))</f>
        <v>0</v>
      </c>
      <c r="L227" s="6">
        <f t="shared" si="19"/>
        <v>0</v>
      </c>
      <c r="M227" s="6">
        <f t="shared" si="20"/>
        <v>0</v>
      </c>
      <c r="N227" s="6">
        <f t="shared" si="21"/>
        <v>0</v>
      </c>
      <c r="O227" t="str">
        <f>IF($N227&gt;0,MAX($O$1:$O226)+1,"")</f>
        <v/>
      </c>
      <c r="P227" t="str">
        <f>IF($C227="","",IFERROR(INDEX(Работы!$D$2:$D$6000,MATCH($C227,Работы!$A$2:$A$6000,0)),""))</f>
        <v/>
      </c>
      <c r="Q227" t="str">
        <f t="shared" si="22"/>
        <v/>
      </c>
      <c r="R227" t="str">
        <f t="shared" si="23"/>
        <v/>
      </c>
      <c r="S227" t="str">
        <f>IF($P227="","",$P227&amp;" · "&amp;IFERROR(INDEX(Работы!$E$2:$E$6000,MATCH($C227,Работы!$A$2:$A$6000,0)),""))</f>
        <v/>
      </c>
    </row>
    <row r="228" spans="1:19" x14ac:dyDescent="0.3">
      <c r="A228" s="4"/>
      <c r="B228" s="4"/>
      <c r="C228" t="str">
        <f t="shared" si="18"/>
        <v/>
      </c>
      <c r="D228" s="5" t="str">
        <f>IF($C228="","",IF(AND(LEFT($F228,3)="ДОК",$H228&lt;&gt;""),IFERROR(INDEX(Документация!$G$2:$G$57,MATCH($H228,Документация!$F$2:$F$57,0)),"— вариант не найден —"),IFERROR(INDEX(Работы!$B$2:$B$6000,MATCH($C228,Работы!$A$2:$A$6000,0)),"— нет такого кода —")))</f>
        <v/>
      </c>
      <c r="E228" t="str">
        <f>IF($C228="","",IF(AND(LEFT($F228,3)="ДОК",$H228&lt;&gt;""),IFERROR(INDEX(Документация!$D$2:$D$57,MATCH($H228,Документация!$F$2:$F$57,0)),""),IFERROR(INDEX(Работы!$C$2:$C$6000,MATCH($C228,Работы!$A$2:$A$6000,0)),"")))</f>
        <v/>
      </c>
      <c r="F228" t="str">
        <f>IF($C228="","",IFERROR(INDEX(Работы!$G$2:$G$6000,MATCH($C228,Работы!$A$2:$A$6000,0))&amp;"",""))</f>
        <v/>
      </c>
      <c r="G228" s="4"/>
      <c r="H228" s="4"/>
      <c r="I228" s="5" t="str">
        <f>IF((LEFT($F228,3)="ДОК"),"",IF($H228="","",IFERROR(INDEX(Материалы!$B$2:$B$9000,MATCH($H228,Материалы!$M$2:$M$9000,0)),"")))</f>
        <v/>
      </c>
      <c r="J228" s="6">
        <f>IF(AND(LEFT($F228,3)="ДОК",$H228&lt;&gt;""),IFERROR(INDEX(Документация!$E$2:$E$57,MATCH($H228,Документация!$F$2:$F$57,0)),0),IFERROR(INDEX(Работы!$H$2:$H$6000,MATCH($C228,Работы!$A$2:$A$6000,0)),0))*(1-MEDIAN(0,N(ДисконтТендер),1))</f>
        <v>0</v>
      </c>
      <c r="K228" s="6">
        <f>IF(OR((LEFT($F228,3)="ДОК"),$H228=""),0,IFERROR(INDEX(Материалы!$H$2:$H$9000,MATCH($H228,Материалы!$M$2:$M$9000,0))*IF(INDEX(Материалы!$I$2:$I$9000,MATCH($H228,Материалы!$M$2:$M$9000,0))="USD",КурсUSD,IF(INDEX(Материалы!$I$2:$I$9000,MATCH($H228,Материалы!$M$2:$M$9000,0))="EUR",КурсEUR,1))*(1+IFERROR(INDEX(Работы!$I$2:$I$6000,MATCH($C228,Работы!$A$2:$A$6000,0))/100,0))*(1-MEDIAN(0,N(ДисконтТендер),1)),0))</f>
        <v>0</v>
      </c>
      <c r="L228" s="6">
        <f t="shared" si="19"/>
        <v>0</v>
      </c>
      <c r="M228" s="6">
        <f t="shared" si="20"/>
        <v>0</v>
      </c>
      <c r="N228" s="6">
        <f t="shared" si="21"/>
        <v>0</v>
      </c>
      <c r="O228" t="str">
        <f>IF($N228&gt;0,MAX($O$1:$O227)+1,"")</f>
        <v/>
      </c>
      <c r="P228" t="str">
        <f>IF($C228="","",IFERROR(INDEX(Работы!$D$2:$D$6000,MATCH($C228,Работы!$A$2:$A$6000,0)),""))</f>
        <v/>
      </c>
      <c r="Q228" t="str">
        <f t="shared" si="22"/>
        <v/>
      </c>
      <c r="R228" t="str">
        <f t="shared" si="23"/>
        <v/>
      </c>
      <c r="S228" t="str">
        <f>IF($P228="","",$P228&amp;" · "&amp;IFERROR(INDEX(Работы!$E$2:$E$6000,MATCH($C228,Работы!$A$2:$A$6000,0)),""))</f>
        <v/>
      </c>
    </row>
    <row r="229" spans="1:19" x14ac:dyDescent="0.3">
      <c r="A229" s="4"/>
      <c r="B229" s="4"/>
      <c r="C229" t="str">
        <f t="shared" si="18"/>
        <v/>
      </c>
      <c r="D229" s="5" t="str">
        <f>IF($C229="","",IF(AND(LEFT($F229,3)="ДОК",$H229&lt;&gt;""),IFERROR(INDEX(Документация!$G$2:$G$57,MATCH($H229,Документация!$F$2:$F$57,0)),"— вариант не найден —"),IFERROR(INDEX(Работы!$B$2:$B$6000,MATCH($C229,Работы!$A$2:$A$6000,0)),"— нет такого кода —")))</f>
        <v/>
      </c>
      <c r="E229" t="str">
        <f>IF($C229="","",IF(AND(LEFT($F229,3)="ДОК",$H229&lt;&gt;""),IFERROR(INDEX(Документация!$D$2:$D$57,MATCH($H229,Документация!$F$2:$F$57,0)),""),IFERROR(INDEX(Работы!$C$2:$C$6000,MATCH($C229,Работы!$A$2:$A$6000,0)),"")))</f>
        <v/>
      </c>
      <c r="F229" t="str">
        <f>IF($C229="","",IFERROR(INDEX(Работы!$G$2:$G$6000,MATCH($C229,Работы!$A$2:$A$6000,0))&amp;"",""))</f>
        <v/>
      </c>
      <c r="G229" s="4"/>
      <c r="H229" s="4"/>
      <c r="I229" s="5" t="str">
        <f>IF((LEFT($F229,3)="ДОК"),"",IF($H229="","",IFERROR(INDEX(Материалы!$B$2:$B$9000,MATCH($H229,Материалы!$M$2:$M$9000,0)),"")))</f>
        <v/>
      </c>
      <c r="J229" s="6">
        <f>IF(AND(LEFT($F229,3)="ДОК",$H229&lt;&gt;""),IFERROR(INDEX(Документация!$E$2:$E$57,MATCH($H229,Документация!$F$2:$F$57,0)),0),IFERROR(INDEX(Работы!$H$2:$H$6000,MATCH($C229,Работы!$A$2:$A$6000,0)),0))*(1-MEDIAN(0,N(ДисконтТендер),1))</f>
        <v>0</v>
      </c>
      <c r="K229" s="6">
        <f>IF(OR((LEFT($F229,3)="ДОК"),$H229=""),0,IFERROR(INDEX(Материалы!$H$2:$H$9000,MATCH($H229,Материалы!$M$2:$M$9000,0))*IF(INDEX(Материалы!$I$2:$I$9000,MATCH($H229,Материалы!$M$2:$M$9000,0))="USD",КурсUSD,IF(INDEX(Материалы!$I$2:$I$9000,MATCH($H229,Материалы!$M$2:$M$9000,0))="EUR",КурсEUR,1))*(1+IFERROR(INDEX(Работы!$I$2:$I$6000,MATCH($C229,Работы!$A$2:$A$6000,0))/100,0))*(1-MEDIAN(0,N(ДисконтТендер),1)),0))</f>
        <v>0</v>
      </c>
      <c r="L229" s="6">
        <f t="shared" si="19"/>
        <v>0</v>
      </c>
      <c r="M229" s="6">
        <f t="shared" si="20"/>
        <v>0</v>
      </c>
      <c r="N229" s="6">
        <f t="shared" si="21"/>
        <v>0</v>
      </c>
      <c r="O229" t="str">
        <f>IF($N229&gt;0,MAX($O$1:$O228)+1,"")</f>
        <v/>
      </c>
      <c r="P229" t="str">
        <f>IF($C229="","",IFERROR(INDEX(Работы!$D$2:$D$6000,MATCH($C229,Работы!$A$2:$A$6000,0)),""))</f>
        <v/>
      </c>
      <c r="Q229" t="str">
        <f t="shared" si="22"/>
        <v/>
      </c>
      <c r="R229" t="str">
        <f t="shared" si="23"/>
        <v/>
      </c>
      <c r="S229" t="str">
        <f>IF($P229="","",$P229&amp;" · "&amp;IFERROR(INDEX(Работы!$E$2:$E$6000,MATCH($C229,Работы!$A$2:$A$6000,0)),""))</f>
        <v/>
      </c>
    </row>
    <row r="230" spans="1:19" x14ac:dyDescent="0.3">
      <c r="A230" s="4"/>
      <c r="B230" s="4"/>
      <c r="C230" t="str">
        <f t="shared" si="18"/>
        <v/>
      </c>
      <c r="D230" s="5" t="str">
        <f>IF($C230="","",IF(AND(LEFT($F230,3)="ДОК",$H230&lt;&gt;""),IFERROR(INDEX(Документация!$G$2:$G$57,MATCH($H230,Документация!$F$2:$F$57,0)),"— вариант не найден —"),IFERROR(INDEX(Работы!$B$2:$B$6000,MATCH($C230,Работы!$A$2:$A$6000,0)),"— нет такого кода —")))</f>
        <v/>
      </c>
      <c r="E230" t="str">
        <f>IF($C230="","",IF(AND(LEFT($F230,3)="ДОК",$H230&lt;&gt;""),IFERROR(INDEX(Документация!$D$2:$D$57,MATCH($H230,Документация!$F$2:$F$57,0)),""),IFERROR(INDEX(Работы!$C$2:$C$6000,MATCH($C230,Работы!$A$2:$A$6000,0)),"")))</f>
        <v/>
      </c>
      <c r="F230" t="str">
        <f>IF($C230="","",IFERROR(INDEX(Работы!$G$2:$G$6000,MATCH($C230,Работы!$A$2:$A$6000,0))&amp;"",""))</f>
        <v/>
      </c>
      <c r="G230" s="4"/>
      <c r="H230" s="4"/>
      <c r="I230" s="5" t="str">
        <f>IF((LEFT($F230,3)="ДОК"),"",IF($H230="","",IFERROR(INDEX(Материалы!$B$2:$B$9000,MATCH($H230,Материалы!$M$2:$M$9000,0)),"")))</f>
        <v/>
      </c>
      <c r="J230" s="6">
        <f>IF(AND(LEFT($F230,3)="ДОК",$H230&lt;&gt;""),IFERROR(INDEX(Документация!$E$2:$E$57,MATCH($H230,Документация!$F$2:$F$57,0)),0),IFERROR(INDEX(Работы!$H$2:$H$6000,MATCH($C230,Работы!$A$2:$A$6000,0)),0))*(1-MEDIAN(0,N(ДисконтТендер),1))</f>
        <v>0</v>
      </c>
      <c r="K230" s="6">
        <f>IF(OR((LEFT($F230,3)="ДОК"),$H230=""),0,IFERROR(INDEX(Материалы!$H$2:$H$9000,MATCH($H230,Материалы!$M$2:$M$9000,0))*IF(INDEX(Материалы!$I$2:$I$9000,MATCH($H230,Материалы!$M$2:$M$9000,0))="USD",КурсUSD,IF(INDEX(Материалы!$I$2:$I$9000,MATCH($H230,Материалы!$M$2:$M$9000,0))="EUR",КурсEUR,1))*(1+IFERROR(INDEX(Работы!$I$2:$I$6000,MATCH($C230,Работы!$A$2:$A$6000,0))/100,0))*(1-MEDIAN(0,N(ДисконтТендер),1)),0))</f>
        <v>0</v>
      </c>
      <c r="L230" s="6">
        <f t="shared" si="19"/>
        <v>0</v>
      </c>
      <c r="M230" s="6">
        <f t="shared" si="20"/>
        <v>0</v>
      </c>
      <c r="N230" s="6">
        <f t="shared" si="21"/>
        <v>0</v>
      </c>
      <c r="O230" t="str">
        <f>IF($N230&gt;0,MAX($O$1:$O229)+1,"")</f>
        <v/>
      </c>
      <c r="P230" t="str">
        <f>IF($C230="","",IFERROR(INDEX(Работы!$D$2:$D$6000,MATCH($C230,Работы!$A$2:$A$6000,0)),""))</f>
        <v/>
      </c>
      <c r="Q230" t="str">
        <f t="shared" si="22"/>
        <v/>
      </c>
      <c r="R230" t="str">
        <f t="shared" si="23"/>
        <v/>
      </c>
      <c r="S230" t="str">
        <f>IF($P230="","",$P230&amp;" · "&amp;IFERROR(INDEX(Работы!$E$2:$E$6000,MATCH($C230,Работы!$A$2:$A$6000,0)),""))</f>
        <v/>
      </c>
    </row>
    <row r="231" spans="1:19" x14ac:dyDescent="0.3">
      <c r="A231" s="4"/>
      <c r="B231" s="4"/>
      <c r="C231" t="str">
        <f t="shared" si="18"/>
        <v/>
      </c>
      <c r="D231" s="5" t="str">
        <f>IF($C231="","",IF(AND(LEFT($F231,3)="ДОК",$H231&lt;&gt;""),IFERROR(INDEX(Документация!$G$2:$G$57,MATCH($H231,Документация!$F$2:$F$57,0)),"— вариант не найден —"),IFERROR(INDEX(Работы!$B$2:$B$6000,MATCH($C231,Работы!$A$2:$A$6000,0)),"— нет такого кода —")))</f>
        <v/>
      </c>
      <c r="E231" t="str">
        <f>IF($C231="","",IF(AND(LEFT($F231,3)="ДОК",$H231&lt;&gt;""),IFERROR(INDEX(Документация!$D$2:$D$57,MATCH($H231,Документация!$F$2:$F$57,0)),""),IFERROR(INDEX(Работы!$C$2:$C$6000,MATCH($C231,Работы!$A$2:$A$6000,0)),"")))</f>
        <v/>
      </c>
      <c r="F231" t="str">
        <f>IF($C231="","",IFERROR(INDEX(Работы!$G$2:$G$6000,MATCH($C231,Работы!$A$2:$A$6000,0))&amp;"",""))</f>
        <v/>
      </c>
      <c r="G231" s="4"/>
      <c r="H231" s="4"/>
      <c r="I231" s="5" t="str">
        <f>IF((LEFT($F231,3)="ДОК"),"",IF($H231="","",IFERROR(INDEX(Материалы!$B$2:$B$9000,MATCH($H231,Материалы!$M$2:$M$9000,0)),"")))</f>
        <v/>
      </c>
      <c r="J231" s="6">
        <f>IF(AND(LEFT($F231,3)="ДОК",$H231&lt;&gt;""),IFERROR(INDEX(Документация!$E$2:$E$57,MATCH($H231,Документация!$F$2:$F$57,0)),0),IFERROR(INDEX(Работы!$H$2:$H$6000,MATCH($C231,Работы!$A$2:$A$6000,0)),0))*(1-MEDIAN(0,N(ДисконтТендер),1))</f>
        <v>0</v>
      </c>
      <c r="K231" s="6">
        <f>IF(OR((LEFT($F231,3)="ДОК"),$H231=""),0,IFERROR(INDEX(Материалы!$H$2:$H$9000,MATCH($H231,Материалы!$M$2:$M$9000,0))*IF(INDEX(Материалы!$I$2:$I$9000,MATCH($H231,Материалы!$M$2:$M$9000,0))="USD",КурсUSD,IF(INDEX(Материалы!$I$2:$I$9000,MATCH($H231,Материалы!$M$2:$M$9000,0))="EUR",КурсEUR,1))*(1+IFERROR(INDEX(Работы!$I$2:$I$6000,MATCH($C231,Работы!$A$2:$A$6000,0))/100,0))*(1-MEDIAN(0,N(ДисконтТендер),1)),0))</f>
        <v>0</v>
      </c>
      <c r="L231" s="6">
        <f t="shared" si="19"/>
        <v>0</v>
      </c>
      <c r="M231" s="6">
        <f t="shared" si="20"/>
        <v>0</v>
      </c>
      <c r="N231" s="6">
        <f t="shared" si="21"/>
        <v>0</v>
      </c>
      <c r="O231" t="str">
        <f>IF($N231&gt;0,MAX($O$1:$O230)+1,"")</f>
        <v/>
      </c>
      <c r="P231" t="str">
        <f>IF($C231="","",IFERROR(INDEX(Работы!$D$2:$D$6000,MATCH($C231,Работы!$A$2:$A$6000,0)),""))</f>
        <v/>
      </c>
      <c r="Q231" t="str">
        <f t="shared" si="22"/>
        <v/>
      </c>
      <c r="R231" t="str">
        <f t="shared" si="23"/>
        <v/>
      </c>
      <c r="S231" t="str">
        <f>IF($P231="","",$P231&amp;" · "&amp;IFERROR(INDEX(Работы!$E$2:$E$6000,MATCH($C231,Работы!$A$2:$A$6000,0)),""))</f>
        <v/>
      </c>
    </row>
    <row r="232" spans="1:19" x14ac:dyDescent="0.3">
      <c r="A232" s="4"/>
      <c r="B232" s="4"/>
      <c r="C232" t="str">
        <f t="shared" si="18"/>
        <v/>
      </c>
      <c r="D232" s="5" t="str">
        <f>IF($C232="","",IF(AND(LEFT($F232,3)="ДОК",$H232&lt;&gt;""),IFERROR(INDEX(Документация!$G$2:$G$57,MATCH($H232,Документация!$F$2:$F$57,0)),"— вариант не найден —"),IFERROR(INDEX(Работы!$B$2:$B$6000,MATCH($C232,Работы!$A$2:$A$6000,0)),"— нет такого кода —")))</f>
        <v/>
      </c>
      <c r="E232" t="str">
        <f>IF($C232="","",IF(AND(LEFT($F232,3)="ДОК",$H232&lt;&gt;""),IFERROR(INDEX(Документация!$D$2:$D$57,MATCH($H232,Документация!$F$2:$F$57,0)),""),IFERROR(INDEX(Работы!$C$2:$C$6000,MATCH($C232,Работы!$A$2:$A$6000,0)),"")))</f>
        <v/>
      </c>
      <c r="F232" t="str">
        <f>IF($C232="","",IFERROR(INDEX(Работы!$G$2:$G$6000,MATCH($C232,Работы!$A$2:$A$6000,0))&amp;"",""))</f>
        <v/>
      </c>
      <c r="G232" s="4"/>
      <c r="H232" s="4"/>
      <c r="I232" s="5" t="str">
        <f>IF((LEFT($F232,3)="ДОК"),"",IF($H232="","",IFERROR(INDEX(Материалы!$B$2:$B$9000,MATCH($H232,Материалы!$M$2:$M$9000,0)),"")))</f>
        <v/>
      </c>
      <c r="J232" s="6">
        <f>IF(AND(LEFT($F232,3)="ДОК",$H232&lt;&gt;""),IFERROR(INDEX(Документация!$E$2:$E$57,MATCH($H232,Документация!$F$2:$F$57,0)),0),IFERROR(INDEX(Работы!$H$2:$H$6000,MATCH($C232,Работы!$A$2:$A$6000,0)),0))*(1-MEDIAN(0,N(ДисконтТендер),1))</f>
        <v>0</v>
      </c>
      <c r="K232" s="6">
        <f>IF(OR((LEFT($F232,3)="ДОК"),$H232=""),0,IFERROR(INDEX(Материалы!$H$2:$H$9000,MATCH($H232,Материалы!$M$2:$M$9000,0))*IF(INDEX(Материалы!$I$2:$I$9000,MATCH($H232,Материалы!$M$2:$M$9000,0))="USD",КурсUSD,IF(INDEX(Материалы!$I$2:$I$9000,MATCH($H232,Материалы!$M$2:$M$9000,0))="EUR",КурсEUR,1))*(1+IFERROR(INDEX(Работы!$I$2:$I$6000,MATCH($C232,Работы!$A$2:$A$6000,0))/100,0))*(1-MEDIAN(0,N(ДисконтТендер),1)),0))</f>
        <v>0</v>
      </c>
      <c r="L232" s="6">
        <f t="shared" si="19"/>
        <v>0</v>
      </c>
      <c r="M232" s="6">
        <f t="shared" si="20"/>
        <v>0</v>
      </c>
      <c r="N232" s="6">
        <f t="shared" si="21"/>
        <v>0</v>
      </c>
      <c r="O232" t="str">
        <f>IF($N232&gt;0,MAX($O$1:$O231)+1,"")</f>
        <v/>
      </c>
      <c r="P232" t="str">
        <f>IF($C232="","",IFERROR(INDEX(Работы!$D$2:$D$6000,MATCH($C232,Работы!$A$2:$A$6000,0)),""))</f>
        <v/>
      </c>
      <c r="Q232" t="str">
        <f t="shared" si="22"/>
        <v/>
      </c>
      <c r="R232" t="str">
        <f t="shared" si="23"/>
        <v/>
      </c>
      <c r="S232" t="str">
        <f>IF($P232="","",$P232&amp;" · "&amp;IFERROR(INDEX(Работы!$E$2:$E$6000,MATCH($C232,Работы!$A$2:$A$6000,0)),""))</f>
        <v/>
      </c>
    </row>
    <row r="233" spans="1:19" x14ac:dyDescent="0.3">
      <c r="A233" s="4"/>
      <c r="B233" s="4"/>
      <c r="C233" t="str">
        <f t="shared" si="18"/>
        <v/>
      </c>
      <c r="D233" s="5" t="str">
        <f>IF($C233="","",IF(AND(LEFT($F233,3)="ДОК",$H233&lt;&gt;""),IFERROR(INDEX(Документация!$G$2:$G$57,MATCH($H233,Документация!$F$2:$F$57,0)),"— вариант не найден —"),IFERROR(INDEX(Работы!$B$2:$B$6000,MATCH($C233,Работы!$A$2:$A$6000,0)),"— нет такого кода —")))</f>
        <v/>
      </c>
      <c r="E233" t="str">
        <f>IF($C233="","",IF(AND(LEFT($F233,3)="ДОК",$H233&lt;&gt;""),IFERROR(INDEX(Документация!$D$2:$D$57,MATCH($H233,Документация!$F$2:$F$57,0)),""),IFERROR(INDEX(Работы!$C$2:$C$6000,MATCH($C233,Работы!$A$2:$A$6000,0)),"")))</f>
        <v/>
      </c>
      <c r="F233" t="str">
        <f>IF($C233="","",IFERROR(INDEX(Работы!$G$2:$G$6000,MATCH($C233,Работы!$A$2:$A$6000,0))&amp;"",""))</f>
        <v/>
      </c>
      <c r="G233" s="4"/>
      <c r="H233" s="4"/>
      <c r="I233" s="5" t="str">
        <f>IF((LEFT($F233,3)="ДОК"),"",IF($H233="","",IFERROR(INDEX(Материалы!$B$2:$B$9000,MATCH($H233,Материалы!$M$2:$M$9000,0)),"")))</f>
        <v/>
      </c>
      <c r="J233" s="6">
        <f>IF(AND(LEFT($F233,3)="ДОК",$H233&lt;&gt;""),IFERROR(INDEX(Документация!$E$2:$E$57,MATCH($H233,Документация!$F$2:$F$57,0)),0),IFERROR(INDEX(Работы!$H$2:$H$6000,MATCH($C233,Работы!$A$2:$A$6000,0)),0))*(1-MEDIAN(0,N(ДисконтТендер),1))</f>
        <v>0</v>
      </c>
      <c r="K233" s="6">
        <f>IF(OR((LEFT($F233,3)="ДОК"),$H233=""),0,IFERROR(INDEX(Материалы!$H$2:$H$9000,MATCH($H233,Материалы!$M$2:$M$9000,0))*IF(INDEX(Материалы!$I$2:$I$9000,MATCH($H233,Материалы!$M$2:$M$9000,0))="USD",КурсUSD,IF(INDEX(Материалы!$I$2:$I$9000,MATCH($H233,Материалы!$M$2:$M$9000,0))="EUR",КурсEUR,1))*(1+IFERROR(INDEX(Работы!$I$2:$I$6000,MATCH($C233,Работы!$A$2:$A$6000,0))/100,0))*(1-MEDIAN(0,N(ДисконтТендер),1)),0))</f>
        <v>0</v>
      </c>
      <c r="L233" s="6">
        <f t="shared" si="19"/>
        <v>0</v>
      </c>
      <c r="M233" s="6">
        <f t="shared" si="20"/>
        <v>0</v>
      </c>
      <c r="N233" s="6">
        <f t="shared" si="21"/>
        <v>0</v>
      </c>
      <c r="O233" t="str">
        <f>IF($N233&gt;0,MAX($O$1:$O232)+1,"")</f>
        <v/>
      </c>
      <c r="P233" t="str">
        <f>IF($C233="","",IFERROR(INDEX(Работы!$D$2:$D$6000,MATCH($C233,Работы!$A$2:$A$6000,0)),""))</f>
        <v/>
      </c>
      <c r="Q233" t="str">
        <f t="shared" si="22"/>
        <v/>
      </c>
      <c r="R233" t="str">
        <f t="shared" si="23"/>
        <v/>
      </c>
      <c r="S233" t="str">
        <f>IF($P233="","",$P233&amp;" · "&amp;IFERROR(INDEX(Работы!$E$2:$E$6000,MATCH($C233,Работы!$A$2:$A$6000,0)),""))</f>
        <v/>
      </c>
    </row>
    <row r="234" spans="1:19" x14ac:dyDescent="0.3">
      <c r="A234" s="4"/>
      <c r="B234" s="4"/>
      <c r="C234" t="str">
        <f t="shared" si="18"/>
        <v/>
      </c>
      <c r="D234" s="5" t="str">
        <f>IF($C234="","",IF(AND(LEFT($F234,3)="ДОК",$H234&lt;&gt;""),IFERROR(INDEX(Документация!$G$2:$G$57,MATCH($H234,Документация!$F$2:$F$57,0)),"— вариант не найден —"),IFERROR(INDEX(Работы!$B$2:$B$6000,MATCH($C234,Работы!$A$2:$A$6000,0)),"— нет такого кода —")))</f>
        <v/>
      </c>
      <c r="E234" t="str">
        <f>IF($C234="","",IF(AND(LEFT($F234,3)="ДОК",$H234&lt;&gt;""),IFERROR(INDEX(Документация!$D$2:$D$57,MATCH($H234,Документация!$F$2:$F$57,0)),""),IFERROR(INDEX(Работы!$C$2:$C$6000,MATCH($C234,Работы!$A$2:$A$6000,0)),"")))</f>
        <v/>
      </c>
      <c r="F234" t="str">
        <f>IF($C234="","",IFERROR(INDEX(Работы!$G$2:$G$6000,MATCH($C234,Работы!$A$2:$A$6000,0))&amp;"",""))</f>
        <v/>
      </c>
      <c r="G234" s="4"/>
      <c r="H234" s="4"/>
      <c r="I234" s="5" t="str">
        <f>IF((LEFT($F234,3)="ДОК"),"",IF($H234="","",IFERROR(INDEX(Материалы!$B$2:$B$9000,MATCH($H234,Материалы!$M$2:$M$9000,0)),"")))</f>
        <v/>
      </c>
      <c r="J234" s="6">
        <f>IF(AND(LEFT($F234,3)="ДОК",$H234&lt;&gt;""),IFERROR(INDEX(Документация!$E$2:$E$57,MATCH($H234,Документация!$F$2:$F$57,0)),0),IFERROR(INDEX(Работы!$H$2:$H$6000,MATCH($C234,Работы!$A$2:$A$6000,0)),0))*(1-MEDIAN(0,N(ДисконтТендер),1))</f>
        <v>0</v>
      </c>
      <c r="K234" s="6">
        <f>IF(OR((LEFT($F234,3)="ДОК"),$H234=""),0,IFERROR(INDEX(Материалы!$H$2:$H$9000,MATCH($H234,Материалы!$M$2:$M$9000,0))*IF(INDEX(Материалы!$I$2:$I$9000,MATCH($H234,Материалы!$M$2:$M$9000,0))="USD",КурсUSD,IF(INDEX(Материалы!$I$2:$I$9000,MATCH($H234,Материалы!$M$2:$M$9000,0))="EUR",КурсEUR,1))*(1+IFERROR(INDEX(Работы!$I$2:$I$6000,MATCH($C234,Работы!$A$2:$A$6000,0))/100,0))*(1-MEDIAN(0,N(ДисконтТендер),1)),0))</f>
        <v>0</v>
      </c>
      <c r="L234" s="6">
        <f t="shared" si="19"/>
        <v>0</v>
      </c>
      <c r="M234" s="6">
        <f t="shared" si="20"/>
        <v>0</v>
      </c>
      <c r="N234" s="6">
        <f t="shared" si="21"/>
        <v>0</v>
      </c>
      <c r="O234" t="str">
        <f>IF($N234&gt;0,MAX($O$1:$O233)+1,"")</f>
        <v/>
      </c>
      <c r="P234" t="str">
        <f>IF($C234="","",IFERROR(INDEX(Работы!$D$2:$D$6000,MATCH($C234,Работы!$A$2:$A$6000,0)),""))</f>
        <v/>
      </c>
      <c r="Q234" t="str">
        <f t="shared" si="22"/>
        <v/>
      </c>
      <c r="R234" t="str">
        <f t="shared" si="23"/>
        <v/>
      </c>
      <c r="S234" t="str">
        <f>IF($P234="","",$P234&amp;" · "&amp;IFERROR(INDEX(Работы!$E$2:$E$6000,MATCH($C234,Работы!$A$2:$A$6000,0)),""))</f>
        <v/>
      </c>
    </row>
    <row r="235" spans="1:19" x14ac:dyDescent="0.3">
      <c r="A235" s="4"/>
      <c r="B235" s="4"/>
      <c r="C235" t="str">
        <f t="shared" si="18"/>
        <v/>
      </c>
      <c r="D235" s="5" t="str">
        <f>IF($C235="","",IF(AND(LEFT($F235,3)="ДОК",$H235&lt;&gt;""),IFERROR(INDEX(Документация!$G$2:$G$57,MATCH($H235,Документация!$F$2:$F$57,0)),"— вариант не найден —"),IFERROR(INDEX(Работы!$B$2:$B$6000,MATCH($C235,Работы!$A$2:$A$6000,0)),"— нет такого кода —")))</f>
        <v/>
      </c>
      <c r="E235" t="str">
        <f>IF($C235="","",IF(AND(LEFT($F235,3)="ДОК",$H235&lt;&gt;""),IFERROR(INDEX(Документация!$D$2:$D$57,MATCH($H235,Документация!$F$2:$F$57,0)),""),IFERROR(INDEX(Работы!$C$2:$C$6000,MATCH($C235,Работы!$A$2:$A$6000,0)),"")))</f>
        <v/>
      </c>
      <c r="F235" t="str">
        <f>IF($C235="","",IFERROR(INDEX(Работы!$G$2:$G$6000,MATCH($C235,Работы!$A$2:$A$6000,0))&amp;"",""))</f>
        <v/>
      </c>
      <c r="G235" s="4"/>
      <c r="H235" s="4"/>
      <c r="I235" s="5" t="str">
        <f>IF((LEFT($F235,3)="ДОК"),"",IF($H235="","",IFERROR(INDEX(Материалы!$B$2:$B$9000,MATCH($H235,Материалы!$M$2:$M$9000,0)),"")))</f>
        <v/>
      </c>
      <c r="J235" s="6">
        <f>IF(AND(LEFT($F235,3)="ДОК",$H235&lt;&gt;""),IFERROR(INDEX(Документация!$E$2:$E$57,MATCH($H235,Документация!$F$2:$F$57,0)),0),IFERROR(INDEX(Работы!$H$2:$H$6000,MATCH($C235,Работы!$A$2:$A$6000,0)),0))*(1-MEDIAN(0,N(ДисконтТендер),1))</f>
        <v>0</v>
      </c>
      <c r="K235" s="6">
        <f>IF(OR((LEFT($F235,3)="ДОК"),$H235=""),0,IFERROR(INDEX(Материалы!$H$2:$H$9000,MATCH($H235,Материалы!$M$2:$M$9000,0))*IF(INDEX(Материалы!$I$2:$I$9000,MATCH($H235,Материалы!$M$2:$M$9000,0))="USD",КурсUSD,IF(INDEX(Материалы!$I$2:$I$9000,MATCH($H235,Материалы!$M$2:$M$9000,0))="EUR",КурсEUR,1))*(1+IFERROR(INDEX(Работы!$I$2:$I$6000,MATCH($C235,Работы!$A$2:$A$6000,0))/100,0))*(1-MEDIAN(0,N(ДисконтТендер),1)),0))</f>
        <v>0</v>
      </c>
      <c r="L235" s="6">
        <f t="shared" si="19"/>
        <v>0</v>
      </c>
      <c r="M235" s="6">
        <f t="shared" si="20"/>
        <v>0</v>
      </c>
      <c r="N235" s="6">
        <f t="shared" si="21"/>
        <v>0</v>
      </c>
      <c r="O235" t="str">
        <f>IF($N235&gt;0,MAX($O$1:$O234)+1,"")</f>
        <v/>
      </c>
      <c r="P235" t="str">
        <f>IF($C235="","",IFERROR(INDEX(Работы!$D$2:$D$6000,MATCH($C235,Работы!$A$2:$A$6000,0)),""))</f>
        <v/>
      </c>
      <c r="Q235" t="str">
        <f t="shared" si="22"/>
        <v/>
      </c>
      <c r="R235" t="str">
        <f t="shared" si="23"/>
        <v/>
      </c>
      <c r="S235" t="str">
        <f>IF($P235="","",$P235&amp;" · "&amp;IFERROR(INDEX(Работы!$E$2:$E$6000,MATCH($C235,Работы!$A$2:$A$6000,0)),""))</f>
        <v/>
      </c>
    </row>
    <row r="236" spans="1:19" x14ac:dyDescent="0.3">
      <c r="A236" s="4"/>
      <c r="B236" s="4"/>
      <c r="C236" t="str">
        <f t="shared" si="18"/>
        <v/>
      </c>
      <c r="D236" s="5" t="str">
        <f>IF($C236="","",IF(AND(LEFT($F236,3)="ДОК",$H236&lt;&gt;""),IFERROR(INDEX(Документация!$G$2:$G$57,MATCH($H236,Документация!$F$2:$F$57,0)),"— вариант не найден —"),IFERROR(INDEX(Работы!$B$2:$B$6000,MATCH($C236,Работы!$A$2:$A$6000,0)),"— нет такого кода —")))</f>
        <v/>
      </c>
      <c r="E236" t="str">
        <f>IF($C236="","",IF(AND(LEFT($F236,3)="ДОК",$H236&lt;&gt;""),IFERROR(INDEX(Документация!$D$2:$D$57,MATCH($H236,Документация!$F$2:$F$57,0)),""),IFERROR(INDEX(Работы!$C$2:$C$6000,MATCH($C236,Работы!$A$2:$A$6000,0)),"")))</f>
        <v/>
      </c>
      <c r="F236" t="str">
        <f>IF($C236="","",IFERROR(INDEX(Работы!$G$2:$G$6000,MATCH($C236,Работы!$A$2:$A$6000,0))&amp;"",""))</f>
        <v/>
      </c>
      <c r="G236" s="4"/>
      <c r="H236" s="4"/>
      <c r="I236" s="5" t="str">
        <f>IF((LEFT($F236,3)="ДОК"),"",IF($H236="","",IFERROR(INDEX(Материалы!$B$2:$B$9000,MATCH($H236,Материалы!$M$2:$M$9000,0)),"")))</f>
        <v/>
      </c>
      <c r="J236" s="6">
        <f>IF(AND(LEFT($F236,3)="ДОК",$H236&lt;&gt;""),IFERROR(INDEX(Документация!$E$2:$E$57,MATCH($H236,Документация!$F$2:$F$57,0)),0),IFERROR(INDEX(Работы!$H$2:$H$6000,MATCH($C236,Работы!$A$2:$A$6000,0)),0))*(1-MEDIAN(0,N(ДисконтТендер),1))</f>
        <v>0</v>
      </c>
      <c r="K236" s="6">
        <f>IF(OR((LEFT($F236,3)="ДОК"),$H236=""),0,IFERROR(INDEX(Материалы!$H$2:$H$9000,MATCH($H236,Материалы!$M$2:$M$9000,0))*IF(INDEX(Материалы!$I$2:$I$9000,MATCH($H236,Материалы!$M$2:$M$9000,0))="USD",КурсUSD,IF(INDEX(Материалы!$I$2:$I$9000,MATCH($H236,Материалы!$M$2:$M$9000,0))="EUR",КурсEUR,1))*(1+IFERROR(INDEX(Работы!$I$2:$I$6000,MATCH($C236,Работы!$A$2:$A$6000,0))/100,0))*(1-MEDIAN(0,N(ДисконтТендер),1)),0))</f>
        <v>0</v>
      </c>
      <c r="L236" s="6">
        <f t="shared" si="19"/>
        <v>0</v>
      </c>
      <c r="M236" s="6">
        <f t="shared" si="20"/>
        <v>0</v>
      </c>
      <c r="N236" s="6">
        <f t="shared" si="21"/>
        <v>0</v>
      </c>
      <c r="O236" t="str">
        <f>IF($N236&gt;0,MAX($O$1:$O235)+1,"")</f>
        <v/>
      </c>
      <c r="P236" t="str">
        <f>IF($C236="","",IFERROR(INDEX(Работы!$D$2:$D$6000,MATCH($C236,Работы!$A$2:$A$6000,0)),""))</f>
        <v/>
      </c>
      <c r="Q236" t="str">
        <f t="shared" si="22"/>
        <v/>
      </c>
      <c r="R236" t="str">
        <f t="shared" si="23"/>
        <v/>
      </c>
      <c r="S236" t="str">
        <f>IF($P236="","",$P236&amp;" · "&amp;IFERROR(INDEX(Работы!$E$2:$E$6000,MATCH($C236,Работы!$A$2:$A$6000,0)),""))</f>
        <v/>
      </c>
    </row>
    <row r="237" spans="1:19" x14ac:dyDescent="0.3">
      <c r="A237" s="4"/>
      <c r="B237" s="4"/>
      <c r="C237" t="str">
        <f t="shared" si="18"/>
        <v/>
      </c>
      <c r="D237" s="5" t="str">
        <f>IF($C237="","",IF(AND(LEFT($F237,3)="ДОК",$H237&lt;&gt;""),IFERROR(INDEX(Документация!$G$2:$G$57,MATCH($H237,Документация!$F$2:$F$57,0)),"— вариант не найден —"),IFERROR(INDEX(Работы!$B$2:$B$6000,MATCH($C237,Работы!$A$2:$A$6000,0)),"— нет такого кода —")))</f>
        <v/>
      </c>
      <c r="E237" t="str">
        <f>IF($C237="","",IF(AND(LEFT($F237,3)="ДОК",$H237&lt;&gt;""),IFERROR(INDEX(Документация!$D$2:$D$57,MATCH($H237,Документация!$F$2:$F$57,0)),""),IFERROR(INDEX(Работы!$C$2:$C$6000,MATCH($C237,Работы!$A$2:$A$6000,0)),"")))</f>
        <v/>
      </c>
      <c r="F237" t="str">
        <f>IF($C237="","",IFERROR(INDEX(Работы!$G$2:$G$6000,MATCH($C237,Работы!$A$2:$A$6000,0))&amp;"",""))</f>
        <v/>
      </c>
      <c r="G237" s="4"/>
      <c r="H237" s="4"/>
      <c r="I237" s="5" t="str">
        <f>IF((LEFT($F237,3)="ДОК"),"",IF($H237="","",IFERROR(INDEX(Материалы!$B$2:$B$9000,MATCH($H237,Материалы!$M$2:$M$9000,0)),"")))</f>
        <v/>
      </c>
      <c r="J237" s="6">
        <f>IF(AND(LEFT($F237,3)="ДОК",$H237&lt;&gt;""),IFERROR(INDEX(Документация!$E$2:$E$57,MATCH($H237,Документация!$F$2:$F$57,0)),0),IFERROR(INDEX(Работы!$H$2:$H$6000,MATCH($C237,Работы!$A$2:$A$6000,0)),0))*(1-MEDIAN(0,N(ДисконтТендер),1))</f>
        <v>0</v>
      </c>
      <c r="K237" s="6">
        <f>IF(OR((LEFT($F237,3)="ДОК"),$H237=""),0,IFERROR(INDEX(Материалы!$H$2:$H$9000,MATCH($H237,Материалы!$M$2:$M$9000,0))*IF(INDEX(Материалы!$I$2:$I$9000,MATCH($H237,Материалы!$M$2:$M$9000,0))="USD",КурсUSD,IF(INDEX(Материалы!$I$2:$I$9000,MATCH($H237,Материалы!$M$2:$M$9000,0))="EUR",КурсEUR,1))*(1+IFERROR(INDEX(Работы!$I$2:$I$6000,MATCH($C237,Работы!$A$2:$A$6000,0))/100,0))*(1-MEDIAN(0,N(ДисконтТендер),1)),0))</f>
        <v>0</v>
      </c>
      <c r="L237" s="6">
        <f t="shared" si="19"/>
        <v>0</v>
      </c>
      <c r="M237" s="6">
        <f t="shared" si="20"/>
        <v>0</v>
      </c>
      <c r="N237" s="6">
        <f t="shared" si="21"/>
        <v>0</v>
      </c>
      <c r="O237" t="str">
        <f>IF($N237&gt;0,MAX($O$1:$O236)+1,"")</f>
        <v/>
      </c>
      <c r="P237" t="str">
        <f>IF($C237="","",IFERROR(INDEX(Работы!$D$2:$D$6000,MATCH($C237,Работы!$A$2:$A$6000,0)),""))</f>
        <v/>
      </c>
      <c r="Q237" t="str">
        <f t="shared" si="22"/>
        <v/>
      </c>
      <c r="R237" t="str">
        <f t="shared" si="23"/>
        <v/>
      </c>
      <c r="S237" t="str">
        <f>IF($P237="","",$P237&amp;" · "&amp;IFERROR(INDEX(Работы!$E$2:$E$6000,MATCH($C237,Работы!$A$2:$A$6000,0)),""))</f>
        <v/>
      </c>
    </row>
    <row r="238" spans="1:19" x14ac:dyDescent="0.3">
      <c r="A238" s="4"/>
      <c r="B238" s="4"/>
      <c r="C238" t="str">
        <f t="shared" si="18"/>
        <v/>
      </c>
      <c r="D238" s="5" t="str">
        <f>IF($C238="","",IF(AND(LEFT($F238,3)="ДОК",$H238&lt;&gt;""),IFERROR(INDEX(Документация!$G$2:$G$57,MATCH($H238,Документация!$F$2:$F$57,0)),"— вариант не найден —"),IFERROR(INDEX(Работы!$B$2:$B$6000,MATCH($C238,Работы!$A$2:$A$6000,0)),"— нет такого кода —")))</f>
        <v/>
      </c>
      <c r="E238" t="str">
        <f>IF($C238="","",IF(AND(LEFT($F238,3)="ДОК",$H238&lt;&gt;""),IFERROR(INDEX(Документация!$D$2:$D$57,MATCH($H238,Документация!$F$2:$F$57,0)),""),IFERROR(INDEX(Работы!$C$2:$C$6000,MATCH($C238,Работы!$A$2:$A$6000,0)),"")))</f>
        <v/>
      </c>
      <c r="F238" t="str">
        <f>IF($C238="","",IFERROR(INDEX(Работы!$G$2:$G$6000,MATCH($C238,Работы!$A$2:$A$6000,0))&amp;"",""))</f>
        <v/>
      </c>
      <c r="G238" s="4"/>
      <c r="H238" s="4"/>
      <c r="I238" s="5" t="str">
        <f>IF((LEFT($F238,3)="ДОК"),"",IF($H238="","",IFERROR(INDEX(Материалы!$B$2:$B$9000,MATCH($H238,Материалы!$M$2:$M$9000,0)),"")))</f>
        <v/>
      </c>
      <c r="J238" s="6">
        <f>IF(AND(LEFT($F238,3)="ДОК",$H238&lt;&gt;""),IFERROR(INDEX(Документация!$E$2:$E$57,MATCH($H238,Документация!$F$2:$F$57,0)),0),IFERROR(INDEX(Работы!$H$2:$H$6000,MATCH($C238,Работы!$A$2:$A$6000,0)),0))*(1-MEDIAN(0,N(ДисконтТендер),1))</f>
        <v>0</v>
      </c>
      <c r="K238" s="6">
        <f>IF(OR((LEFT($F238,3)="ДОК"),$H238=""),0,IFERROR(INDEX(Материалы!$H$2:$H$9000,MATCH($H238,Материалы!$M$2:$M$9000,0))*IF(INDEX(Материалы!$I$2:$I$9000,MATCH($H238,Материалы!$M$2:$M$9000,0))="USD",КурсUSD,IF(INDEX(Материалы!$I$2:$I$9000,MATCH($H238,Материалы!$M$2:$M$9000,0))="EUR",КурсEUR,1))*(1+IFERROR(INDEX(Работы!$I$2:$I$6000,MATCH($C238,Работы!$A$2:$A$6000,0))/100,0))*(1-MEDIAN(0,N(ДисконтТендер),1)),0))</f>
        <v>0</v>
      </c>
      <c r="L238" s="6">
        <f t="shared" si="19"/>
        <v>0</v>
      </c>
      <c r="M238" s="6">
        <f t="shared" si="20"/>
        <v>0</v>
      </c>
      <c r="N238" s="6">
        <f t="shared" si="21"/>
        <v>0</v>
      </c>
      <c r="O238" t="str">
        <f>IF($N238&gt;0,MAX($O$1:$O237)+1,"")</f>
        <v/>
      </c>
      <c r="P238" t="str">
        <f>IF($C238="","",IFERROR(INDEX(Работы!$D$2:$D$6000,MATCH($C238,Работы!$A$2:$A$6000,0)),""))</f>
        <v/>
      </c>
      <c r="Q238" t="str">
        <f t="shared" si="22"/>
        <v/>
      </c>
      <c r="R238" t="str">
        <f t="shared" si="23"/>
        <v/>
      </c>
      <c r="S238" t="str">
        <f>IF($P238="","",$P238&amp;" · "&amp;IFERROR(INDEX(Работы!$E$2:$E$6000,MATCH($C238,Работы!$A$2:$A$6000,0)),""))</f>
        <v/>
      </c>
    </row>
    <row r="239" spans="1:19" x14ac:dyDescent="0.3">
      <c r="A239" s="4"/>
      <c r="B239" s="4"/>
      <c r="C239" t="str">
        <f t="shared" si="18"/>
        <v/>
      </c>
      <c r="D239" s="5" t="str">
        <f>IF($C239="","",IF(AND(LEFT($F239,3)="ДОК",$H239&lt;&gt;""),IFERROR(INDEX(Документация!$G$2:$G$57,MATCH($H239,Документация!$F$2:$F$57,0)),"— вариант не найден —"),IFERROR(INDEX(Работы!$B$2:$B$6000,MATCH($C239,Работы!$A$2:$A$6000,0)),"— нет такого кода —")))</f>
        <v/>
      </c>
      <c r="E239" t="str">
        <f>IF($C239="","",IF(AND(LEFT($F239,3)="ДОК",$H239&lt;&gt;""),IFERROR(INDEX(Документация!$D$2:$D$57,MATCH($H239,Документация!$F$2:$F$57,0)),""),IFERROR(INDEX(Работы!$C$2:$C$6000,MATCH($C239,Работы!$A$2:$A$6000,0)),"")))</f>
        <v/>
      </c>
      <c r="F239" t="str">
        <f>IF($C239="","",IFERROR(INDEX(Работы!$G$2:$G$6000,MATCH($C239,Работы!$A$2:$A$6000,0))&amp;"",""))</f>
        <v/>
      </c>
      <c r="G239" s="4"/>
      <c r="H239" s="4"/>
      <c r="I239" s="5" t="str">
        <f>IF((LEFT($F239,3)="ДОК"),"",IF($H239="","",IFERROR(INDEX(Материалы!$B$2:$B$9000,MATCH($H239,Материалы!$M$2:$M$9000,0)),"")))</f>
        <v/>
      </c>
      <c r="J239" s="6">
        <f>IF(AND(LEFT($F239,3)="ДОК",$H239&lt;&gt;""),IFERROR(INDEX(Документация!$E$2:$E$57,MATCH($H239,Документация!$F$2:$F$57,0)),0),IFERROR(INDEX(Работы!$H$2:$H$6000,MATCH($C239,Работы!$A$2:$A$6000,0)),0))*(1-MEDIAN(0,N(ДисконтТендер),1))</f>
        <v>0</v>
      </c>
      <c r="K239" s="6">
        <f>IF(OR((LEFT($F239,3)="ДОК"),$H239=""),0,IFERROR(INDEX(Материалы!$H$2:$H$9000,MATCH($H239,Материалы!$M$2:$M$9000,0))*IF(INDEX(Материалы!$I$2:$I$9000,MATCH($H239,Материалы!$M$2:$M$9000,0))="USD",КурсUSD,IF(INDEX(Материалы!$I$2:$I$9000,MATCH($H239,Материалы!$M$2:$M$9000,0))="EUR",КурсEUR,1))*(1+IFERROR(INDEX(Работы!$I$2:$I$6000,MATCH($C239,Работы!$A$2:$A$6000,0))/100,0))*(1-MEDIAN(0,N(ДисконтТендер),1)),0))</f>
        <v>0</v>
      </c>
      <c r="L239" s="6">
        <f t="shared" si="19"/>
        <v>0</v>
      </c>
      <c r="M239" s="6">
        <f t="shared" si="20"/>
        <v>0</v>
      </c>
      <c r="N239" s="6">
        <f t="shared" si="21"/>
        <v>0</v>
      </c>
      <c r="O239" t="str">
        <f>IF($N239&gt;0,MAX($O$1:$O238)+1,"")</f>
        <v/>
      </c>
      <c r="P239" t="str">
        <f>IF($C239="","",IFERROR(INDEX(Работы!$D$2:$D$6000,MATCH($C239,Работы!$A$2:$A$6000,0)),""))</f>
        <v/>
      </c>
      <c r="Q239" t="str">
        <f t="shared" si="22"/>
        <v/>
      </c>
      <c r="R239" t="str">
        <f t="shared" si="23"/>
        <v/>
      </c>
      <c r="S239" t="str">
        <f>IF($P239="","",$P239&amp;" · "&amp;IFERROR(INDEX(Работы!$E$2:$E$6000,MATCH($C239,Работы!$A$2:$A$6000,0)),""))</f>
        <v/>
      </c>
    </row>
    <row r="240" spans="1:19" x14ac:dyDescent="0.3">
      <c r="A240" s="4"/>
      <c r="B240" s="4"/>
      <c r="C240" t="str">
        <f t="shared" si="18"/>
        <v/>
      </c>
      <c r="D240" s="5" t="str">
        <f>IF($C240="","",IF(AND(LEFT($F240,3)="ДОК",$H240&lt;&gt;""),IFERROR(INDEX(Документация!$G$2:$G$57,MATCH($H240,Документация!$F$2:$F$57,0)),"— вариант не найден —"),IFERROR(INDEX(Работы!$B$2:$B$6000,MATCH($C240,Работы!$A$2:$A$6000,0)),"— нет такого кода —")))</f>
        <v/>
      </c>
      <c r="E240" t="str">
        <f>IF($C240="","",IF(AND(LEFT($F240,3)="ДОК",$H240&lt;&gt;""),IFERROR(INDEX(Документация!$D$2:$D$57,MATCH($H240,Документация!$F$2:$F$57,0)),""),IFERROR(INDEX(Работы!$C$2:$C$6000,MATCH($C240,Работы!$A$2:$A$6000,0)),"")))</f>
        <v/>
      </c>
      <c r="F240" t="str">
        <f>IF($C240="","",IFERROR(INDEX(Работы!$G$2:$G$6000,MATCH($C240,Работы!$A$2:$A$6000,0))&amp;"",""))</f>
        <v/>
      </c>
      <c r="G240" s="4"/>
      <c r="H240" s="4"/>
      <c r="I240" s="5" t="str">
        <f>IF((LEFT($F240,3)="ДОК"),"",IF($H240="","",IFERROR(INDEX(Материалы!$B$2:$B$9000,MATCH($H240,Материалы!$M$2:$M$9000,0)),"")))</f>
        <v/>
      </c>
      <c r="J240" s="6">
        <f>IF(AND(LEFT($F240,3)="ДОК",$H240&lt;&gt;""),IFERROR(INDEX(Документация!$E$2:$E$57,MATCH($H240,Документация!$F$2:$F$57,0)),0),IFERROR(INDEX(Работы!$H$2:$H$6000,MATCH($C240,Работы!$A$2:$A$6000,0)),0))*(1-MEDIAN(0,N(ДисконтТендер),1))</f>
        <v>0</v>
      </c>
      <c r="K240" s="6">
        <f>IF(OR((LEFT($F240,3)="ДОК"),$H240=""),0,IFERROR(INDEX(Материалы!$H$2:$H$9000,MATCH($H240,Материалы!$M$2:$M$9000,0))*IF(INDEX(Материалы!$I$2:$I$9000,MATCH($H240,Материалы!$M$2:$M$9000,0))="USD",КурсUSD,IF(INDEX(Материалы!$I$2:$I$9000,MATCH($H240,Материалы!$M$2:$M$9000,0))="EUR",КурсEUR,1))*(1+IFERROR(INDEX(Работы!$I$2:$I$6000,MATCH($C240,Работы!$A$2:$A$6000,0))/100,0))*(1-MEDIAN(0,N(ДисконтТендер),1)),0))</f>
        <v>0</v>
      </c>
      <c r="L240" s="6">
        <f t="shared" si="19"/>
        <v>0</v>
      </c>
      <c r="M240" s="6">
        <f t="shared" si="20"/>
        <v>0</v>
      </c>
      <c r="N240" s="6">
        <f t="shared" si="21"/>
        <v>0</v>
      </c>
      <c r="O240" t="str">
        <f>IF($N240&gt;0,MAX($O$1:$O239)+1,"")</f>
        <v/>
      </c>
      <c r="P240" t="str">
        <f>IF($C240="","",IFERROR(INDEX(Работы!$D$2:$D$6000,MATCH($C240,Работы!$A$2:$A$6000,0)),""))</f>
        <v/>
      </c>
      <c r="Q240" t="str">
        <f t="shared" si="22"/>
        <v/>
      </c>
      <c r="R240" t="str">
        <f t="shared" si="23"/>
        <v/>
      </c>
      <c r="S240" t="str">
        <f>IF($P240="","",$P240&amp;" · "&amp;IFERROR(INDEX(Работы!$E$2:$E$6000,MATCH($C240,Работы!$A$2:$A$6000,0)),""))</f>
        <v/>
      </c>
    </row>
    <row r="241" spans="1:19" x14ac:dyDescent="0.3">
      <c r="A241" s="4"/>
      <c r="B241" s="4"/>
      <c r="C241" t="str">
        <f t="shared" si="18"/>
        <v/>
      </c>
      <c r="D241" s="5" t="str">
        <f>IF($C241="","",IF(AND(LEFT($F241,3)="ДОК",$H241&lt;&gt;""),IFERROR(INDEX(Документация!$G$2:$G$57,MATCH($H241,Документация!$F$2:$F$57,0)),"— вариант не найден —"),IFERROR(INDEX(Работы!$B$2:$B$6000,MATCH($C241,Работы!$A$2:$A$6000,0)),"— нет такого кода —")))</f>
        <v/>
      </c>
      <c r="E241" t="str">
        <f>IF($C241="","",IF(AND(LEFT($F241,3)="ДОК",$H241&lt;&gt;""),IFERROR(INDEX(Документация!$D$2:$D$57,MATCH($H241,Документация!$F$2:$F$57,0)),""),IFERROR(INDEX(Работы!$C$2:$C$6000,MATCH($C241,Работы!$A$2:$A$6000,0)),"")))</f>
        <v/>
      </c>
      <c r="F241" t="str">
        <f>IF($C241="","",IFERROR(INDEX(Работы!$G$2:$G$6000,MATCH($C241,Работы!$A$2:$A$6000,0))&amp;"",""))</f>
        <v/>
      </c>
      <c r="G241" s="4"/>
      <c r="H241" s="4"/>
      <c r="I241" s="5" t="str">
        <f>IF((LEFT($F241,3)="ДОК"),"",IF($H241="","",IFERROR(INDEX(Материалы!$B$2:$B$9000,MATCH($H241,Материалы!$M$2:$M$9000,0)),"")))</f>
        <v/>
      </c>
      <c r="J241" s="6">
        <f>IF(AND(LEFT($F241,3)="ДОК",$H241&lt;&gt;""),IFERROR(INDEX(Документация!$E$2:$E$57,MATCH($H241,Документация!$F$2:$F$57,0)),0),IFERROR(INDEX(Работы!$H$2:$H$6000,MATCH($C241,Работы!$A$2:$A$6000,0)),0))*(1-MEDIAN(0,N(ДисконтТендер),1))</f>
        <v>0</v>
      </c>
      <c r="K241" s="6">
        <f>IF(OR((LEFT($F241,3)="ДОК"),$H241=""),0,IFERROR(INDEX(Материалы!$H$2:$H$9000,MATCH($H241,Материалы!$M$2:$M$9000,0))*IF(INDEX(Материалы!$I$2:$I$9000,MATCH($H241,Материалы!$M$2:$M$9000,0))="USD",КурсUSD,IF(INDEX(Материалы!$I$2:$I$9000,MATCH($H241,Материалы!$M$2:$M$9000,0))="EUR",КурсEUR,1))*(1+IFERROR(INDEX(Работы!$I$2:$I$6000,MATCH($C241,Работы!$A$2:$A$6000,0))/100,0))*(1-MEDIAN(0,N(ДисконтТендер),1)),0))</f>
        <v>0</v>
      </c>
      <c r="L241" s="6">
        <f t="shared" si="19"/>
        <v>0</v>
      </c>
      <c r="M241" s="6">
        <f t="shared" si="20"/>
        <v>0</v>
      </c>
      <c r="N241" s="6">
        <f t="shared" si="21"/>
        <v>0</v>
      </c>
      <c r="O241" t="str">
        <f>IF($N241&gt;0,MAX($O$1:$O240)+1,"")</f>
        <v/>
      </c>
      <c r="P241" t="str">
        <f>IF($C241="","",IFERROR(INDEX(Работы!$D$2:$D$6000,MATCH($C241,Работы!$A$2:$A$6000,0)),""))</f>
        <v/>
      </c>
      <c r="Q241" t="str">
        <f t="shared" si="22"/>
        <v/>
      </c>
      <c r="R241" t="str">
        <f t="shared" si="23"/>
        <v/>
      </c>
      <c r="S241" t="str">
        <f>IF($P241="","",$P241&amp;" · "&amp;IFERROR(INDEX(Работы!$E$2:$E$6000,MATCH($C241,Работы!$A$2:$A$6000,0)),""))</f>
        <v/>
      </c>
    </row>
    <row r="242" spans="1:19" x14ac:dyDescent="0.3">
      <c r="A242" s="4"/>
      <c r="B242" s="4"/>
      <c r="C242" t="str">
        <f t="shared" si="18"/>
        <v/>
      </c>
      <c r="D242" s="5" t="str">
        <f>IF($C242="","",IF(AND(LEFT($F242,3)="ДОК",$H242&lt;&gt;""),IFERROR(INDEX(Документация!$G$2:$G$57,MATCH($H242,Документация!$F$2:$F$57,0)),"— вариант не найден —"),IFERROR(INDEX(Работы!$B$2:$B$6000,MATCH($C242,Работы!$A$2:$A$6000,0)),"— нет такого кода —")))</f>
        <v/>
      </c>
      <c r="E242" t="str">
        <f>IF($C242="","",IF(AND(LEFT($F242,3)="ДОК",$H242&lt;&gt;""),IFERROR(INDEX(Документация!$D$2:$D$57,MATCH($H242,Документация!$F$2:$F$57,0)),""),IFERROR(INDEX(Работы!$C$2:$C$6000,MATCH($C242,Работы!$A$2:$A$6000,0)),"")))</f>
        <v/>
      </c>
      <c r="F242" t="str">
        <f>IF($C242="","",IFERROR(INDEX(Работы!$G$2:$G$6000,MATCH($C242,Работы!$A$2:$A$6000,0))&amp;"",""))</f>
        <v/>
      </c>
      <c r="G242" s="4"/>
      <c r="H242" s="4"/>
      <c r="I242" s="5" t="str">
        <f>IF((LEFT($F242,3)="ДОК"),"",IF($H242="","",IFERROR(INDEX(Материалы!$B$2:$B$9000,MATCH($H242,Материалы!$M$2:$M$9000,0)),"")))</f>
        <v/>
      </c>
      <c r="J242" s="6">
        <f>IF(AND(LEFT($F242,3)="ДОК",$H242&lt;&gt;""),IFERROR(INDEX(Документация!$E$2:$E$57,MATCH($H242,Документация!$F$2:$F$57,0)),0),IFERROR(INDEX(Работы!$H$2:$H$6000,MATCH($C242,Работы!$A$2:$A$6000,0)),0))*(1-MEDIAN(0,N(ДисконтТендер),1))</f>
        <v>0</v>
      </c>
      <c r="K242" s="6">
        <f>IF(OR((LEFT($F242,3)="ДОК"),$H242=""),0,IFERROR(INDEX(Материалы!$H$2:$H$9000,MATCH($H242,Материалы!$M$2:$M$9000,0))*IF(INDEX(Материалы!$I$2:$I$9000,MATCH($H242,Материалы!$M$2:$M$9000,0))="USD",КурсUSD,IF(INDEX(Материалы!$I$2:$I$9000,MATCH($H242,Материалы!$M$2:$M$9000,0))="EUR",КурсEUR,1))*(1+IFERROR(INDEX(Работы!$I$2:$I$6000,MATCH($C242,Работы!$A$2:$A$6000,0))/100,0))*(1-MEDIAN(0,N(ДисконтТендер),1)),0))</f>
        <v>0</v>
      </c>
      <c r="L242" s="6">
        <f t="shared" si="19"/>
        <v>0</v>
      </c>
      <c r="M242" s="6">
        <f t="shared" si="20"/>
        <v>0</v>
      </c>
      <c r="N242" s="6">
        <f t="shared" si="21"/>
        <v>0</v>
      </c>
      <c r="O242" t="str">
        <f>IF($N242&gt;0,MAX($O$1:$O241)+1,"")</f>
        <v/>
      </c>
      <c r="P242" t="str">
        <f>IF($C242="","",IFERROR(INDEX(Работы!$D$2:$D$6000,MATCH($C242,Работы!$A$2:$A$6000,0)),""))</f>
        <v/>
      </c>
      <c r="Q242" t="str">
        <f t="shared" si="22"/>
        <v/>
      </c>
      <c r="R242" t="str">
        <f t="shared" si="23"/>
        <v/>
      </c>
      <c r="S242" t="str">
        <f>IF($P242="","",$P242&amp;" · "&amp;IFERROR(INDEX(Работы!$E$2:$E$6000,MATCH($C242,Работы!$A$2:$A$6000,0)),""))</f>
        <v/>
      </c>
    </row>
    <row r="243" spans="1:19" x14ac:dyDescent="0.3">
      <c r="A243" s="4"/>
      <c r="B243" s="4"/>
      <c r="C243" t="str">
        <f t="shared" si="18"/>
        <v/>
      </c>
      <c r="D243" s="5" t="str">
        <f>IF($C243="","",IF(AND(LEFT($F243,3)="ДОК",$H243&lt;&gt;""),IFERROR(INDEX(Документация!$G$2:$G$57,MATCH($H243,Документация!$F$2:$F$57,0)),"— вариант не найден —"),IFERROR(INDEX(Работы!$B$2:$B$6000,MATCH($C243,Работы!$A$2:$A$6000,0)),"— нет такого кода —")))</f>
        <v/>
      </c>
      <c r="E243" t="str">
        <f>IF($C243="","",IF(AND(LEFT($F243,3)="ДОК",$H243&lt;&gt;""),IFERROR(INDEX(Документация!$D$2:$D$57,MATCH($H243,Документация!$F$2:$F$57,0)),""),IFERROR(INDEX(Работы!$C$2:$C$6000,MATCH($C243,Работы!$A$2:$A$6000,0)),"")))</f>
        <v/>
      </c>
      <c r="F243" t="str">
        <f>IF($C243="","",IFERROR(INDEX(Работы!$G$2:$G$6000,MATCH($C243,Работы!$A$2:$A$6000,0))&amp;"",""))</f>
        <v/>
      </c>
      <c r="G243" s="4"/>
      <c r="H243" s="4"/>
      <c r="I243" s="5" t="str">
        <f>IF((LEFT($F243,3)="ДОК"),"",IF($H243="","",IFERROR(INDEX(Материалы!$B$2:$B$9000,MATCH($H243,Материалы!$M$2:$M$9000,0)),"")))</f>
        <v/>
      </c>
      <c r="J243" s="6">
        <f>IF(AND(LEFT($F243,3)="ДОК",$H243&lt;&gt;""),IFERROR(INDEX(Документация!$E$2:$E$57,MATCH($H243,Документация!$F$2:$F$57,0)),0),IFERROR(INDEX(Работы!$H$2:$H$6000,MATCH($C243,Работы!$A$2:$A$6000,0)),0))*(1-MEDIAN(0,N(ДисконтТендер),1))</f>
        <v>0</v>
      </c>
      <c r="K243" s="6">
        <f>IF(OR((LEFT($F243,3)="ДОК"),$H243=""),0,IFERROR(INDEX(Материалы!$H$2:$H$9000,MATCH($H243,Материалы!$M$2:$M$9000,0))*IF(INDEX(Материалы!$I$2:$I$9000,MATCH($H243,Материалы!$M$2:$M$9000,0))="USD",КурсUSD,IF(INDEX(Материалы!$I$2:$I$9000,MATCH($H243,Материалы!$M$2:$M$9000,0))="EUR",КурсEUR,1))*(1+IFERROR(INDEX(Работы!$I$2:$I$6000,MATCH($C243,Работы!$A$2:$A$6000,0))/100,0))*(1-MEDIAN(0,N(ДисконтТендер),1)),0))</f>
        <v>0</v>
      </c>
      <c r="L243" s="6">
        <f t="shared" si="19"/>
        <v>0</v>
      </c>
      <c r="M243" s="6">
        <f t="shared" si="20"/>
        <v>0</v>
      </c>
      <c r="N243" s="6">
        <f t="shared" si="21"/>
        <v>0</v>
      </c>
      <c r="O243" t="str">
        <f>IF($N243&gt;0,MAX($O$1:$O242)+1,"")</f>
        <v/>
      </c>
      <c r="P243" t="str">
        <f>IF($C243="","",IFERROR(INDEX(Работы!$D$2:$D$6000,MATCH($C243,Работы!$A$2:$A$6000,0)),""))</f>
        <v/>
      </c>
      <c r="Q243" t="str">
        <f t="shared" si="22"/>
        <v/>
      </c>
      <c r="R243" t="str">
        <f t="shared" si="23"/>
        <v/>
      </c>
      <c r="S243" t="str">
        <f>IF($P243="","",$P243&amp;" · "&amp;IFERROR(INDEX(Работы!$E$2:$E$6000,MATCH($C243,Работы!$A$2:$A$6000,0)),""))</f>
        <v/>
      </c>
    </row>
    <row r="244" spans="1:19" x14ac:dyDescent="0.3">
      <c r="A244" s="4"/>
      <c r="B244" s="4"/>
      <c r="C244" t="str">
        <f t="shared" si="18"/>
        <v/>
      </c>
      <c r="D244" s="5" t="str">
        <f>IF($C244="","",IF(AND(LEFT($F244,3)="ДОК",$H244&lt;&gt;""),IFERROR(INDEX(Документация!$G$2:$G$57,MATCH($H244,Документация!$F$2:$F$57,0)),"— вариант не найден —"),IFERROR(INDEX(Работы!$B$2:$B$6000,MATCH($C244,Работы!$A$2:$A$6000,0)),"— нет такого кода —")))</f>
        <v/>
      </c>
      <c r="E244" t="str">
        <f>IF($C244="","",IF(AND(LEFT($F244,3)="ДОК",$H244&lt;&gt;""),IFERROR(INDEX(Документация!$D$2:$D$57,MATCH($H244,Документация!$F$2:$F$57,0)),""),IFERROR(INDEX(Работы!$C$2:$C$6000,MATCH($C244,Работы!$A$2:$A$6000,0)),"")))</f>
        <v/>
      </c>
      <c r="F244" t="str">
        <f>IF($C244="","",IFERROR(INDEX(Работы!$G$2:$G$6000,MATCH($C244,Работы!$A$2:$A$6000,0))&amp;"",""))</f>
        <v/>
      </c>
      <c r="G244" s="4"/>
      <c r="H244" s="4"/>
      <c r="I244" s="5" t="str">
        <f>IF((LEFT($F244,3)="ДОК"),"",IF($H244="","",IFERROR(INDEX(Материалы!$B$2:$B$9000,MATCH($H244,Материалы!$M$2:$M$9000,0)),"")))</f>
        <v/>
      </c>
      <c r="J244" s="6">
        <f>IF(AND(LEFT($F244,3)="ДОК",$H244&lt;&gt;""),IFERROR(INDEX(Документация!$E$2:$E$57,MATCH($H244,Документация!$F$2:$F$57,0)),0),IFERROR(INDEX(Работы!$H$2:$H$6000,MATCH($C244,Работы!$A$2:$A$6000,0)),0))*(1-MEDIAN(0,N(ДисконтТендер),1))</f>
        <v>0</v>
      </c>
      <c r="K244" s="6">
        <f>IF(OR((LEFT($F244,3)="ДОК"),$H244=""),0,IFERROR(INDEX(Материалы!$H$2:$H$9000,MATCH($H244,Материалы!$M$2:$M$9000,0))*IF(INDEX(Материалы!$I$2:$I$9000,MATCH($H244,Материалы!$M$2:$M$9000,0))="USD",КурсUSD,IF(INDEX(Материалы!$I$2:$I$9000,MATCH($H244,Материалы!$M$2:$M$9000,0))="EUR",КурсEUR,1))*(1+IFERROR(INDEX(Работы!$I$2:$I$6000,MATCH($C244,Работы!$A$2:$A$6000,0))/100,0))*(1-MEDIAN(0,N(ДисконтТендер),1)),0))</f>
        <v>0</v>
      </c>
      <c r="L244" s="6">
        <f t="shared" si="19"/>
        <v>0</v>
      </c>
      <c r="M244" s="6">
        <f t="shared" si="20"/>
        <v>0</v>
      </c>
      <c r="N244" s="6">
        <f t="shared" si="21"/>
        <v>0</v>
      </c>
      <c r="O244" t="str">
        <f>IF($N244&gt;0,MAX($O$1:$O243)+1,"")</f>
        <v/>
      </c>
      <c r="P244" t="str">
        <f>IF($C244="","",IFERROR(INDEX(Работы!$D$2:$D$6000,MATCH($C244,Работы!$A$2:$A$6000,0)),""))</f>
        <v/>
      </c>
      <c r="Q244" t="str">
        <f t="shared" si="22"/>
        <v/>
      </c>
      <c r="R244" t="str">
        <f t="shared" si="23"/>
        <v/>
      </c>
      <c r="S244" t="str">
        <f>IF($P244="","",$P244&amp;" · "&amp;IFERROR(INDEX(Работы!$E$2:$E$6000,MATCH($C244,Работы!$A$2:$A$6000,0)),""))</f>
        <v/>
      </c>
    </row>
    <row r="245" spans="1:19" x14ac:dyDescent="0.3">
      <c r="A245" s="4"/>
      <c r="B245" s="4"/>
      <c r="C245" t="str">
        <f t="shared" si="18"/>
        <v/>
      </c>
      <c r="D245" s="5" t="str">
        <f>IF($C245="","",IF(AND(LEFT($F245,3)="ДОК",$H245&lt;&gt;""),IFERROR(INDEX(Документация!$G$2:$G$57,MATCH($H245,Документация!$F$2:$F$57,0)),"— вариант не найден —"),IFERROR(INDEX(Работы!$B$2:$B$6000,MATCH($C245,Работы!$A$2:$A$6000,0)),"— нет такого кода —")))</f>
        <v/>
      </c>
      <c r="E245" t="str">
        <f>IF($C245="","",IF(AND(LEFT($F245,3)="ДОК",$H245&lt;&gt;""),IFERROR(INDEX(Документация!$D$2:$D$57,MATCH($H245,Документация!$F$2:$F$57,0)),""),IFERROR(INDEX(Работы!$C$2:$C$6000,MATCH($C245,Работы!$A$2:$A$6000,0)),"")))</f>
        <v/>
      </c>
      <c r="F245" t="str">
        <f>IF($C245="","",IFERROR(INDEX(Работы!$G$2:$G$6000,MATCH($C245,Работы!$A$2:$A$6000,0))&amp;"",""))</f>
        <v/>
      </c>
      <c r="G245" s="4"/>
      <c r="H245" s="4"/>
      <c r="I245" s="5" t="str">
        <f>IF((LEFT($F245,3)="ДОК"),"",IF($H245="","",IFERROR(INDEX(Материалы!$B$2:$B$9000,MATCH($H245,Материалы!$M$2:$M$9000,0)),"")))</f>
        <v/>
      </c>
      <c r="J245" s="6">
        <f>IF(AND(LEFT($F245,3)="ДОК",$H245&lt;&gt;""),IFERROR(INDEX(Документация!$E$2:$E$57,MATCH($H245,Документация!$F$2:$F$57,0)),0),IFERROR(INDEX(Работы!$H$2:$H$6000,MATCH($C245,Работы!$A$2:$A$6000,0)),0))*(1-MEDIAN(0,N(ДисконтТендер),1))</f>
        <v>0</v>
      </c>
      <c r="K245" s="6">
        <f>IF(OR((LEFT($F245,3)="ДОК"),$H245=""),0,IFERROR(INDEX(Материалы!$H$2:$H$9000,MATCH($H245,Материалы!$M$2:$M$9000,0))*IF(INDEX(Материалы!$I$2:$I$9000,MATCH($H245,Материалы!$M$2:$M$9000,0))="USD",КурсUSD,IF(INDEX(Материалы!$I$2:$I$9000,MATCH($H245,Материалы!$M$2:$M$9000,0))="EUR",КурсEUR,1))*(1+IFERROR(INDEX(Работы!$I$2:$I$6000,MATCH($C245,Работы!$A$2:$A$6000,0))/100,0))*(1-MEDIAN(0,N(ДисконтТендер),1)),0))</f>
        <v>0</v>
      </c>
      <c r="L245" s="6">
        <f t="shared" si="19"/>
        <v>0</v>
      </c>
      <c r="M245" s="6">
        <f t="shared" si="20"/>
        <v>0</v>
      </c>
      <c r="N245" s="6">
        <f t="shared" si="21"/>
        <v>0</v>
      </c>
      <c r="O245" t="str">
        <f>IF($N245&gt;0,MAX($O$1:$O244)+1,"")</f>
        <v/>
      </c>
      <c r="P245" t="str">
        <f>IF($C245="","",IFERROR(INDEX(Работы!$D$2:$D$6000,MATCH($C245,Работы!$A$2:$A$6000,0)),""))</f>
        <v/>
      </c>
      <c r="Q245" t="str">
        <f t="shared" si="22"/>
        <v/>
      </c>
      <c r="R245" t="str">
        <f t="shared" si="23"/>
        <v/>
      </c>
      <c r="S245" t="str">
        <f>IF($P245="","",$P245&amp;" · "&amp;IFERROR(INDEX(Работы!$E$2:$E$6000,MATCH($C245,Работы!$A$2:$A$6000,0)),""))</f>
        <v/>
      </c>
    </row>
    <row r="246" spans="1:19" x14ac:dyDescent="0.3">
      <c r="A246" s="4"/>
      <c r="B246" s="4"/>
      <c r="C246" t="str">
        <f t="shared" si="18"/>
        <v/>
      </c>
      <c r="D246" s="5" t="str">
        <f>IF($C246="","",IF(AND(LEFT($F246,3)="ДОК",$H246&lt;&gt;""),IFERROR(INDEX(Документация!$G$2:$G$57,MATCH($H246,Документация!$F$2:$F$57,0)),"— вариант не найден —"),IFERROR(INDEX(Работы!$B$2:$B$6000,MATCH($C246,Работы!$A$2:$A$6000,0)),"— нет такого кода —")))</f>
        <v/>
      </c>
      <c r="E246" t="str">
        <f>IF($C246="","",IF(AND(LEFT($F246,3)="ДОК",$H246&lt;&gt;""),IFERROR(INDEX(Документация!$D$2:$D$57,MATCH($H246,Документация!$F$2:$F$57,0)),""),IFERROR(INDEX(Работы!$C$2:$C$6000,MATCH($C246,Работы!$A$2:$A$6000,0)),"")))</f>
        <v/>
      </c>
      <c r="F246" t="str">
        <f>IF($C246="","",IFERROR(INDEX(Работы!$G$2:$G$6000,MATCH($C246,Работы!$A$2:$A$6000,0))&amp;"",""))</f>
        <v/>
      </c>
      <c r="G246" s="4"/>
      <c r="H246" s="4"/>
      <c r="I246" s="5" t="str">
        <f>IF((LEFT($F246,3)="ДОК"),"",IF($H246="","",IFERROR(INDEX(Материалы!$B$2:$B$9000,MATCH($H246,Материалы!$M$2:$M$9000,0)),"")))</f>
        <v/>
      </c>
      <c r="J246" s="6">
        <f>IF(AND(LEFT($F246,3)="ДОК",$H246&lt;&gt;""),IFERROR(INDEX(Документация!$E$2:$E$57,MATCH($H246,Документация!$F$2:$F$57,0)),0),IFERROR(INDEX(Работы!$H$2:$H$6000,MATCH($C246,Работы!$A$2:$A$6000,0)),0))*(1-MEDIAN(0,N(ДисконтТендер),1))</f>
        <v>0</v>
      </c>
      <c r="K246" s="6">
        <f>IF(OR((LEFT($F246,3)="ДОК"),$H246=""),0,IFERROR(INDEX(Материалы!$H$2:$H$9000,MATCH($H246,Материалы!$M$2:$M$9000,0))*IF(INDEX(Материалы!$I$2:$I$9000,MATCH($H246,Материалы!$M$2:$M$9000,0))="USD",КурсUSD,IF(INDEX(Материалы!$I$2:$I$9000,MATCH($H246,Материалы!$M$2:$M$9000,0))="EUR",КурсEUR,1))*(1+IFERROR(INDEX(Работы!$I$2:$I$6000,MATCH($C246,Работы!$A$2:$A$6000,0))/100,0))*(1-MEDIAN(0,N(ДисконтТендер),1)),0))</f>
        <v>0</v>
      </c>
      <c r="L246" s="6">
        <f t="shared" si="19"/>
        <v>0</v>
      </c>
      <c r="M246" s="6">
        <f t="shared" si="20"/>
        <v>0</v>
      </c>
      <c r="N246" s="6">
        <f t="shared" si="21"/>
        <v>0</v>
      </c>
      <c r="O246" t="str">
        <f>IF($N246&gt;0,MAX($O$1:$O245)+1,"")</f>
        <v/>
      </c>
      <c r="P246" t="str">
        <f>IF($C246="","",IFERROR(INDEX(Работы!$D$2:$D$6000,MATCH($C246,Работы!$A$2:$A$6000,0)),""))</f>
        <v/>
      </c>
      <c r="Q246" t="str">
        <f t="shared" si="22"/>
        <v/>
      </c>
      <c r="R246" t="str">
        <f t="shared" si="23"/>
        <v/>
      </c>
      <c r="S246" t="str">
        <f>IF($P246="","",$P246&amp;" · "&amp;IFERROR(INDEX(Работы!$E$2:$E$6000,MATCH($C246,Работы!$A$2:$A$6000,0)),""))</f>
        <v/>
      </c>
    </row>
    <row r="247" spans="1:19" x14ac:dyDescent="0.3">
      <c r="A247" s="4"/>
      <c r="B247" s="4"/>
      <c r="C247" t="str">
        <f t="shared" si="18"/>
        <v/>
      </c>
      <c r="D247" s="5" t="str">
        <f>IF($C247="","",IF(AND(LEFT($F247,3)="ДОК",$H247&lt;&gt;""),IFERROR(INDEX(Документация!$G$2:$G$57,MATCH($H247,Документация!$F$2:$F$57,0)),"— вариант не найден —"),IFERROR(INDEX(Работы!$B$2:$B$6000,MATCH($C247,Работы!$A$2:$A$6000,0)),"— нет такого кода —")))</f>
        <v/>
      </c>
      <c r="E247" t="str">
        <f>IF($C247="","",IF(AND(LEFT($F247,3)="ДОК",$H247&lt;&gt;""),IFERROR(INDEX(Документация!$D$2:$D$57,MATCH($H247,Документация!$F$2:$F$57,0)),""),IFERROR(INDEX(Работы!$C$2:$C$6000,MATCH($C247,Работы!$A$2:$A$6000,0)),"")))</f>
        <v/>
      </c>
      <c r="F247" t="str">
        <f>IF($C247="","",IFERROR(INDEX(Работы!$G$2:$G$6000,MATCH($C247,Работы!$A$2:$A$6000,0))&amp;"",""))</f>
        <v/>
      </c>
      <c r="G247" s="4"/>
      <c r="H247" s="4"/>
      <c r="I247" s="5" t="str">
        <f>IF((LEFT($F247,3)="ДОК"),"",IF($H247="","",IFERROR(INDEX(Материалы!$B$2:$B$9000,MATCH($H247,Материалы!$M$2:$M$9000,0)),"")))</f>
        <v/>
      </c>
      <c r="J247" s="6">
        <f>IF(AND(LEFT($F247,3)="ДОК",$H247&lt;&gt;""),IFERROR(INDEX(Документация!$E$2:$E$57,MATCH($H247,Документация!$F$2:$F$57,0)),0),IFERROR(INDEX(Работы!$H$2:$H$6000,MATCH($C247,Работы!$A$2:$A$6000,0)),0))*(1-MEDIAN(0,N(ДисконтТендер),1))</f>
        <v>0</v>
      </c>
      <c r="K247" s="6">
        <f>IF(OR((LEFT($F247,3)="ДОК"),$H247=""),0,IFERROR(INDEX(Материалы!$H$2:$H$9000,MATCH($H247,Материалы!$M$2:$M$9000,0))*IF(INDEX(Материалы!$I$2:$I$9000,MATCH($H247,Материалы!$M$2:$M$9000,0))="USD",КурсUSD,IF(INDEX(Материалы!$I$2:$I$9000,MATCH($H247,Материалы!$M$2:$M$9000,0))="EUR",КурсEUR,1))*(1+IFERROR(INDEX(Работы!$I$2:$I$6000,MATCH($C247,Работы!$A$2:$A$6000,0))/100,0))*(1-MEDIAN(0,N(ДисконтТендер),1)),0))</f>
        <v>0</v>
      </c>
      <c r="L247" s="6">
        <f t="shared" si="19"/>
        <v>0</v>
      </c>
      <c r="M247" s="6">
        <f t="shared" si="20"/>
        <v>0</v>
      </c>
      <c r="N247" s="6">
        <f t="shared" si="21"/>
        <v>0</v>
      </c>
      <c r="O247" t="str">
        <f>IF($N247&gt;0,MAX($O$1:$O246)+1,"")</f>
        <v/>
      </c>
      <c r="P247" t="str">
        <f>IF($C247="","",IFERROR(INDEX(Работы!$D$2:$D$6000,MATCH($C247,Работы!$A$2:$A$6000,0)),""))</f>
        <v/>
      </c>
      <c r="Q247" t="str">
        <f t="shared" si="22"/>
        <v/>
      </c>
      <c r="R247" t="str">
        <f t="shared" si="23"/>
        <v/>
      </c>
      <c r="S247" t="str">
        <f>IF($P247="","",$P247&amp;" · "&amp;IFERROR(INDEX(Работы!$E$2:$E$6000,MATCH($C247,Работы!$A$2:$A$6000,0)),""))</f>
        <v/>
      </c>
    </row>
    <row r="248" spans="1:19" x14ac:dyDescent="0.3">
      <c r="A248" s="4"/>
      <c r="B248" s="4"/>
      <c r="C248" t="str">
        <f t="shared" si="18"/>
        <v/>
      </c>
      <c r="D248" s="5" t="str">
        <f>IF($C248="","",IF(AND(LEFT($F248,3)="ДОК",$H248&lt;&gt;""),IFERROR(INDEX(Документация!$G$2:$G$57,MATCH($H248,Документация!$F$2:$F$57,0)),"— вариант не найден —"),IFERROR(INDEX(Работы!$B$2:$B$6000,MATCH($C248,Работы!$A$2:$A$6000,0)),"— нет такого кода —")))</f>
        <v/>
      </c>
      <c r="E248" t="str">
        <f>IF($C248="","",IF(AND(LEFT($F248,3)="ДОК",$H248&lt;&gt;""),IFERROR(INDEX(Документация!$D$2:$D$57,MATCH($H248,Документация!$F$2:$F$57,0)),""),IFERROR(INDEX(Работы!$C$2:$C$6000,MATCH($C248,Работы!$A$2:$A$6000,0)),"")))</f>
        <v/>
      </c>
      <c r="F248" t="str">
        <f>IF($C248="","",IFERROR(INDEX(Работы!$G$2:$G$6000,MATCH($C248,Работы!$A$2:$A$6000,0))&amp;"",""))</f>
        <v/>
      </c>
      <c r="G248" s="4"/>
      <c r="H248" s="4"/>
      <c r="I248" s="5" t="str">
        <f>IF((LEFT($F248,3)="ДОК"),"",IF($H248="","",IFERROR(INDEX(Материалы!$B$2:$B$9000,MATCH($H248,Материалы!$M$2:$M$9000,0)),"")))</f>
        <v/>
      </c>
      <c r="J248" s="6">
        <f>IF(AND(LEFT($F248,3)="ДОК",$H248&lt;&gt;""),IFERROR(INDEX(Документация!$E$2:$E$57,MATCH($H248,Документация!$F$2:$F$57,0)),0),IFERROR(INDEX(Работы!$H$2:$H$6000,MATCH($C248,Работы!$A$2:$A$6000,0)),0))*(1-MEDIAN(0,N(ДисконтТендер),1))</f>
        <v>0</v>
      </c>
      <c r="K248" s="6">
        <f>IF(OR((LEFT($F248,3)="ДОК"),$H248=""),0,IFERROR(INDEX(Материалы!$H$2:$H$9000,MATCH($H248,Материалы!$M$2:$M$9000,0))*IF(INDEX(Материалы!$I$2:$I$9000,MATCH($H248,Материалы!$M$2:$M$9000,0))="USD",КурсUSD,IF(INDEX(Материалы!$I$2:$I$9000,MATCH($H248,Материалы!$M$2:$M$9000,0))="EUR",КурсEUR,1))*(1+IFERROR(INDEX(Работы!$I$2:$I$6000,MATCH($C248,Работы!$A$2:$A$6000,0))/100,0))*(1-MEDIAN(0,N(ДисконтТендер),1)),0))</f>
        <v>0</v>
      </c>
      <c r="L248" s="6">
        <f t="shared" si="19"/>
        <v>0</v>
      </c>
      <c r="M248" s="6">
        <f t="shared" si="20"/>
        <v>0</v>
      </c>
      <c r="N248" s="6">
        <f t="shared" si="21"/>
        <v>0</v>
      </c>
      <c r="O248" t="str">
        <f>IF($N248&gt;0,MAX($O$1:$O247)+1,"")</f>
        <v/>
      </c>
      <c r="P248" t="str">
        <f>IF($C248="","",IFERROR(INDEX(Работы!$D$2:$D$6000,MATCH($C248,Работы!$A$2:$A$6000,0)),""))</f>
        <v/>
      </c>
      <c r="Q248" t="str">
        <f t="shared" si="22"/>
        <v/>
      </c>
      <c r="R248" t="str">
        <f t="shared" si="23"/>
        <v/>
      </c>
      <c r="S248" t="str">
        <f>IF($P248="","",$P248&amp;" · "&amp;IFERROR(INDEX(Работы!$E$2:$E$6000,MATCH($C248,Работы!$A$2:$A$6000,0)),""))</f>
        <v/>
      </c>
    </row>
    <row r="249" spans="1:19" x14ac:dyDescent="0.3">
      <c r="A249" s="4"/>
      <c r="B249" s="4"/>
      <c r="C249" t="str">
        <f t="shared" si="18"/>
        <v/>
      </c>
      <c r="D249" s="5" t="str">
        <f>IF($C249="","",IF(AND(LEFT($F249,3)="ДОК",$H249&lt;&gt;""),IFERROR(INDEX(Документация!$G$2:$G$57,MATCH($H249,Документация!$F$2:$F$57,0)),"— вариант не найден —"),IFERROR(INDEX(Работы!$B$2:$B$6000,MATCH($C249,Работы!$A$2:$A$6000,0)),"— нет такого кода —")))</f>
        <v/>
      </c>
      <c r="E249" t="str">
        <f>IF($C249="","",IF(AND(LEFT($F249,3)="ДОК",$H249&lt;&gt;""),IFERROR(INDEX(Документация!$D$2:$D$57,MATCH($H249,Документация!$F$2:$F$57,0)),""),IFERROR(INDEX(Работы!$C$2:$C$6000,MATCH($C249,Работы!$A$2:$A$6000,0)),"")))</f>
        <v/>
      </c>
      <c r="F249" t="str">
        <f>IF($C249="","",IFERROR(INDEX(Работы!$G$2:$G$6000,MATCH($C249,Работы!$A$2:$A$6000,0))&amp;"",""))</f>
        <v/>
      </c>
      <c r="G249" s="4"/>
      <c r="H249" s="4"/>
      <c r="I249" s="5" t="str">
        <f>IF((LEFT($F249,3)="ДОК"),"",IF($H249="","",IFERROR(INDEX(Материалы!$B$2:$B$9000,MATCH($H249,Материалы!$M$2:$M$9000,0)),"")))</f>
        <v/>
      </c>
      <c r="J249" s="6">
        <f>IF(AND(LEFT($F249,3)="ДОК",$H249&lt;&gt;""),IFERROR(INDEX(Документация!$E$2:$E$57,MATCH($H249,Документация!$F$2:$F$57,0)),0),IFERROR(INDEX(Работы!$H$2:$H$6000,MATCH($C249,Работы!$A$2:$A$6000,0)),0))*(1-MEDIAN(0,N(ДисконтТендер),1))</f>
        <v>0</v>
      </c>
      <c r="K249" s="6">
        <f>IF(OR((LEFT($F249,3)="ДОК"),$H249=""),0,IFERROR(INDEX(Материалы!$H$2:$H$9000,MATCH($H249,Материалы!$M$2:$M$9000,0))*IF(INDEX(Материалы!$I$2:$I$9000,MATCH($H249,Материалы!$M$2:$M$9000,0))="USD",КурсUSD,IF(INDEX(Материалы!$I$2:$I$9000,MATCH($H249,Материалы!$M$2:$M$9000,0))="EUR",КурсEUR,1))*(1+IFERROR(INDEX(Работы!$I$2:$I$6000,MATCH($C249,Работы!$A$2:$A$6000,0))/100,0))*(1-MEDIAN(0,N(ДисконтТендер),1)),0))</f>
        <v>0</v>
      </c>
      <c r="L249" s="6">
        <f t="shared" si="19"/>
        <v>0</v>
      </c>
      <c r="M249" s="6">
        <f t="shared" si="20"/>
        <v>0</v>
      </c>
      <c r="N249" s="6">
        <f t="shared" si="21"/>
        <v>0</v>
      </c>
      <c r="O249" t="str">
        <f>IF($N249&gt;0,MAX($O$1:$O248)+1,"")</f>
        <v/>
      </c>
      <c r="P249" t="str">
        <f>IF($C249="","",IFERROR(INDEX(Работы!$D$2:$D$6000,MATCH($C249,Работы!$A$2:$A$6000,0)),""))</f>
        <v/>
      </c>
      <c r="Q249" t="str">
        <f t="shared" si="22"/>
        <v/>
      </c>
      <c r="R249" t="str">
        <f t="shared" si="23"/>
        <v/>
      </c>
      <c r="S249" t="str">
        <f>IF($P249="","",$P249&amp;" · "&amp;IFERROR(INDEX(Работы!$E$2:$E$6000,MATCH($C249,Работы!$A$2:$A$6000,0)),""))</f>
        <v/>
      </c>
    </row>
    <row r="250" spans="1:19" x14ac:dyDescent="0.3">
      <c r="A250" s="4"/>
      <c r="B250" s="4"/>
      <c r="C250" t="str">
        <f t="shared" si="18"/>
        <v/>
      </c>
      <c r="D250" s="5" t="str">
        <f>IF($C250="","",IF(AND(LEFT($F250,3)="ДОК",$H250&lt;&gt;""),IFERROR(INDEX(Документация!$G$2:$G$57,MATCH($H250,Документация!$F$2:$F$57,0)),"— вариант не найден —"),IFERROR(INDEX(Работы!$B$2:$B$6000,MATCH($C250,Работы!$A$2:$A$6000,0)),"— нет такого кода —")))</f>
        <v/>
      </c>
      <c r="E250" t="str">
        <f>IF($C250="","",IF(AND(LEFT($F250,3)="ДОК",$H250&lt;&gt;""),IFERROR(INDEX(Документация!$D$2:$D$57,MATCH($H250,Документация!$F$2:$F$57,0)),""),IFERROR(INDEX(Работы!$C$2:$C$6000,MATCH($C250,Работы!$A$2:$A$6000,0)),"")))</f>
        <v/>
      </c>
      <c r="F250" t="str">
        <f>IF($C250="","",IFERROR(INDEX(Работы!$G$2:$G$6000,MATCH($C250,Работы!$A$2:$A$6000,0))&amp;"",""))</f>
        <v/>
      </c>
      <c r="G250" s="4"/>
      <c r="H250" s="4"/>
      <c r="I250" s="5" t="str">
        <f>IF((LEFT($F250,3)="ДОК"),"",IF($H250="","",IFERROR(INDEX(Материалы!$B$2:$B$9000,MATCH($H250,Материалы!$M$2:$M$9000,0)),"")))</f>
        <v/>
      </c>
      <c r="J250" s="6">
        <f>IF(AND(LEFT($F250,3)="ДОК",$H250&lt;&gt;""),IFERROR(INDEX(Документация!$E$2:$E$57,MATCH($H250,Документация!$F$2:$F$57,0)),0),IFERROR(INDEX(Работы!$H$2:$H$6000,MATCH($C250,Работы!$A$2:$A$6000,0)),0))*(1-MEDIAN(0,N(ДисконтТендер),1))</f>
        <v>0</v>
      </c>
      <c r="K250" s="6">
        <f>IF(OR((LEFT($F250,3)="ДОК"),$H250=""),0,IFERROR(INDEX(Материалы!$H$2:$H$9000,MATCH($H250,Материалы!$M$2:$M$9000,0))*IF(INDEX(Материалы!$I$2:$I$9000,MATCH($H250,Материалы!$M$2:$M$9000,0))="USD",КурсUSD,IF(INDEX(Материалы!$I$2:$I$9000,MATCH($H250,Материалы!$M$2:$M$9000,0))="EUR",КурсEUR,1))*(1+IFERROR(INDEX(Работы!$I$2:$I$6000,MATCH($C250,Работы!$A$2:$A$6000,0))/100,0))*(1-MEDIAN(0,N(ДисконтТендер),1)),0))</f>
        <v>0</v>
      </c>
      <c r="L250" s="6">
        <f t="shared" si="19"/>
        <v>0</v>
      </c>
      <c r="M250" s="6">
        <f t="shared" si="20"/>
        <v>0</v>
      </c>
      <c r="N250" s="6">
        <f t="shared" si="21"/>
        <v>0</v>
      </c>
      <c r="O250" t="str">
        <f>IF($N250&gt;0,MAX($O$1:$O249)+1,"")</f>
        <v/>
      </c>
      <c r="P250" t="str">
        <f>IF($C250="","",IFERROR(INDEX(Работы!$D$2:$D$6000,MATCH($C250,Работы!$A$2:$A$6000,0)),""))</f>
        <v/>
      </c>
      <c r="Q250" t="str">
        <f t="shared" si="22"/>
        <v/>
      </c>
      <c r="R250" t="str">
        <f t="shared" si="23"/>
        <v/>
      </c>
      <c r="S250" t="str">
        <f>IF($P250="","",$P250&amp;" · "&amp;IFERROR(INDEX(Работы!$E$2:$E$6000,MATCH($C250,Работы!$A$2:$A$6000,0)),""))</f>
        <v/>
      </c>
    </row>
    <row r="251" spans="1:19" x14ac:dyDescent="0.3">
      <c r="A251" s="4"/>
      <c r="B251" s="4"/>
      <c r="C251" t="str">
        <f t="shared" si="18"/>
        <v/>
      </c>
      <c r="D251" s="5" t="str">
        <f>IF($C251="","",IF(AND(LEFT($F251,3)="ДОК",$H251&lt;&gt;""),IFERROR(INDEX(Документация!$G$2:$G$57,MATCH($H251,Документация!$F$2:$F$57,0)),"— вариант не найден —"),IFERROR(INDEX(Работы!$B$2:$B$6000,MATCH($C251,Работы!$A$2:$A$6000,0)),"— нет такого кода —")))</f>
        <v/>
      </c>
      <c r="E251" t="str">
        <f>IF($C251="","",IF(AND(LEFT($F251,3)="ДОК",$H251&lt;&gt;""),IFERROR(INDEX(Документация!$D$2:$D$57,MATCH($H251,Документация!$F$2:$F$57,0)),""),IFERROR(INDEX(Работы!$C$2:$C$6000,MATCH($C251,Работы!$A$2:$A$6000,0)),"")))</f>
        <v/>
      </c>
      <c r="F251" t="str">
        <f>IF($C251="","",IFERROR(INDEX(Работы!$G$2:$G$6000,MATCH($C251,Работы!$A$2:$A$6000,0))&amp;"",""))</f>
        <v/>
      </c>
      <c r="G251" s="4"/>
      <c r="H251" s="4"/>
      <c r="I251" s="5" t="str">
        <f>IF((LEFT($F251,3)="ДОК"),"",IF($H251="","",IFERROR(INDEX(Материалы!$B$2:$B$9000,MATCH($H251,Материалы!$M$2:$M$9000,0)),"")))</f>
        <v/>
      </c>
      <c r="J251" s="6">
        <f>IF(AND(LEFT($F251,3)="ДОК",$H251&lt;&gt;""),IFERROR(INDEX(Документация!$E$2:$E$57,MATCH($H251,Документация!$F$2:$F$57,0)),0),IFERROR(INDEX(Работы!$H$2:$H$6000,MATCH($C251,Работы!$A$2:$A$6000,0)),0))*(1-MEDIAN(0,N(ДисконтТендер),1))</f>
        <v>0</v>
      </c>
      <c r="K251" s="6">
        <f>IF(OR((LEFT($F251,3)="ДОК"),$H251=""),0,IFERROR(INDEX(Материалы!$H$2:$H$9000,MATCH($H251,Материалы!$M$2:$M$9000,0))*IF(INDEX(Материалы!$I$2:$I$9000,MATCH($H251,Материалы!$M$2:$M$9000,0))="USD",КурсUSD,IF(INDEX(Материалы!$I$2:$I$9000,MATCH($H251,Материалы!$M$2:$M$9000,0))="EUR",КурсEUR,1))*(1+IFERROR(INDEX(Работы!$I$2:$I$6000,MATCH($C251,Работы!$A$2:$A$6000,0))/100,0))*(1-MEDIAN(0,N(ДисконтТендер),1)),0))</f>
        <v>0</v>
      </c>
      <c r="L251" s="6">
        <f t="shared" si="19"/>
        <v>0</v>
      </c>
      <c r="M251" s="6">
        <f t="shared" si="20"/>
        <v>0</v>
      </c>
      <c r="N251" s="6">
        <f t="shared" si="21"/>
        <v>0</v>
      </c>
      <c r="O251" t="str">
        <f>IF($N251&gt;0,MAX($O$1:$O250)+1,"")</f>
        <v/>
      </c>
      <c r="P251" t="str">
        <f>IF($C251="","",IFERROR(INDEX(Работы!$D$2:$D$6000,MATCH($C251,Работы!$A$2:$A$6000,0)),""))</f>
        <v/>
      </c>
      <c r="Q251" t="str">
        <f t="shared" si="22"/>
        <v/>
      </c>
      <c r="R251" t="str">
        <f t="shared" si="23"/>
        <v/>
      </c>
      <c r="S251" t="str">
        <f>IF($P251="","",$P251&amp;" · "&amp;IFERROR(INDEX(Работы!$E$2:$E$6000,MATCH($C251,Работы!$A$2:$A$6000,0)),""))</f>
        <v/>
      </c>
    </row>
    <row r="252" spans="1:19" x14ac:dyDescent="0.3">
      <c r="A252" s="4"/>
      <c r="B252" s="4"/>
      <c r="C252" t="str">
        <f t="shared" si="18"/>
        <v/>
      </c>
      <c r="D252" s="5" t="str">
        <f>IF($C252="","",IF(AND(LEFT($F252,3)="ДОК",$H252&lt;&gt;""),IFERROR(INDEX(Документация!$G$2:$G$57,MATCH($H252,Документация!$F$2:$F$57,0)),"— вариант не найден —"),IFERROR(INDEX(Работы!$B$2:$B$6000,MATCH($C252,Работы!$A$2:$A$6000,0)),"— нет такого кода —")))</f>
        <v/>
      </c>
      <c r="E252" t="str">
        <f>IF($C252="","",IF(AND(LEFT($F252,3)="ДОК",$H252&lt;&gt;""),IFERROR(INDEX(Документация!$D$2:$D$57,MATCH($H252,Документация!$F$2:$F$57,0)),""),IFERROR(INDEX(Работы!$C$2:$C$6000,MATCH($C252,Работы!$A$2:$A$6000,0)),"")))</f>
        <v/>
      </c>
      <c r="F252" t="str">
        <f>IF($C252="","",IFERROR(INDEX(Работы!$G$2:$G$6000,MATCH($C252,Работы!$A$2:$A$6000,0))&amp;"",""))</f>
        <v/>
      </c>
      <c r="G252" s="4"/>
      <c r="H252" s="4"/>
      <c r="I252" s="5" t="str">
        <f>IF((LEFT($F252,3)="ДОК"),"",IF($H252="","",IFERROR(INDEX(Материалы!$B$2:$B$9000,MATCH($H252,Материалы!$M$2:$M$9000,0)),"")))</f>
        <v/>
      </c>
      <c r="J252" s="6">
        <f>IF(AND(LEFT($F252,3)="ДОК",$H252&lt;&gt;""),IFERROR(INDEX(Документация!$E$2:$E$57,MATCH($H252,Документация!$F$2:$F$57,0)),0),IFERROR(INDEX(Работы!$H$2:$H$6000,MATCH($C252,Работы!$A$2:$A$6000,0)),0))*(1-MEDIAN(0,N(ДисконтТендер),1))</f>
        <v>0</v>
      </c>
      <c r="K252" s="6">
        <f>IF(OR((LEFT($F252,3)="ДОК"),$H252=""),0,IFERROR(INDEX(Материалы!$H$2:$H$9000,MATCH($H252,Материалы!$M$2:$M$9000,0))*IF(INDEX(Материалы!$I$2:$I$9000,MATCH($H252,Материалы!$M$2:$M$9000,0))="USD",КурсUSD,IF(INDEX(Материалы!$I$2:$I$9000,MATCH($H252,Материалы!$M$2:$M$9000,0))="EUR",КурсEUR,1))*(1+IFERROR(INDEX(Работы!$I$2:$I$6000,MATCH($C252,Работы!$A$2:$A$6000,0))/100,0))*(1-MEDIAN(0,N(ДисконтТендер),1)),0))</f>
        <v>0</v>
      </c>
      <c r="L252" s="6">
        <f t="shared" si="19"/>
        <v>0</v>
      </c>
      <c r="M252" s="6">
        <f t="shared" si="20"/>
        <v>0</v>
      </c>
      <c r="N252" s="6">
        <f t="shared" si="21"/>
        <v>0</v>
      </c>
      <c r="O252" t="str">
        <f>IF($N252&gt;0,MAX($O$1:$O251)+1,"")</f>
        <v/>
      </c>
      <c r="P252" t="str">
        <f>IF($C252="","",IFERROR(INDEX(Работы!$D$2:$D$6000,MATCH($C252,Работы!$A$2:$A$6000,0)),""))</f>
        <v/>
      </c>
      <c r="Q252" t="str">
        <f t="shared" si="22"/>
        <v/>
      </c>
      <c r="R252" t="str">
        <f t="shared" si="23"/>
        <v/>
      </c>
      <c r="S252" t="str">
        <f>IF($P252="","",$P252&amp;" · "&amp;IFERROR(INDEX(Работы!$E$2:$E$6000,MATCH($C252,Работы!$A$2:$A$6000,0)),""))</f>
        <v/>
      </c>
    </row>
    <row r="253" spans="1:19" x14ac:dyDescent="0.3">
      <c r="A253" s="4"/>
      <c r="B253" s="4"/>
      <c r="C253" t="str">
        <f t="shared" si="18"/>
        <v/>
      </c>
      <c r="D253" s="5" t="str">
        <f>IF($C253="","",IF(AND(LEFT($F253,3)="ДОК",$H253&lt;&gt;""),IFERROR(INDEX(Документация!$G$2:$G$57,MATCH($H253,Документация!$F$2:$F$57,0)),"— вариант не найден —"),IFERROR(INDEX(Работы!$B$2:$B$6000,MATCH($C253,Работы!$A$2:$A$6000,0)),"— нет такого кода —")))</f>
        <v/>
      </c>
      <c r="E253" t="str">
        <f>IF($C253="","",IF(AND(LEFT($F253,3)="ДОК",$H253&lt;&gt;""),IFERROR(INDEX(Документация!$D$2:$D$57,MATCH($H253,Документация!$F$2:$F$57,0)),""),IFERROR(INDEX(Работы!$C$2:$C$6000,MATCH($C253,Работы!$A$2:$A$6000,0)),"")))</f>
        <v/>
      </c>
      <c r="F253" t="str">
        <f>IF($C253="","",IFERROR(INDEX(Работы!$G$2:$G$6000,MATCH($C253,Работы!$A$2:$A$6000,0))&amp;"",""))</f>
        <v/>
      </c>
      <c r="G253" s="4"/>
      <c r="H253" s="4"/>
      <c r="I253" s="5" t="str">
        <f>IF((LEFT($F253,3)="ДОК"),"",IF($H253="","",IFERROR(INDEX(Материалы!$B$2:$B$9000,MATCH($H253,Материалы!$M$2:$M$9000,0)),"")))</f>
        <v/>
      </c>
      <c r="J253" s="6">
        <f>IF(AND(LEFT($F253,3)="ДОК",$H253&lt;&gt;""),IFERROR(INDEX(Документация!$E$2:$E$57,MATCH($H253,Документация!$F$2:$F$57,0)),0),IFERROR(INDEX(Работы!$H$2:$H$6000,MATCH($C253,Работы!$A$2:$A$6000,0)),0))*(1-MEDIAN(0,N(ДисконтТендер),1))</f>
        <v>0</v>
      </c>
      <c r="K253" s="6">
        <f>IF(OR((LEFT($F253,3)="ДОК"),$H253=""),0,IFERROR(INDEX(Материалы!$H$2:$H$9000,MATCH($H253,Материалы!$M$2:$M$9000,0))*IF(INDEX(Материалы!$I$2:$I$9000,MATCH($H253,Материалы!$M$2:$M$9000,0))="USD",КурсUSD,IF(INDEX(Материалы!$I$2:$I$9000,MATCH($H253,Материалы!$M$2:$M$9000,0))="EUR",КурсEUR,1))*(1+IFERROR(INDEX(Работы!$I$2:$I$6000,MATCH($C253,Работы!$A$2:$A$6000,0))/100,0))*(1-MEDIAN(0,N(ДисконтТендер),1)),0))</f>
        <v>0</v>
      </c>
      <c r="L253" s="6">
        <f t="shared" si="19"/>
        <v>0</v>
      </c>
      <c r="M253" s="6">
        <f t="shared" si="20"/>
        <v>0</v>
      </c>
      <c r="N253" s="6">
        <f t="shared" si="21"/>
        <v>0</v>
      </c>
      <c r="O253" t="str">
        <f>IF($N253&gt;0,MAX($O$1:$O252)+1,"")</f>
        <v/>
      </c>
      <c r="P253" t="str">
        <f>IF($C253="","",IFERROR(INDEX(Работы!$D$2:$D$6000,MATCH($C253,Работы!$A$2:$A$6000,0)),""))</f>
        <v/>
      </c>
      <c r="Q253" t="str">
        <f t="shared" si="22"/>
        <v/>
      </c>
      <c r="R253" t="str">
        <f t="shared" si="23"/>
        <v/>
      </c>
      <c r="S253" t="str">
        <f>IF($P253="","",$P253&amp;" · "&amp;IFERROR(INDEX(Работы!$E$2:$E$6000,MATCH($C253,Работы!$A$2:$A$6000,0)),""))</f>
        <v/>
      </c>
    </row>
    <row r="254" spans="1:19" x14ac:dyDescent="0.3">
      <c r="A254" s="4"/>
      <c r="B254" s="4"/>
      <c r="C254" t="str">
        <f t="shared" si="18"/>
        <v/>
      </c>
      <c r="D254" s="5" t="str">
        <f>IF($C254="","",IF(AND(LEFT($F254,3)="ДОК",$H254&lt;&gt;""),IFERROR(INDEX(Документация!$G$2:$G$57,MATCH($H254,Документация!$F$2:$F$57,0)),"— вариант не найден —"),IFERROR(INDEX(Работы!$B$2:$B$6000,MATCH($C254,Работы!$A$2:$A$6000,0)),"— нет такого кода —")))</f>
        <v/>
      </c>
      <c r="E254" t="str">
        <f>IF($C254="","",IF(AND(LEFT($F254,3)="ДОК",$H254&lt;&gt;""),IFERROR(INDEX(Документация!$D$2:$D$57,MATCH($H254,Документация!$F$2:$F$57,0)),""),IFERROR(INDEX(Работы!$C$2:$C$6000,MATCH($C254,Работы!$A$2:$A$6000,0)),"")))</f>
        <v/>
      </c>
      <c r="F254" t="str">
        <f>IF($C254="","",IFERROR(INDEX(Работы!$G$2:$G$6000,MATCH($C254,Работы!$A$2:$A$6000,0))&amp;"",""))</f>
        <v/>
      </c>
      <c r="G254" s="4"/>
      <c r="H254" s="4"/>
      <c r="I254" s="5" t="str">
        <f>IF((LEFT($F254,3)="ДОК"),"",IF($H254="","",IFERROR(INDEX(Материалы!$B$2:$B$9000,MATCH($H254,Материалы!$M$2:$M$9000,0)),"")))</f>
        <v/>
      </c>
      <c r="J254" s="6">
        <f>IF(AND(LEFT($F254,3)="ДОК",$H254&lt;&gt;""),IFERROR(INDEX(Документация!$E$2:$E$57,MATCH($H254,Документация!$F$2:$F$57,0)),0),IFERROR(INDEX(Работы!$H$2:$H$6000,MATCH($C254,Работы!$A$2:$A$6000,0)),0))*(1-MEDIAN(0,N(ДисконтТендер),1))</f>
        <v>0</v>
      </c>
      <c r="K254" s="6">
        <f>IF(OR((LEFT($F254,3)="ДОК"),$H254=""),0,IFERROR(INDEX(Материалы!$H$2:$H$9000,MATCH($H254,Материалы!$M$2:$M$9000,0))*IF(INDEX(Материалы!$I$2:$I$9000,MATCH($H254,Материалы!$M$2:$M$9000,0))="USD",КурсUSD,IF(INDEX(Материалы!$I$2:$I$9000,MATCH($H254,Материалы!$M$2:$M$9000,0))="EUR",КурсEUR,1))*(1+IFERROR(INDEX(Работы!$I$2:$I$6000,MATCH($C254,Работы!$A$2:$A$6000,0))/100,0))*(1-MEDIAN(0,N(ДисконтТендер),1)),0))</f>
        <v>0</v>
      </c>
      <c r="L254" s="6">
        <f t="shared" si="19"/>
        <v>0</v>
      </c>
      <c r="M254" s="6">
        <f t="shared" si="20"/>
        <v>0</v>
      </c>
      <c r="N254" s="6">
        <f t="shared" si="21"/>
        <v>0</v>
      </c>
      <c r="O254" t="str">
        <f>IF($N254&gt;0,MAX($O$1:$O253)+1,"")</f>
        <v/>
      </c>
      <c r="P254" t="str">
        <f>IF($C254="","",IFERROR(INDEX(Работы!$D$2:$D$6000,MATCH($C254,Работы!$A$2:$A$6000,0)),""))</f>
        <v/>
      </c>
      <c r="Q254" t="str">
        <f t="shared" si="22"/>
        <v/>
      </c>
      <c r="R254" t="str">
        <f t="shared" si="23"/>
        <v/>
      </c>
      <c r="S254" t="str">
        <f>IF($P254="","",$P254&amp;" · "&amp;IFERROR(INDEX(Работы!$E$2:$E$6000,MATCH($C254,Работы!$A$2:$A$6000,0)),""))</f>
        <v/>
      </c>
    </row>
    <row r="255" spans="1:19" x14ac:dyDescent="0.3">
      <c r="A255" s="4"/>
      <c r="B255" s="4"/>
      <c r="C255" t="str">
        <f t="shared" si="18"/>
        <v/>
      </c>
      <c r="D255" s="5" t="str">
        <f>IF($C255="","",IF(AND(LEFT($F255,3)="ДОК",$H255&lt;&gt;""),IFERROR(INDEX(Документация!$G$2:$G$57,MATCH($H255,Документация!$F$2:$F$57,0)),"— вариант не найден —"),IFERROR(INDEX(Работы!$B$2:$B$6000,MATCH($C255,Работы!$A$2:$A$6000,0)),"— нет такого кода —")))</f>
        <v/>
      </c>
      <c r="E255" t="str">
        <f>IF($C255="","",IF(AND(LEFT($F255,3)="ДОК",$H255&lt;&gt;""),IFERROR(INDEX(Документация!$D$2:$D$57,MATCH($H255,Документация!$F$2:$F$57,0)),""),IFERROR(INDEX(Работы!$C$2:$C$6000,MATCH($C255,Работы!$A$2:$A$6000,0)),"")))</f>
        <v/>
      </c>
      <c r="F255" t="str">
        <f>IF($C255="","",IFERROR(INDEX(Работы!$G$2:$G$6000,MATCH($C255,Работы!$A$2:$A$6000,0))&amp;"",""))</f>
        <v/>
      </c>
      <c r="G255" s="4"/>
      <c r="H255" s="4"/>
      <c r="I255" s="5" t="str">
        <f>IF((LEFT($F255,3)="ДОК"),"",IF($H255="","",IFERROR(INDEX(Материалы!$B$2:$B$9000,MATCH($H255,Материалы!$M$2:$M$9000,0)),"")))</f>
        <v/>
      </c>
      <c r="J255" s="6">
        <f>IF(AND(LEFT($F255,3)="ДОК",$H255&lt;&gt;""),IFERROR(INDEX(Документация!$E$2:$E$57,MATCH($H255,Документация!$F$2:$F$57,0)),0),IFERROR(INDEX(Работы!$H$2:$H$6000,MATCH($C255,Работы!$A$2:$A$6000,0)),0))*(1-MEDIAN(0,N(ДисконтТендер),1))</f>
        <v>0</v>
      </c>
      <c r="K255" s="6">
        <f>IF(OR((LEFT($F255,3)="ДОК"),$H255=""),0,IFERROR(INDEX(Материалы!$H$2:$H$9000,MATCH($H255,Материалы!$M$2:$M$9000,0))*IF(INDEX(Материалы!$I$2:$I$9000,MATCH($H255,Материалы!$M$2:$M$9000,0))="USD",КурсUSD,IF(INDEX(Материалы!$I$2:$I$9000,MATCH($H255,Материалы!$M$2:$M$9000,0))="EUR",КурсEUR,1))*(1+IFERROR(INDEX(Работы!$I$2:$I$6000,MATCH($C255,Работы!$A$2:$A$6000,0))/100,0))*(1-MEDIAN(0,N(ДисконтТендер),1)),0))</f>
        <v>0</v>
      </c>
      <c r="L255" s="6">
        <f t="shared" si="19"/>
        <v>0</v>
      </c>
      <c r="M255" s="6">
        <f t="shared" si="20"/>
        <v>0</v>
      </c>
      <c r="N255" s="6">
        <f t="shared" si="21"/>
        <v>0</v>
      </c>
      <c r="O255" t="str">
        <f>IF($N255&gt;0,MAX($O$1:$O254)+1,"")</f>
        <v/>
      </c>
      <c r="P255" t="str">
        <f>IF($C255="","",IFERROR(INDEX(Работы!$D$2:$D$6000,MATCH($C255,Работы!$A$2:$A$6000,0)),""))</f>
        <v/>
      </c>
      <c r="Q255" t="str">
        <f t="shared" si="22"/>
        <v/>
      </c>
      <c r="R255" t="str">
        <f t="shared" si="23"/>
        <v/>
      </c>
      <c r="S255" t="str">
        <f>IF($P255="","",$P255&amp;" · "&amp;IFERROR(INDEX(Работы!$E$2:$E$6000,MATCH($C255,Работы!$A$2:$A$6000,0)),""))</f>
        <v/>
      </c>
    </row>
    <row r="256" spans="1:19" x14ac:dyDescent="0.3">
      <c r="A256" s="4"/>
      <c r="B256" s="4"/>
      <c r="C256" t="str">
        <f t="shared" si="18"/>
        <v/>
      </c>
      <c r="D256" s="5" t="str">
        <f>IF($C256="","",IF(AND(LEFT($F256,3)="ДОК",$H256&lt;&gt;""),IFERROR(INDEX(Документация!$G$2:$G$57,MATCH($H256,Документация!$F$2:$F$57,0)),"— вариант не найден —"),IFERROR(INDEX(Работы!$B$2:$B$6000,MATCH($C256,Работы!$A$2:$A$6000,0)),"— нет такого кода —")))</f>
        <v/>
      </c>
      <c r="E256" t="str">
        <f>IF($C256="","",IF(AND(LEFT($F256,3)="ДОК",$H256&lt;&gt;""),IFERROR(INDEX(Документация!$D$2:$D$57,MATCH($H256,Документация!$F$2:$F$57,0)),""),IFERROR(INDEX(Работы!$C$2:$C$6000,MATCH($C256,Работы!$A$2:$A$6000,0)),"")))</f>
        <v/>
      </c>
      <c r="F256" t="str">
        <f>IF($C256="","",IFERROR(INDEX(Работы!$G$2:$G$6000,MATCH($C256,Работы!$A$2:$A$6000,0))&amp;"",""))</f>
        <v/>
      </c>
      <c r="G256" s="4"/>
      <c r="H256" s="4"/>
      <c r="I256" s="5" t="str">
        <f>IF((LEFT($F256,3)="ДОК"),"",IF($H256="","",IFERROR(INDEX(Материалы!$B$2:$B$9000,MATCH($H256,Материалы!$M$2:$M$9000,0)),"")))</f>
        <v/>
      </c>
      <c r="J256" s="6">
        <f>IF(AND(LEFT($F256,3)="ДОК",$H256&lt;&gt;""),IFERROR(INDEX(Документация!$E$2:$E$57,MATCH($H256,Документация!$F$2:$F$57,0)),0),IFERROR(INDEX(Работы!$H$2:$H$6000,MATCH($C256,Работы!$A$2:$A$6000,0)),0))*(1-MEDIAN(0,N(ДисконтТендер),1))</f>
        <v>0</v>
      </c>
      <c r="K256" s="6">
        <f>IF(OR((LEFT($F256,3)="ДОК"),$H256=""),0,IFERROR(INDEX(Материалы!$H$2:$H$9000,MATCH($H256,Материалы!$M$2:$M$9000,0))*IF(INDEX(Материалы!$I$2:$I$9000,MATCH($H256,Материалы!$M$2:$M$9000,0))="USD",КурсUSD,IF(INDEX(Материалы!$I$2:$I$9000,MATCH($H256,Материалы!$M$2:$M$9000,0))="EUR",КурсEUR,1))*(1+IFERROR(INDEX(Работы!$I$2:$I$6000,MATCH($C256,Работы!$A$2:$A$6000,0))/100,0))*(1-MEDIAN(0,N(ДисконтТендер),1)),0))</f>
        <v>0</v>
      </c>
      <c r="L256" s="6">
        <f t="shared" si="19"/>
        <v>0</v>
      </c>
      <c r="M256" s="6">
        <f t="shared" si="20"/>
        <v>0</v>
      </c>
      <c r="N256" s="6">
        <f t="shared" si="21"/>
        <v>0</v>
      </c>
      <c r="O256" t="str">
        <f>IF($N256&gt;0,MAX($O$1:$O255)+1,"")</f>
        <v/>
      </c>
      <c r="P256" t="str">
        <f>IF($C256="","",IFERROR(INDEX(Работы!$D$2:$D$6000,MATCH($C256,Работы!$A$2:$A$6000,0)),""))</f>
        <v/>
      </c>
      <c r="Q256" t="str">
        <f t="shared" si="22"/>
        <v/>
      </c>
      <c r="R256" t="str">
        <f t="shared" si="23"/>
        <v/>
      </c>
      <c r="S256" t="str">
        <f>IF($P256="","",$P256&amp;" · "&amp;IFERROR(INDEX(Работы!$E$2:$E$6000,MATCH($C256,Работы!$A$2:$A$6000,0)),""))</f>
        <v/>
      </c>
    </row>
    <row r="257" spans="1:19" x14ac:dyDescent="0.3">
      <c r="A257" s="4"/>
      <c r="B257" s="4"/>
      <c r="C257" t="str">
        <f t="shared" si="18"/>
        <v/>
      </c>
      <c r="D257" s="5" t="str">
        <f>IF($C257="","",IF(AND(LEFT($F257,3)="ДОК",$H257&lt;&gt;""),IFERROR(INDEX(Документация!$G$2:$G$57,MATCH($H257,Документация!$F$2:$F$57,0)),"— вариант не найден —"),IFERROR(INDEX(Работы!$B$2:$B$6000,MATCH($C257,Работы!$A$2:$A$6000,0)),"— нет такого кода —")))</f>
        <v/>
      </c>
      <c r="E257" t="str">
        <f>IF($C257="","",IF(AND(LEFT($F257,3)="ДОК",$H257&lt;&gt;""),IFERROR(INDEX(Документация!$D$2:$D$57,MATCH($H257,Документация!$F$2:$F$57,0)),""),IFERROR(INDEX(Работы!$C$2:$C$6000,MATCH($C257,Работы!$A$2:$A$6000,0)),"")))</f>
        <v/>
      </c>
      <c r="F257" t="str">
        <f>IF($C257="","",IFERROR(INDEX(Работы!$G$2:$G$6000,MATCH($C257,Работы!$A$2:$A$6000,0))&amp;"",""))</f>
        <v/>
      </c>
      <c r="G257" s="4"/>
      <c r="H257" s="4"/>
      <c r="I257" s="5" t="str">
        <f>IF((LEFT($F257,3)="ДОК"),"",IF($H257="","",IFERROR(INDEX(Материалы!$B$2:$B$9000,MATCH($H257,Материалы!$M$2:$M$9000,0)),"")))</f>
        <v/>
      </c>
      <c r="J257" s="6">
        <f>IF(AND(LEFT($F257,3)="ДОК",$H257&lt;&gt;""),IFERROR(INDEX(Документация!$E$2:$E$57,MATCH($H257,Документация!$F$2:$F$57,0)),0),IFERROR(INDEX(Работы!$H$2:$H$6000,MATCH($C257,Работы!$A$2:$A$6000,0)),0))*(1-MEDIAN(0,N(ДисконтТендер),1))</f>
        <v>0</v>
      </c>
      <c r="K257" s="6">
        <f>IF(OR((LEFT($F257,3)="ДОК"),$H257=""),0,IFERROR(INDEX(Материалы!$H$2:$H$9000,MATCH($H257,Материалы!$M$2:$M$9000,0))*IF(INDEX(Материалы!$I$2:$I$9000,MATCH($H257,Материалы!$M$2:$M$9000,0))="USD",КурсUSD,IF(INDEX(Материалы!$I$2:$I$9000,MATCH($H257,Материалы!$M$2:$M$9000,0))="EUR",КурсEUR,1))*(1+IFERROR(INDEX(Работы!$I$2:$I$6000,MATCH($C257,Работы!$A$2:$A$6000,0))/100,0))*(1-MEDIAN(0,N(ДисконтТендер),1)),0))</f>
        <v>0</v>
      </c>
      <c r="L257" s="6">
        <f t="shared" si="19"/>
        <v>0</v>
      </c>
      <c r="M257" s="6">
        <f t="shared" si="20"/>
        <v>0</v>
      </c>
      <c r="N257" s="6">
        <f t="shared" si="21"/>
        <v>0</v>
      </c>
      <c r="O257" t="str">
        <f>IF($N257&gt;0,MAX($O$1:$O256)+1,"")</f>
        <v/>
      </c>
      <c r="P257" t="str">
        <f>IF($C257="","",IFERROR(INDEX(Работы!$D$2:$D$6000,MATCH($C257,Работы!$A$2:$A$6000,0)),""))</f>
        <v/>
      </c>
      <c r="Q257" t="str">
        <f t="shared" si="22"/>
        <v/>
      </c>
      <c r="R257" t="str">
        <f t="shared" si="23"/>
        <v/>
      </c>
      <c r="S257" t="str">
        <f>IF($P257="","",$P257&amp;" · "&amp;IFERROR(INDEX(Работы!$E$2:$E$6000,MATCH($C257,Работы!$A$2:$A$6000,0)),""))</f>
        <v/>
      </c>
    </row>
    <row r="258" spans="1:19" x14ac:dyDescent="0.3">
      <c r="A258" s="4"/>
      <c r="B258" s="4"/>
      <c r="C258" t="str">
        <f t="shared" ref="C258:C321" si="24">IF($B258="","",IFERROR(LEFT($B258,FIND(" — ",$B258)-1),$B258))</f>
        <v/>
      </c>
      <c r="D258" s="5" t="str">
        <f>IF($C258="","",IF(AND(LEFT($F258,3)="ДОК",$H258&lt;&gt;""),IFERROR(INDEX(Документация!$G$2:$G$57,MATCH($H258,Документация!$F$2:$F$57,0)),"— вариант не найден —"),IFERROR(INDEX(Работы!$B$2:$B$6000,MATCH($C258,Работы!$A$2:$A$6000,0)),"— нет такого кода —")))</f>
        <v/>
      </c>
      <c r="E258" t="str">
        <f>IF($C258="","",IF(AND(LEFT($F258,3)="ДОК",$H258&lt;&gt;""),IFERROR(INDEX(Документация!$D$2:$D$57,MATCH($H258,Документация!$F$2:$F$57,0)),""),IFERROR(INDEX(Работы!$C$2:$C$6000,MATCH($C258,Работы!$A$2:$A$6000,0)),"")))</f>
        <v/>
      </c>
      <c r="F258" t="str">
        <f>IF($C258="","",IFERROR(INDEX(Работы!$G$2:$G$6000,MATCH($C258,Работы!$A$2:$A$6000,0))&amp;"",""))</f>
        <v/>
      </c>
      <c r="G258" s="4"/>
      <c r="H258" s="4"/>
      <c r="I258" s="5" t="str">
        <f>IF((LEFT($F258,3)="ДОК"),"",IF($H258="","",IFERROR(INDEX(Материалы!$B$2:$B$9000,MATCH($H258,Материалы!$M$2:$M$9000,0)),"")))</f>
        <v/>
      </c>
      <c r="J258" s="6">
        <f>IF(AND(LEFT($F258,3)="ДОК",$H258&lt;&gt;""),IFERROR(INDEX(Документация!$E$2:$E$57,MATCH($H258,Документация!$F$2:$F$57,0)),0),IFERROR(INDEX(Работы!$H$2:$H$6000,MATCH($C258,Работы!$A$2:$A$6000,0)),0))*(1-MEDIAN(0,N(ДисконтТендер),1))</f>
        <v>0</v>
      </c>
      <c r="K258" s="6">
        <f>IF(OR((LEFT($F258,3)="ДОК"),$H258=""),0,IFERROR(INDEX(Материалы!$H$2:$H$9000,MATCH($H258,Материалы!$M$2:$M$9000,0))*IF(INDEX(Материалы!$I$2:$I$9000,MATCH($H258,Материалы!$M$2:$M$9000,0))="USD",КурсUSD,IF(INDEX(Материалы!$I$2:$I$9000,MATCH($H258,Материалы!$M$2:$M$9000,0))="EUR",КурсEUR,1))*(1+IFERROR(INDEX(Работы!$I$2:$I$6000,MATCH($C258,Работы!$A$2:$A$6000,0))/100,0))*(1-MEDIAN(0,N(ДисконтТендер),1)),0))</f>
        <v>0</v>
      </c>
      <c r="L258" s="6">
        <f t="shared" ref="L258:L321" si="25">IF($G258&lt;&gt;"",ROUND($G258*$J258,2),0)</f>
        <v>0</v>
      </c>
      <c r="M258" s="6">
        <f t="shared" ref="M258:M321" si="26">IF($G258&lt;&gt;"",ROUND($G258*$K258,2),0)</f>
        <v>0</v>
      </c>
      <c r="N258" s="6">
        <f t="shared" ref="N258:N321" si="27">$L258+$M258</f>
        <v>0</v>
      </c>
      <c r="O258" t="str">
        <f>IF($N258&gt;0,MAX($O$1:$O257)+1,"")</f>
        <v/>
      </c>
      <c r="P258" t="str">
        <f>IF($C258="","",IFERROR(INDEX(Работы!$D$2:$D$6000,MATCH($C258,Работы!$A$2:$A$6000,0)),""))</f>
        <v/>
      </c>
      <c r="Q258" t="str">
        <f t="shared" ref="Q258:Q321" si="28">IF($O258="","",IF($O258=1,1,IF($P258&lt;&gt;IFERROR(INDEX($P$2:$P$501,MATCH($O258-1,$O$2:$O$501,0)),"~"),1,0)))</f>
        <v/>
      </c>
      <c r="R258" t="str">
        <f t="shared" ref="R258:R321" si="29">IF($O258="","",$O258+SUMIFS($Q$2:$Q$501,$O$2:$O$501,"&lt;="&amp;$O258))</f>
        <v/>
      </c>
      <c r="S258" t="str">
        <f>IF($P258="","",$P258&amp;" · "&amp;IFERROR(INDEX(Работы!$E$2:$E$6000,MATCH($C258,Работы!$A$2:$A$6000,0)),""))</f>
        <v/>
      </c>
    </row>
    <row r="259" spans="1:19" x14ac:dyDescent="0.3">
      <c r="A259" s="4"/>
      <c r="B259" s="4"/>
      <c r="C259" t="str">
        <f t="shared" si="24"/>
        <v/>
      </c>
      <c r="D259" s="5" t="str">
        <f>IF($C259="","",IF(AND(LEFT($F259,3)="ДОК",$H259&lt;&gt;""),IFERROR(INDEX(Документация!$G$2:$G$57,MATCH($H259,Документация!$F$2:$F$57,0)),"— вариант не найден —"),IFERROR(INDEX(Работы!$B$2:$B$6000,MATCH($C259,Работы!$A$2:$A$6000,0)),"— нет такого кода —")))</f>
        <v/>
      </c>
      <c r="E259" t="str">
        <f>IF($C259="","",IF(AND(LEFT($F259,3)="ДОК",$H259&lt;&gt;""),IFERROR(INDEX(Документация!$D$2:$D$57,MATCH($H259,Документация!$F$2:$F$57,0)),""),IFERROR(INDEX(Работы!$C$2:$C$6000,MATCH($C259,Работы!$A$2:$A$6000,0)),"")))</f>
        <v/>
      </c>
      <c r="F259" t="str">
        <f>IF($C259="","",IFERROR(INDEX(Работы!$G$2:$G$6000,MATCH($C259,Работы!$A$2:$A$6000,0))&amp;"",""))</f>
        <v/>
      </c>
      <c r="G259" s="4"/>
      <c r="H259" s="4"/>
      <c r="I259" s="5" t="str">
        <f>IF((LEFT($F259,3)="ДОК"),"",IF($H259="","",IFERROR(INDEX(Материалы!$B$2:$B$9000,MATCH($H259,Материалы!$M$2:$M$9000,0)),"")))</f>
        <v/>
      </c>
      <c r="J259" s="6">
        <f>IF(AND(LEFT($F259,3)="ДОК",$H259&lt;&gt;""),IFERROR(INDEX(Документация!$E$2:$E$57,MATCH($H259,Документация!$F$2:$F$57,0)),0),IFERROR(INDEX(Работы!$H$2:$H$6000,MATCH($C259,Работы!$A$2:$A$6000,0)),0))*(1-MEDIAN(0,N(ДисконтТендер),1))</f>
        <v>0</v>
      </c>
      <c r="K259" s="6">
        <f>IF(OR((LEFT($F259,3)="ДОК"),$H259=""),0,IFERROR(INDEX(Материалы!$H$2:$H$9000,MATCH($H259,Материалы!$M$2:$M$9000,0))*IF(INDEX(Материалы!$I$2:$I$9000,MATCH($H259,Материалы!$M$2:$M$9000,0))="USD",КурсUSD,IF(INDEX(Материалы!$I$2:$I$9000,MATCH($H259,Материалы!$M$2:$M$9000,0))="EUR",КурсEUR,1))*(1+IFERROR(INDEX(Работы!$I$2:$I$6000,MATCH($C259,Работы!$A$2:$A$6000,0))/100,0))*(1-MEDIAN(0,N(ДисконтТендер),1)),0))</f>
        <v>0</v>
      </c>
      <c r="L259" s="6">
        <f t="shared" si="25"/>
        <v>0</v>
      </c>
      <c r="M259" s="6">
        <f t="shared" si="26"/>
        <v>0</v>
      </c>
      <c r="N259" s="6">
        <f t="shared" si="27"/>
        <v>0</v>
      </c>
      <c r="O259" t="str">
        <f>IF($N259&gt;0,MAX($O$1:$O258)+1,"")</f>
        <v/>
      </c>
      <c r="P259" t="str">
        <f>IF($C259="","",IFERROR(INDEX(Работы!$D$2:$D$6000,MATCH($C259,Работы!$A$2:$A$6000,0)),""))</f>
        <v/>
      </c>
      <c r="Q259" t="str">
        <f t="shared" si="28"/>
        <v/>
      </c>
      <c r="R259" t="str">
        <f t="shared" si="29"/>
        <v/>
      </c>
      <c r="S259" t="str">
        <f>IF($P259="","",$P259&amp;" · "&amp;IFERROR(INDEX(Работы!$E$2:$E$6000,MATCH($C259,Работы!$A$2:$A$6000,0)),""))</f>
        <v/>
      </c>
    </row>
    <row r="260" spans="1:19" x14ac:dyDescent="0.3">
      <c r="A260" s="4"/>
      <c r="B260" s="4"/>
      <c r="C260" t="str">
        <f t="shared" si="24"/>
        <v/>
      </c>
      <c r="D260" s="5" t="str">
        <f>IF($C260="","",IF(AND(LEFT($F260,3)="ДОК",$H260&lt;&gt;""),IFERROR(INDEX(Документация!$G$2:$G$57,MATCH($H260,Документация!$F$2:$F$57,0)),"— вариант не найден —"),IFERROR(INDEX(Работы!$B$2:$B$6000,MATCH($C260,Работы!$A$2:$A$6000,0)),"— нет такого кода —")))</f>
        <v/>
      </c>
      <c r="E260" t="str">
        <f>IF($C260="","",IF(AND(LEFT($F260,3)="ДОК",$H260&lt;&gt;""),IFERROR(INDEX(Документация!$D$2:$D$57,MATCH($H260,Документация!$F$2:$F$57,0)),""),IFERROR(INDEX(Работы!$C$2:$C$6000,MATCH($C260,Работы!$A$2:$A$6000,0)),"")))</f>
        <v/>
      </c>
      <c r="F260" t="str">
        <f>IF($C260="","",IFERROR(INDEX(Работы!$G$2:$G$6000,MATCH($C260,Работы!$A$2:$A$6000,0))&amp;"",""))</f>
        <v/>
      </c>
      <c r="G260" s="4"/>
      <c r="H260" s="4"/>
      <c r="I260" s="5" t="str">
        <f>IF((LEFT($F260,3)="ДОК"),"",IF($H260="","",IFERROR(INDEX(Материалы!$B$2:$B$9000,MATCH($H260,Материалы!$M$2:$M$9000,0)),"")))</f>
        <v/>
      </c>
      <c r="J260" s="6">
        <f>IF(AND(LEFT($F260,3)="ДОК",$H260&lt;&gt;""),IFERROR(INDEX(Документация!$E$2:$E$57,MATCH($H260,Документация!$F$2:$F$57,0)),0),IFERROR(INDEX(Работы!$H$2:$H$6000,MATCH($C260,Работы!$A$2:$A$6000,0)),0))*(1-MEDIAN(0,N(ДисконтТендер),1))</f>
        <v>0</v>
      </c>
      <c r="K260" s="6">
        <f>IF(OR((LEFT($F260,3)="ДОК"),$H260=""),0,IFERROR(INDEX(Материалы!$H$2:$H$9000,MATCH($H260,Материалы!$M$2:$M$9000,0))*IF(INDEX(Материалы!$I$2:$I$9000,MATCH($H260,Материалы!$M$2:$M$9000,0))="USD",КурсUSD,IF(INDEX(Материалы!$I$2:$I$9000,MATCH($H260,Материалы!$M$2:$M$9000,0))="EUR",КурсEUR,1))*(1+IFERROR(INDEX(Работы!$I$2:$I$6000,MATCH($C260,Работы!$A$2:$A$6000,0))/100,0))*(1-MEDIAN(0,N(ДисконтТендер),1)),0))</f>
        <v>0</v>
      </c>
      <c r="L260" s="6">
        <f t="shared" si="25"/>
        <v>0</v>
      </c>
      <c r="M260" s="6">
        <f t="shared" si="26"/>
        <v>0</v>
      </c>
      <c r="N260" s="6">
        <f t="shared" si="27"/>
        <v>0</v>
      </c>
      <c r="O260" t="str">
        <f>IF($N260&gt;0,MAX($O$1:$O259)+1,"")</f>
        <v/>
      </c>
      <c r="P260" t="str">
        <f>IF($C260="","",IFERROR(INDEX(Работы!$D$2:$D$6000,MATCH($C260,Работы!$A$2:$A$6000,0)),""))</f>
        <v/>
      </c>
      <c r="Q260" t="str">
        <f t="shared" si="28"/>
        <v/>
      </c>
      <c r="R260" t="str">
        <f t="shared" si="29"/>
        <v/>
      </c>
      <c r="S260" t="str">
        <f>IF($P260="","",$P260&amp;" · "&amp;IFERROR(INDEX(Работы!$E$2:$E$6000,MATCH($C260,Работы!$A$2:$A$6000,0)),""))</f>
        <v/>
      </c>
    </row>
    <row r="261" spans="1:19" x14ac:dyDescent="0.3">
      <c r="A261" s="4"/>
      <c r="B261" s="4"/>
      <c r="C261" t="str">
        <f t="shared" si="24"/>
        <v/>
      </c>
      <c r="D261" s="5" t="str">
        <f>IF($C261="","",IF(AND(LEFT($F261,3)="ДОК",$H261&lt;&gt;""),IFERROR(INDEX(Документация!$G$2:$G$57,MATCH($H261,Документация!$F$2:$F$57,0)),"— вариант не найден —"),IFERROR(INDEX(Работы!$B$2:$B$6000,MATCH($C261,Работы!$A$2:$A$6000,0)),"— нет такого кода —")))</f>
        <v/>
      </c>
      <c r="E261" t="str">
        <f>IF($C261="","",IF(AND(LEFT($F261,3)="ДОК",$H261&lt;&gt;""),IFERROR(INDEX(Документация!$D$2:$D$57,MATCH($H261,Документация!$F$2:$F$57,0)),""),IFERROR(INDEX(Работы!$C$2:$C$6000,MATCH($C261,Работы!$A$2:$A$6000,0)),"")))</f>
        <v/>
      </c>
      <c r="F261" t="str">
        <f>IF($C261="","",IFERROR(INDEX(Работы!$G$2:$G$6000,MATCH($C261,Работы!$A$2:$A$6000,0))&amp;"",""))</f>
        <v/>
      </c>
      <c r="G261" s="4"/>
      <c r="H261" s="4"/>
      <c r="I261" s="5" t="str">
        <f>IF((LEFT($F261,3)="ДОК"),"",IF($H261="","",IFERROR(INDEX(Материалы!$B$2:$B$9000,MATCH($H261,Материалы!$M$2:$M$9000,0)),"")))</f>
        <v/>
      </c>
      <c r="J261" s="6">
        <f>IF(AND(LEFT($F261,3)="ДОК",$H261&lt;&gt;""),IFERROR(INDEX(Документация!$E$2:$E$57,MATCH($H261,Документация!$F$2:$F$57,0)),0),IFERROR(INDEX(Работы!$H$2:$H$6000,MATCH($C261,Работы!$A$2:$A$6000,0)),0))*(1-MEDIAN(0,N(ДисконтТендер),1))</f>
        <v>0</v>
      </c>
      <c r="K261" s="6">
        <f>IF(OR((LEFT($F261,3)="ДОК"),$H261=""),0,IFERROR(INDEX(Материалы!$H$2:$H$9000,MATCH($H261,Материалы!$M$2:$M$9000,0))*IF(INDEX(Материалы!$I$2:$I$9000,MATCH($H261,Материалы!$M$2:$M$9000,0))="USD",КурсUSD,IF(INDEX(Материалы!$I$2:$I$9000,MATCH($H261,Материалы!$M$2:$M$9000,0))="EUR",КурсEUR,1))*(1+IFERROR(INDEX(Работы!$I$2:$I$6000,MATCH($C261,Работы!$A$2:$A$6000,0))/100,0))*(1-MEDIAN(0,N(ДисконтТендер),1)),0))</f>
        <v>0</v>
      </c>
      <c r="L261" s="6">
        <f t="shared" si="25"/>
        <v>0</v>
      </c>
      <c r="M261" s="6">
        <f t="shared" si="26"/>
        <v>0</v>
      </c>
      <c r="N261" s="6">
        <f t="shared" si="27"/>
        <v>0</v>
      </c>
      <c r="O261" t="str">
        <f>IF($N261&gt;0,MAX($O$1:$O260)+1,"")</f>
        <v/>
      </c>
      <c r="P261" t="str">
        <f>IF($C261="","",IFERROR(INDEX(Работы!$D$2:$D$6000,MATCH($C261,Работы!$A$2:$A$6000,0)),""))</f>
        <v/>
      </c>
      <c r="Q261" t="str">
        <f t="shared" si="28"/>
        <v/>
      </c>
      <c r="R261" t="str">
        <f t="shared" si="29"/>
        <v/>
      </c>
      <c r="S261" t="str">
        <f>IF($P261="","",$P261&amp;" · "&amp;IFERROR(INDEX(Работы!$E$2:$E$6000,MATCH($C261,Работы!$A$2:$A$6000,0)),""))</f>
        <v/>
      </c>
    </row>
    <row r="262" spans="1:19" x14ac:dyDescent="0.3">
      <c r="A262" s="4"/>
      <c r="B262" s="4"/>
      <c r="C262" t="str">
        <f t="shared" si="24"/>
        <v/>
      </c>
      <c r="D262" s="5" t="str">
        <f>IF($C262="","",IF(AND(LEFT($F262,3)="ДОК",$H262&lt;&gt;""),IFERROR(INDEX(Документация!$G$2:$G$57,MATCH($H262,Документация!$F$2:$F$57,0)),"— вариант не найден —"),IFERROR(INDEX(Работы!$B$2:$B$6000,MATCH($C262,Работы!$A$2:$A$6000,0)),"— нет такого кода —")))</f>
        <v/>
      </c>
      <c r="E262" t="str">
        <f>IF($C262="","",IF(AND(LEFT($F262,3)="ДОК",$H262&lt;&gt;""),IFERROR(INDEX(Документация!$D$2:$D$57,MATCH($H262,Документация!$F$2:$F$57,0)),""),IFERROR(INDEX(Работы!$C$2:$C$6000,MATCH($C262,Работы!$A$2:$A$6000,0)),"")))</f>
        <v/>
      </c>
      <c r="F262" t="str">
        <f>IF($C262="","",IFERROR(INDEX(Работы!$G$2:$G$6000,MATCH($C262,Работы!$A$2:$A$6000,0))&amp;"",""))</f>
        <v/>
      </c>
      <c r="G262" s="4"/>
      <c r="H262" s="4"/>
      <c r="I262" s="5" t="str">
        <f>IF((LEFT($F262,3)="ДОК"),"",IF($H262="","",IFERROR(INDEX(Материалы!$B$2:$B$9000,MATCH($H262,Материалы!$M$2:$M$9000,0)),"")))</f>
        <v/>
      </c>
      <c r="J262" s="6">
        <f>IF(AND(LEFT($F262,3)="ДОК",$H262&lt;&gt;""),IFERROR(INDEX(Документация!$E$2:$E$57,MATCH($H262,Документация!$F$2:$F$57,0)),0),IFERROR(INDEX(Работы!$H$2:$H$6000,MATCH($C262,Работы!$A$2:$A$6000,0)),0))*(1-MEDIAN(0,N(ДисконтТендер),1))</f>
        <v>0</v>
      </c>
      <c r="K262" s="6">
        <f>IF(OR((LEFT($F262,3)="ДОК"),$H262=""),0,IFERROR(INDEX(Материалы!$H$2:$H$9000,MATCH($H262,Материалы!$M$2:$M$9000,0))*IF(INDEX(Материалы!$I$2:$I$9000,MATCH($H262,Материалы!$M$2:$M$9000,0))="USD",КурсUSD,IF(INDEX(Материалы!$I$2:$I$9000,MATCH($H262,Материалы!$M$2:$M$9000,0))="EUR",КурсEUR,1))*(1+IFERROR(INDEX(Работы!$I$2:$I$6000,MATCH($C262,Работы!$A$2:$A$6000,0))/100,0))*(1-MEDIAN(0,N(ДисконтТендер),1)),0))</f>
        <v>0</v>
      </c>
      <c r="L262" s="6">
        <f t="shared" si="25"/>
        <v>0</v>
      </c>
      <c r="M262" s="6">
        <f t="shared" si="26"/>
        <v>0</v>
      </c>
      <c r="N262" s="6">
        <f t="shared" si="27"/>
        <v>0</v>
      </c>
      <c r="O262" t="str">
        <f>IF($N262&gt;0,MAX($O$1:$O261)+1,"")</f>
        <v/>
      </c>
      <c r="P262" t="str">
        <f>IF($C262="","",IFERROR(INDEX(Работы!$D$2:$D$6000,MATCH($C262,Работы!$A$2:$A$6000,0)),""))</f>
        <v/>
      </c>
      <c r="Q262" t="str">
        <f t="shared" si="28"/>
        <v/>
      </c>
      <c r="R262" t="str">
        <f t="shared" si="29"/>
        <v/>
      </c>
      <c r="S262" t="str">
        <f>IF($P262="","",$P262&amp;" · "&amp;IFERROR(INDEX(Работы!$E$2:$E$6000,MATCH($C262,Работы!$A$2:$A$6000,0)),""))</f>
        <v/>
      </c>
    </row>
    <row r="263" spans="1:19" x14ac:dyDescent="0.3">
      <c r="A263" s="4"/>
      <c r="B263" s="4"/>
      <c r="C263" t="str">
        <f t="shared" si="24"/>
        <v/>
      </c>
      <c r="D263" s="5" t="str">
        <f>IF($C263="","",IF(AND(LEFT($F263,3)="ДОК",$H263&lt;&gt;""),IFERROR(INDEX(Документация!$G$2:$G$57,MATCH($H263,Документация!$F$2:$F$57,0)),"— вариант не найден —"),IFERROR(INDEX(Работы!$B$2:$B$6000,MATCH($C263,Работы!$A$2:$A$6000,0)),"— нет такого кода —")))</f>
        <v/>
      </c>
      <c r="E263" t="str">
        <f>IF($C263="","",IF(AND(LEFT($F263,3)="ДОК",$H263&lt;&gt;""),IFERROR(INDEX(Документация!$D$2:$D$57,MATCH($H263,Документация!$F$2:$F$57,0)),""),IFERROR(INDEX(Работы!$C$2:$C$6000,MATCH($C263,Работы!$A$2:$A$6000,0)),"")))</f>
        <v/>
      </c>
      <c r="F263" t="str">
        <f>IF($C263="","",IFERROR(INDEX(Работы!$G$2:$G$6000,MATCH($C263,Работы!$A$2:$A$6000,0))&amp;"",""))</f>
        <v/>
      </c>
      <c r="G263" s="4"/>
      <c r="H263" s="4"/>
      <c r="I263" s="5" t="str">
        <f>IF((LEFT($F263,3)="ДОК"),"",IF($H263="","",IFERROR(INDEX(Материалы!$B$2:$B$9000,MATCH($H263,Материалы!$M$2:$M$9000,0)),"")))</f>
        <v/>
      </c>
      <c r="J263" s="6">
        <f>IF(AND(LEFT($F263,3)="ДОК",$H263&lt;&gt;""),IFERROR(INDEX(Документация!$E$2:$E$57,MATCH($H263,Документация!$F$2:$F$57,0)),0),IFERROR(INDEX(Работы!$H$2:$H$6000,MATCH($C263,Работы!$A$2:$A$6000,0)),0))*(1-MEDIAN(0,N(ДисконтТендер),1))</f>
        <v>0</v>
      </c>
      <c r="K263" s="6">
        <f>IF(OR((LEFT($F263,3)="ДОК"),$H263=""),0,IFERROR(INDEX(Материалы!$H$2:$H$9000,MATCH($H263,Материалы!$M$2:$M$9000,0))*IF(INDEX(Материалы!$I$2:$I$9000,MATCH($H263,Материалы!$M$2:$M$9000,0))="USD",КурсUSD,IF(INDEX(Материалы!$I$2:$I$9000,MATCH($H263,Материалы!$M$2:$M$9000,0))="EUR",КурсEUR,1))*(1+IFERROR(INDEX(Работы!$I$2:$I$6000,MATCH($C263,Работы!$A$2:$A$6000,0))/100,0))*(1-MEDIAN(0,N(ДисконтТендер),1)),0))</f>
        <v>0</v>
      </c>
      <c r="L263" s="6">
        <f t="shared" si="25"/>
        <v>0</v>
      </c>
      <c r="M263" s="6">
        <f t="shared" si="26"/>
        <v>0</v>
      </c>
      <c r="N263" s="6">
        <f t="shared" si="27"/>
        <v>0</v>
      </c>
      <c r="O263" t="str">
        <f>IF($N263&gt;0,MAX($O$1:$O262)+1,"")</f>
        <v/>
      </c>
      <c r="P263" t="str">
        <f>IF($C263="","",IFERROR(INDEX(Работы!$D$2:$D$6000,MATCH($C263,Работы!$A$2:$A$6000,0)),""))</f>
        <v/>
      </c>
      <c r="Q263" t="str">
        <f t="shared" si="28"/>
        <v/>
      </c>
      <c r="R263" t="str">
        <f t="shared" si="29"/>
        <v/>
      </c>
      <c r="S263" t="str">
        <f>IF($P263="","",$P263&amp;" · "&amp;IFERROR(INDEX(Работы!$E$2:$E$6000,MATCH($C263,Работы!$A$2:$A$6000,0)),""))</f>
        <v/>
      </c>
    </row>
    <row r="264" spans="1:19" x14ac:dyDescent="0.3">
      <c r="A264" s="4"/>
      <c r="B264" s="4"/>
      <c r="C264" t="str">
        <f t="shared" si="24"/>
        <v/>
      </c>
      <c r="D264" s="5" t="str">
        <f>IF($C264="","",IF(AND(LEFT($F264,3)="ДОК",$H264&lt;&gt;""),IFERROR(INDEX(Документация!$G$2:$G$57,MATCH($H264,Документация!$F$2:$F$57,0)),"— вариант не найден —"),IFERROR(INDEX(Работы!$B$2:$B$6000,MATCH($C264,Работы!$A$2:$A$6000,0)),"— нет такого кода —")))</f>
        <v/>
      </c>
      <c r="E264" t="str">
        <f>IF($C264="","",IF(AND(LEFT($F264,3)="ДОК",$H264&lt;&gt;""),IFERROR(INDEX(Документация!$D$2:$D$57,MATCH($H264,Документация!$F$2:$F$57,0)),""),IFERROR(INDEX(Работы!$C$2:$C$6000,MATCH($C264,Работы!$A$2:$A$6000,0)),"")))</f>
        <v/>
      </c>
      <c r="F264" t="str">
        <f>IF($C264="","",IFERROR(INDEX(Работы!$G$2:$G$6000,MATCH($C264,Работы!$A$2:$A$6000,0))&amp;"",""))</f>
        <v/>
      </c>
      <c r="G264" s="4"/>
      <c r="H264" s="4"/>
      <c r="I264" s="5" t="str">
        <f>IF((LEFT($F264,3)="ДОК"),"",IF($H264="","",IFERROR(INDEX(Материалы!$B$2:$B$9000,MATCH($H264,Материалы!$M$2:$M$9000,0)),"")))</f>
        <v/>
      </c>
      <c r="J264" s="6">
        <f>IF(AND(LEFT($F264,3)="ДОК",$H264&lt;&gt;""),IFERROR(INDEX(Документация!$E$2:$E$57,MATCH($H264,Документация!$F$2:$F$57,0)),0),IFERROR(INDEX(Работы!$H$2:$H$6000,MATCH($C264,Работы!$A$2:$A$6000,0)),0))*(1-MEDIAN(0,N(ДисконтТендер),1))</f>
        <v>0</v>
      </c>
      <c r="K264" s="6">
        <f>IF(OR((LEFT($F264,3)="ДОК"),$H264=""),0,IFERROR(INDEX(Материалы!$H$2:$H$9000,MATCH($H264,Материалы!$M$2:$M$9000,0))*IF(INDEX(Материалы!$I$2:$I$9000,MATCH($H264,Материалы!$M$2:$M$9000,0))="USD",КурсUSD,IF(INDEX(Материалы!$I$2:$I$9000,MATCH($H264,Материалы!$M$2:$M$9000,0))="EUR",КурсEUR,1))*(1+IFERROR(INDEX(Работы!$I$2:$I$6000,MATCH($C264,Работы!$A$2:$A$6000,0))/100,0))*(1-MEDIAN(0,N(ДисконтТендер),1)),0))</f>
        <v>0</v>
      </c>
      <c r="L264" s="6">
        <f t="shared" si="25"/>
        <v>0</v>
      </c>
      <c r="M264" s="6">
        <f t="shared" si="26"/>
        <v>0</v>
      </c>
      <c r="N264" s="6">
        <f t="shared" si="27"/>
        <v>0</v>
      </c>
      <c r="O264" t="str">
        <f>IF($N264&gt;0,MAX($O$1:$O263)+1,"")</f>
        <v/>
      </c>
      <c r="P264" t="str">
        <f>IF($C264="","",IFERROR(INDEX(Работы!$D$2:$D$6000,MATCH($C264,Работы!$A$2:$A$6000,0)),""))</f>
        <v/>
      </c>
      <c r="Q264" t="str">
        <f t="shared" si="28"/>
        <v/>
      </c>
      <c r="R264" t="str">
        <f t="shared" si="29"/>
        <v/>
      </c>
      <c r="S264" t="str">
        <f>IF($P264="","",$P264&amp;" · "&amp;IFERROR(INDEX(Работы!$E$2:$E$6000,MATCH($C264,Работы!$A$2:$A$6000,0)),""))</f>
        <v/>
      </c>
    </row>
    <row r="265" spans="1:19" x14ac:dyDescent="0.3">
      <c r="A265" s="4"/>
      <c r="B265" s="4"/>
      <c r="C265" t="str">
        <f t="shared" si="24"/>
        <v/>
      </c>
      <c r="D265" s="5" t="str">
        <f>IF($C265="","",IF(AND(LEFT($F265,3)="ДОК",$H265&lt;&gt;""),IFERROR(INDEX(Документация!$G$2:$G$57,MATCH($H265,Документация!$F$2:$F$57,0)),"— вариант не найден —"),IFERROR(INDEX(Работы!$B$2:$B$6000,MATCH($C265,Работы!$A$2:$A$6000,0)),"— нет такого кода —")))</f>
        <v/>
      </c>
      <c r="E265" t="str">
        <f>IF($C265="","",IF(AND(LEFT($F265,3)="ДОК",$H265&lt;&gt;""),IFERROR(INDEX(Документация!$D$2:$D$57,MATCH($H265,Документация!$F$2:$F$57,0)),""),IFERROR(INDEX(Работы!$C$2:$C$6000,MATCH($C265,Работы!$A$2:$A$6000,0)),"")))</f>
        <v/>
      </c>
      <c r="F265" t="str">
        <f>IF($C265="","",IFERROR(INDEX(Работы!$G$2:$G$6000,MATCH($C265,Работы!$A$2:$A$6000,0))&amp;"",""))</f>
        <v/>
      </c>
      <c r="G265" s="4"/>
      <c r="H265" s="4"/>
      <c r="I265" s="5" t="str">
        <f>IF((LEFT($F265,3)="ДОК"),"",IF($H265="","",IFERROR(INDEX(Материалы!$B$2:$B$9000,MATCH($H265,Материалы!$M$2:$M$9000,0)),"")))</f>
        <v/>
      </c>
      <c r="J265" s="6">
        <f>IF(AND(LEFT($F265,3)="ДОК",$H265&lt;&gt;""),IFERROR(INDEX(Документация!$E$2:$E$57,MATCH($H265,Документация!$F$2:$F$57,0)),0),IFERROR(INDEX(Работы!$H$2:$H$6000,MATCH($C265,Работы!$A$2:$A$6000,0)),0))*(1-MEDIAN(0,N(ДисконтТендер),1))</f>
        <v>0</v>
      </c>
      <c r="K265" s="6">
        <f>IF(OR((LEFT($F265,3)="ДОК"),$H265=""),0,IFERROR(INDEX(Материалы!$H$2:$H$9000,MATCH($H265,Материалы!$M$2:$M$9000,0))*IF(INDEX(Материалы!$I$2:$I$9000,MATCH($H265,Материалы!$M$2:$M$9000,0))="USD",КурсUSD,IF(INDEX(Материалы!$I$2:$I$9000,MATCH($H265,Материалы!$M$2:$M$9000,0))="EUR",КурсEUR,1))*(1+IFERROR(INDEX(Работы!$I$2:$I$6000,MATCH($C265,Работы!$A$2:$A$6000,0))/100,0))*(1-MEDIAN(0,N(ДисконтТендер),1)),0))</f>
        <v>0</v>
      </c>
      <c r="L265" s="6">
        <f t="shared" si="25"/>
        <v>0</v>
      </c>
      <c r="M265" s="6">
        <f t="shared" si="26"/>
        <v>0</v>
      </c>
      <c r="N265" s="6">
        <f t="shared" si="27"/>
        <v>0</v>
      </c>
      <c r="O265" t="str">
        <f>IF($N265&gt;0,MAX($O$1:$O264)+1,"")</f>
        <v/>
      </c>
      <c r="P265" t="str">
        <f>IF($C265="","",IFERROR(INDEX(Работы!$D$2:$D$6000,MATCH($C265,Работы!$A$2:$A$6000,0)),""))</f>
        <v/>
      </c>
      <c r="Q265" t="str">
        <f t="shared" si="28"/>
        <v/>
      </c>
      <c r="R265" t="str">
        <f t="shared" si="29"/>
        <v/>
      </c>
      <c r="S265" t="str">
        <f>IF($P265="","",$P265&amp;" · "&amp;IFERROR(INDEX(Работы!$E$2:$E$6000,MATCH($C265,Работы!$A$2:$A$6000,0)),""))</f>
        <v/>
      </c>
    </row>
    <row r="266" spans="1:19" x14ac:dyDescent="0.3">
      <c r="A266" s="4"/>
      <c r="B266" s="4"/>
      <c r="C266" t="str">
        <f t="shared" si="24"/>
        <v/>
      </c>
      <c r="D266" s="5" t="str">
        <f>IF($C266="","",IF(AND(LEFT($F266,3)="ДОК",$H266&lt;&gt;""),IFERROR(INDEX(Документация!$G$2:$G$57,MATCH($H266,Документация!$F$2:$F$57,0)),"— вариант не найден —"),IFERROR(INDEX(Работы!$B$2:$B$6000,MATCH($C266,Работы!$A$2:$A$6000,0)),"— нет такого кода —")))</f>
        <v/>
      </c>
      <c r="E266" t="str">
        <f>IF($C266="","",IF(AND(LEFT($F266,3)="ДОК",$H266&lt;&gt;""),IFERROR(INDEX(Документация!$D$2:$D$57,MATCH($H266,Документация!$F$2:$F$57,0)),""),IFERROR(INDEX(Работы!$C$2:$C$6000,MATCH($C266,Работы!$A$2:$A$6000,0)),"")))</f>
        <v/>
      </c>
      <c r="F266" t="str">
        <f>IF($C266="","",IFERROR(INDEX(Работы!$G$2:$G$6000,MATCH($C266,Работы!$A$2:$A$6000,0))&amp;"",""))</f>
        <v/>
      </c>
      <c r="G266" s="4"/>
      <c r="H266" s="4"/>
      <c r="I266" s="5" t="str">
        <f>IF((LEFT($F266,3)="ДОК"),"",IF($H266="","",IFERROR(INDEX(Материалы!$B$2:$B$9000,MATCH($H266,Материалы!$M$2:$M$9000,0)),"")))</f>
        <v/>
      </c>
      <c r="J266" s="6">
        <f>IF(AND(LEFT($F266,3)="ДОК",$H266&lt;&gt;""),IFERROR(INDEX(Документация!$E$2:$E$57,MATCH($H266,Документация!$F$2:$F$57,0)),0),IFERROR(INDEX(Работы!$H$2:$H$6000,MATCH($C266,Работы!$A$2:$A$6000,0)),0))*(1-MEDIAN(0,N(ДисконтТендер),1))</f>
        <v>0</v>
      </c>
      <c r="K266" s="6">
        <f>IF(OR((LEFT($F266,3)="ДОК"),$H266=""),0,IFERROR(INDEX(Материалы!$H$2:$H$9000,MATCH($H266,Материалы!$M$2:$M$9000,0))*IF(INDEX(Материалы!$I$2:$I$9000,MATCH($H266,Материалы!$M$2:$M$9000,0))="USD",КурсUSD,IF(INDEX(Материалы!$I$2:$I$9000,MATCH($H266,Материалы!$M$2:$M$9000,0))="EUR",КурсEUR,1))*(1+IFERROR(INDEX(Работы!$I$2:$I$6000,MATCH($C266,Работы!$A$2:$A$6000,0))/100,0))*(1-MEDIAN(0,N(ДисконтТендер),1)),0))</f>
        <v>0</v>
      </c>
      <c r="L266" s="6">
        <f t="shared" si="25"/>
        <v>0</v>
      </c>
      <c r="M266" s="6">
        <f t="shared" si="26"/>
        <v>0</v>
      </c>
      <c r="N266" s="6">
        <f t="shared" si="27"/>
        <v>0</v>
      </c>
      <c r="O266" t="str">
        <f>IF($N266&gt;0,MAX($O$1:$O265)+1,"")</f>
        <v/>
      </c>
      <c r="P266" t="str">
        <f>IF($C266="","",IFERROR(INDEX(Работы!$D$2:$D$6000,MATCH($C266,Работы!$A$2:$A$6000,0)),""))</f>
        <v/>
      </c>
      <c r="Q266" t="str">
        <f t="shared" si="28"/>
        <v/>
      </c>
      <c r="R266" t="str">
        <f t="shared" si="29"/>
        <v/>
      </c>
      <c r="S266" t="str">
        <f>IF($P266="","",$P266&amp;" · "&amp;IFERROR(INDEX(Работы!$E$2:$E$6000,MATCH($C266,Работы!$A$2:$A$6000,0)),""))</f>
        <v/>
      </c>
    </row>
    <row r="267" spans="1:19" x14ac:dyDescent="0.3">
      <c r="A267" s="4"/>
      <c r="B267" s="4"/>
      <c r="C267" t="str">
        <f t="shared" si="24"/>
        <v/>
      </c>
      <c r="D267" s="5" t="str">
        <f>IF($C267="","",IF(AND(LEFT($F267,3)="ДОК",$H267&lt;&gt;""),IFERROR(INDEX(Документация!$G$2:$G$57,MATCH($H267,Документация!$F$2:$F$57,0)),"— вариант не найден —"),IFERROR(INDEX(Работы!$B$2:$B$6000,MATCH($C267,Работы!$A$2:$A$6000,0)),"— нет такого кода —")))</f>
        <v/>
      </c>
      <c r="E267" t="str">
        <f>IF($C267="","",IF(AND(LEFT($F267,3)="ДОК",$H267&lt;&gt;""),IFERROR(INDEX(Документация!$D$2:$D$57,MATCH($H267,Документация!$F$2:$F$57,0)),""),IFERROR(INDEX(Работы!$C$2:$C$6000,MATCH($C267,Работы!$A$2:$A$6000,0)),"")))</f>
        <v/>
      </c>
      <c r="F267" t="str">
        <f>IF($C267="","",IFERROR(INDEX(Работы!$G$2:$G$6000,MATCH($C267,Работы!$A$2:$A$6000,0))&amp;"",""))</f>
        <v/>
      </c>
      <c r="G267" s="4"/>
      <c r="H267" s="4"/>
      <c r="I267" s="5" t="str">
        <f>IF((LEFT($F267,3)="ДОК"),"",IF($H267="","",IFERROR(INDEX(Материалы!$B$2:$B$9000,MATCH($H267,Материалы!$M$2:$M$9000,0)),"")))</f>
        <v/>
      </c>
      <c r="J267" s="6">
        <f>IF(AND(LEFT($F267,3)="ДОК",$H267&lt;&gt;""),IFERROR(INDEX(Документация!$E$2:$E$57,MATCH($H267,Документация!$F$2:$F$57,0)),0),IFERROR(INDEX(Работы!$H$2:$H$6000,MATCH($C267,Работы!$A$2:$A$6000,0)),0))*(1-MEDIAN(0,N(ДисконтТендер),1))</f>
        <v>0</v>
      </c>
      <c r="K267" s="6">
        <f>IF(OR((LEFT($F267,3)="ДОК"),$H267=""),0,IFERROR(INDEX(Материалы!$H$2:$H$9000,MATCH($H267,Материалы!$M$2:$M$9000,0))*IF(INDEX(Материалы!$I$2:$I$9000,MATCH($H267,Материалы!$M$2:$M$9000,0))="USD",КурсUSD,IF(INDEX(Материалы!$I$2:$I$9000,MATCH($H267,Материалы!$M$2:$M$9000,0))="EUR",КурсEUR,1))*(1+IFERROR(INDEX(Работы!$I$2:$I$6000,MATCH($C267,Работы!$A$2:$A$6000,0))/100,0))*(1-MEDIAN(0,N(ДисконтТендер),1)),0))</f>
        <v>0</v>
      </c>
      <c r="L267" s="6">
        <f t="shared" si="25"/>
        <v>0</v>
      </c>
      <c r="M267" s="6">
        <f t="shared" si="26"/>
        <v>0</v>
      </c>
      <c r="N267" s="6">
        <f t="shared" si="27"/>
        <v>0</v>
      </c>
      <c r="O267" t="str">
        <f>IF($N267&gt;0,MAX($O$1:$O266)+1,"")</f>
        <v/>
      </c>
      <c r="P267" t="str">
        <f>IF($C267="","",IFERROR(INDEX(Работы!$D$2:$D$6000,MATCH($C267,Работы!$A$2:$A$6000,0)),""))</f>
        <v/>
      </c>
      <c r="Q267" t="str">
        <f t="shared" si="28"/>
        <v/>
      </c>
      <c r="R267" t="str">
        <f t="shared" si="29"/>
        <v/>
      </c>
      <c r="S267" t="str">
        <f>IF($P267="","",$P267&amp;" · "&amp;IFERROR(INDEX(Работы!$E$2:$E$6000,MATCH($C267,Работы!$A$2:$A$6000,0)),""))</f>
        <v/>
      </c>
    </row>
    <row r="268" spans="1:19" x14ac:dyDescent="0.3">
      <c r="A268" s="4"/>
      <c r="B268" s="4"/>
      <c r="C268" t="str">
        <f t="shared" si="24"/>
        <v/>
      </c>
      <c r="D268" s="5" t="str">
        <f>IF($C268="","",IF(AND(LEFT($F268,3)="ДОК",$H268&lt;&gt;""),IFERROR(INDEX(Документация!$G$2:$G$57,MATCH($H268,Документация!$F$2:$F$57,0)),"— вариант не найден —"),IFERROR(INDEX(Работы!$B$2:$B$6000,MATCH($C268,Работы!$A$2:$A$6000,0)),"— нет такого кода —")))</f>
        <v/>
      </c>
      <c r="E268" t="str">
        <f>IF($C268="","",IF(AND(LEFT($F268,3)="ДОК",$H268&lt;&gt;""),IFERROR(INDEX(Документация!$D$2:$D$57,MATCH($H268,Документация!$F$2:$F$57,0)),""),IFERROR(INDEX(Работы!$C$2:$C$6000,MATCH($C268,Работы!$A$2:$A$6000,0)),"")))</f>
        <v/>
      </c>
      <c r="F268" t="str">
        <f>IF($C268="","",IFERROR(INDEX(Работы!$G$2:$G$6000,MATCH($C268,Работы!$A$2:$A$6000,0))&amp;"",""))</f>
        <v/>
      </c>
      <c r="G268" s="4"/>
      <c r="H268" s="4"/>
      <c r="I268" s="5" t="str">
        <f>IF((LEFT($F268,3)="ДОК"),"",IF($H268="","",IFERROR(INDEX(Материалы!$B$2:$B$9000,MATCH($H268,Материалы!$M$2:$M$9000,0)),"")))</f>
        <v/>
      </c>
      <c r="J268" s="6">
        <f>IF(AND(LEFT($F268,3)="ДОК",$H268&lt;&gt;""),IFERROR(INDEX(Документация!$E$2:$E$57,MATCH($H268,Документация!$F$2:$F$57,0)),0),IFERROR(INDEX(Работы!$H$2:$H$6000,MATCH($C268,Работы!$A$2:$A$6000,0)),0))*(1-MEDIAN(0,N(ДисконтТендер),1))</f>
        <v>0</v>
      </c>
      <c r="K268" s="6">
        <f>IF(OR((LEFT($F268,3)="ДОК"),$H268=""),0,IFERROR(INDEX(Материалы!$H$2:$H$9000,MATCH($H268,Материалы!$M$2:$M$9000,0))*IF(INDEX(Материалы!$I$2:$I$9000,MATCH($H268,Материалы!$M$2:$M$9000,0))="USD",КурсUSD,IF(INDEX(Материалы!$I$2:$I$9000,MATCH($H268,Материалы!$M$2:$M$9000,0))="EUR",КурсEUR,1))*(1+IFERROR(INDEX(Работы!$I$2:$I$6000,MATCH($C268,Работы!$A$2:$A$6000,0))/100,0))*(1-MEDIAN(0,N(ДисконтТендер),1)),0))</f>
        <v>0</v>
      </c>
      <c r="L268" s="6">
        <f t="shared" si="25"/>
        <v>0</v>
      </c>
      <c r="M268" s="6">
        <f t="shared" si="26"/>
        <v>0</v>
      </c>
      <c r="N268" s="6">
        <f t="shared" si="27"/>
        <v>0</v>
      </c>
      <c r="O268" t="str">
        <f>IF($N268&gt;0,MAX($O$1:$O267)+1,"")</f>
        <v/>
      </c>
      <c r="P268" t="str">
        <f>IF($C268="","",IFERROR(INDEX(Работы!$D$2:$D$6000,MATCH($C268,Работы!$A$2:$A$6000,0)),""))</f>
        <v/>
      </c>
      <c r="Q268" t="str">
        <f t="shared" si="28"/>
        <v/>
      </c>
      <c r="R268" t="str">
        <f t="shared" si="29"/>
        <v/>
      </c>
      <c r="S268" t="str">
        <f>IF($P268="","",$P268&amp;" · "&amp;IFERROR(INDEX(Работы!$E$2:$E$6000,MATCH($C268,Работы!$A$2:$A$6000,0)),""))</f>
        <v/>
      </c>
    </row>
    <row r="269" spans="1:19" x14ac:dyDescent="0.3">
      <c r="A269" s="4"/>
      <c r="B269" s="4"/>
      <c r="C269" t="str">
        <f t="shared" si="24"/>
        <v/>
      </c>
      <c r="D269" s="5" t="str">
        <f>IF($C269="","",IF(AND(LEFT($F269,3)="ДОК",$H269&lt;&gt;""),IFERROR(INDEX(Документация!$G$2:$G$57,MATCH($H269,Документация!$F$2:$F$57,0)),"— вариант не найден —"),IFERROR(INDEX(Работы!$B$2:$B$6000,MATCH($C269,Работы!$A$2:$A$6000,0)),"— нет такого кода —")))</f>
        <v/>
      </c>
      <c r="E269" t="str">
        <f>IF($C269="","",IF(AND(LEFT($F269,3)="ДОК",$H269&lt;&gt;""),IFERROR(INDEX(Документация!$D$2:$D$57,MATCH($H269,Документация!$F$2:$F$57,0)),""),IFERROR(INDEX(Работы!$C$2:$C$6000,MATCH($C269,Работы!$A$2:$A$6000,0)),"")))</f>
        <v/>
      </c>
      <c r="F269" t="str">
        <f>IF($C269="","",IFERROR(INDEX(Работы!$G$2:$G$6000,MATCH($C269,Работы!$A$2:$A$6000,0))&amp;"",""))</f>
        <v/>
      </c>
      <c r="G269" s="4"/>
      <c r="H269" s="4"/>
      <c r="I269" s="5" t="str">
        <f>IF((LEFT($F269,3)="ДОК"),"",IF($H269="","",IFERROR(INDEX(Материалы!$B$2:$B$9000,MATCH($H269,Материалы!$M$2:$M$9000,0)),"")))</f>
        <v/>
      </c>
      <c r="J269" s="6">
        <f>IF(AND(LEFT($F269,3)="ДОК",$H269&lt;&gt;""),IFERROR(INDEX(Документация!$E$2:$E$57,MATCH($H269,Документация!$F$2:$F$57,0)),0),IFERROR(INDEX(Работы!$H$2:$H$6000,MATCH($C269,Работы!$A$2:$A$6000,0)),0))*(1-MEDIAN(0,N(ДисконтТендер),1))</f>
        <v>0</v>
      </c>
      <c r="K269" s="6">
        <f>IF(OR((LEFT($F269,3)="ДОК"),$H269=""),0,IFERROR(INDEX(Материалы!$H$2:$H$9000,MATCH($H269,Материалы!$M$2:$M$9000,0))*IF(INDEX(Материалы!$I$2:$I$9000,MATCH($H269,Материалы!$M$2:$M$9000,0))="USD",КурсUSD,IF(INDEX(Материалы!$I$2:$I$9000,MATCH($H269,Материалы!$M$2:$M$9000,0))="EUR",КурсEUR,1))*(1+IFERROR(INDEX(Работы!$I$2:$I$6000,MATCH($C269,Работы!$A$2:$A$6000,0))/100,0))*(1-MEDIAN(0,N(ДисконтТендер),1)),0))</f>
        <v>0</v>
      </c>
      <c r="L269" s="6">
        <f t="shared" si="25"/>
        <v>0</v>
      </c>
      <c r="M269" s="6">
        <f t="shared" si="26"/>
        <v>0</v>
      </c>
      <c r="N269" s="6">
        <f t="shared" si="27"/>
        <v>0</v>
      </c>
      <c r="O269" t="str">
        <f>IF($N269&gt;0,MAX($O$1:$O268)+1,"")</f>
        <v/>
      </c>
      <c r="P269" t="str">
        <f>IF($C269="","",IFERROR(INDEX(Работы!$D$2:$D$6000,MATCH($C269,Работы!$A$2:$A$6000,0)),""))</f>
        <v/>
      </c>
      <c r="Q269" t="str">
        <f t="shared" si="28"/>
        <v/>
      </c>
      <c r="R269" t="str">
        <f t="shared" si="29"/>
        <v/>
      </c>
      <c r="S269" t="str">
        <f>IF($P269="","",$P269&amp;" · "&amp;IFERROR(INDEX(Работы!$E$2:$E$6000,MATCH($C269,Работы!$A$2:$A$6000,0)),""))</f>
        <v/>
      </c>
    </row>
    <row r="270" spans="1:19" x14ac:dyDescent="0.3">
      <c r="A270" s="4"/>
      <c r="B270" s="4"/>
      <c r="C270" t="str">
        <f t="shared" si="24"/>
        <v/>
      </c>
      <c r="D270" s="5" t="str">
        <f>IF($C270="","",IF(AND(LEFT($F270,3)="ДОК",$H270&lt;&gt;""),IFERROR(INDEX(Документация!$G$2:$G$57,MATCH($H270,Документация!$F$2:$F$57,0)),"— вариант не найден —"),IFERROR(INDEX(Работы!$B$2:$B$6000,MATCH($C270,Работы!$A$2:$A$6000,0)),"— нет такого кода —")))</f>
        <v/>
      </c>
      <c r="E270" t="str">
        <f>IF($C270="","",IF(AND(LEFT($F270,3)="ДОК",$H270&lt;&gt;""),IFERROR(INDEX(Документация!$D$2:$D$57,MATCH($H270,Документация!$F$2:$F$57,0)),""),IFERROR(INDEX(Работы!$C$2:$C$6000,MATCH($C270,Работы!$A$2:$A$6000,0)),"")))</f>
        <v/>
      </c>
      <c r="F270" t="str">
        <f>IF($C270="","",IFERROR(INDEX(Работы!$G$2:$G$6000,MATCH($C270,Работы!$A$2:$A$6000,0))&amp;"",""))</f>
        <v/>
      </c>
      <c r="G270" s="4"/>
      <c r="H270" s="4"/>
      <c r="I270" s="5" t="str">
        <f>IF((LEFT($F270,3)="ДОК"),"",IF($H270="","",IFERROR(INDEX(Материалы!$B$2:$B$9000,MATCH($H270,Материалы!$M$2:$M$9000,0)),"")))</f>
        <v/>
      </c>
      <c r="J270" s="6">
        <f>IF(AND(LEFT($F270,3)="ДОК",$H270&lt;&gt;""),IFERROR(INDEX(Документация!$E$2:$E$57,MATCH($H270,Документация!$F$2:$F$57,0)),0),IFERROR(INDEX(Работы!$H$2:$H$6000,MATCH($C270,Работы!$A$2:$A$6000,0)),0))*(1-MEDIAN(0,N(ДисконтТендер),1))</f>
        <v>0</v>
      </c>
      <c r="K270" s="6">
        <f>IF(OR((LEFT($F270,3)="ДОК"),$H270=""),0,IFERROR(INDEX(Материалы!$H$2:$H$9000,MATCH($H270,Материалы!$M$2:$M$9000,0))*IF(INDEX(Материалы!$I$2:$I$9000,MATCH($H270,Материалы!$M$2:$M$9000,0))="USD",КурсUSD,IF(INDEX(Материалы!$I$2:$I$9000,MATCH($H270,Материалы!$M$2:$M$9000,0))="EUR",КурсEUR,1))*(1+IFERROR(INDEX(Работы!$I$2:$I$6000,MATCH($C270,Работы!$A$2:$A$6000,0))/100,0))*(1-MEDIAN(0,N(ДисконтТендер),1)),0))</f>
        <v>0</v>
      </c>
      <c r="L270" s="6">
        <f t="shared" si="25"/>
        <v>0</v>
      </c>
      <c r="M270" s="6">
        <f t="shared" si="26"/>
        <v>0</v>
      </c>
      <c r="N270" s="6">
        <f t="shared" si="27"/>
        <v>0</v>
      </c>
      <c r="O270" t="str">
        <f>IF($N270&gt;0,MAX($O$1:$O269)+1,"")</f>
        <v/>
      </c>
      <c r="P270" t="str">
        <f>IF($C270="","",IFERROR(INDEX(Работы!$D$2:$D$6000,MATCH($C270,Работы!$A$2:$A$6000,0)),""))</f>
        <v/>
      </c>
      <c r="Q270" t="str">
        <f t="shared" si="28"/>
        <v/>
      </c>
      <c r="R270" t="str">
        <f t="shared" si="29"/>
        <v/>
      </c>
      <c r="S270" t="str">
        <f>IF($P270="","",$P270&amp;" · "&amp;IFERROR(INDEX(Работы!$E$2:$E$6000,MATCH($C270,Работы!$A$2:$A$6000,0)),""))</f>
        <v/>
      </c>
    </row>
    <row r="271" spans="1:19" x14ac:dyDescent="0.3">
      <c r="A271" s="4"/>
      <c r="B271" s="4"/>
      <c r="C271" t="str">
        <f t="shared" si="24"/>
        <v/>
      </c>
      <c r="D271" s="5" t="str">
        <f>IF($C271="","",IF(AND(LEFT($F271,3)="ДОК",$H271&lt;&gt;""),IFERROR(INDEX(Документация!$G$2:$G$57,MATCH($H271,Документация!$F$2:$F$57,0)),"— вариант не найден —"),IFERROR(INDEX(Работы!$B$2:$B$6000,MATCH($C271,Работы!$A$2:$A$6000,0)),"— нет такого кода —")))</f>
        <v/>
      </c>
      <c r="E271" t="str">
        <f>IF($C271="","",IF(AND(LEFT($F271,3)="ДОК",$H271&lt;&gt;""),IFERROR(INDEX(Документация!$D$2:$D$57,MATCH($H271,Документация!$F$2:$F$57,0)),""),IFERROR(INDEX(Работы!$C$2:$C$6000,MATCH($C271,Работы!$A$2:$A$6000,0)),"")))</f>
        <v/>
      </c>
      <c r="F271" t="str">
        <f>IF($C271="","",IFERROR(INDEX(Работы!$G$2:$G$6000,MATCH($C271,Работы!$A$2:$A$6000,0))&amp;"",""))</f>
        <v/>
      </c>
      <c r="G271" s="4"/>
      <c r="H271" s="4"/>
      <c r="I271" s="5" t="str">
        <f>IF((LEFT($F271,3)="ДОК"),"",IF($H271="","",IFERROR(INDEX(Материалы!$B$2:$B$9000,MATCH($H271,Материалы!$M$2:$M$9000,0)),"")))</f>
        <v/>
      </c>
      <c r="J271" s="6">
        <f>IF(AND(LEFT($F271,3)="ДОК",$H271&lt;&gt;""),IFERROR(INDEX(Документация!$E$2:$E$57,MATCH($H271,Документация!$F$2:$F$57,0)),0),IFERROR(INDEX(Работы!$H$2:$H$6000,MATCH($C271,Работы!$A$2:$A$6000,0)),0))*(1-MEDIAN(0,N(ДисконтТендер),1))</f>
        <v>0</v>
      </c>
      <c r="K271" s="6">
        <f>IF(OR((LEFT($F271,3)="ДОК"),$H271=""),0,IFERROR(INDEX(Материалы!$H$2:$H$9000,MATCH($H271,Материалы!$M$2:$M$9000,0))*IF(INDEX(Материалы!$I$2:$I$9000,MATCH($H271,Материалы!$M$2:$M$9000,0))="USD",КурсUSD,IF(INDEX(Материалы!$I$2:$I$9000,MATCH($H271,Материалы!$M$2:$M$9000,0))="EUR",КурсEUR,1))*(1+IFERROR(INDEX(Работы!$I$2:$I$6000,MATCH($C271,Работы!$A$2:$A$6000,0))/100,0))*(1-MEDIAN(0,N(ДисконтТендер),1)),0))</f>
        <v>0</v>
      </c>
      <c r="L271" s="6">
        <f t="shared" si="25"/>
        <v>0</v>
      </c>
      <c r="M271" s="6">
        <f t="shared" si="26"/>
        <v>0</v>
      </c>
      <c r="N271" s="6">
        <f t="shared" si="27"/>
        <v>0</v>
      </c>
      <c r="O271" t="str">
        <f>IF($N271&gt;0,MAX($O$1:$O270)+1,"")</f>
        <v/>
      </c>
      <c r="P271" t="str">
        <f>IF($C271="","",IFERROR(INDEX(Работы!$D$2:$D$6000,MATCH($C271,Работы!$A$2:$A$6000,0)),""))</f>
        <v/>
      </c>
      <c r="Q271" t="str">
        <f t="shared" si="28"/>
        <v/>
      </c>
      <c r="R271" t="str">
        <f t="shared" si="29"/>
        <v/>
      </c>
      <c r="S271" t="str">
        <f>IF($P271="","",$P271&amp;" · "&amp;IFERROR(INDEX(Работы!$E$2:$E$6000,MATCH($C271,Работы!$A$2:$A$6000,0)),""))</f>
        <v/>
      </c>
    </row>
    <row r="272" spans="1:19" x14ac:dyDescent="0.3">
      <c r="A272" s="4"/>
      <c r="B272" s="4"/>
      <c r="C272" t="str">
        <f t="shared" si="24"/>
        <v/>
      </c>
      <c r="D272" s="5" t="str">
        <f>IF($C272="","",IF(AND(LEFT($F272,3)="ДОК",$H272&lt;&gt;""),IFERROR(INDEX(Документация!$G$2:$G$57,MATCH($H272,Документация!$F$2:$F$57,0)),"— вариант не найден —"),IFERROR(INDEX(Работы!$B$2:$B$6000,MATCH($C272,Работы!$A$2:$A$6000,0)),"— нет такого кода —")))</f>
        <v/>
      </c>
      <c r="E272" t="str">
        <f>IF($C272="","",IF(AND(LEFT($F272,3)="ДОК",$H272&lt;&gt;""),IFERROR(INDEX(Документация!$D$2:$D$57,MATCH($H272,Документация!$F$2:$F$57,0)),""),IFERROR(INDEX(Работы!$C$2:$C$6000,MATCH($C272,Работы!$A$2:$A$6000,0)),"")))</f>
        <v/>
      </c>
      <c r="F272" t="str">
        <f>IF($C272="","",IFERROR(INDEX(Работы!$G$2:$G$6000,MATCH($C272,Работы!$A$2:$A$6000,0))&amp;"",""))</f>
        <v/>
      </c>
      <c r="G272" s="4"/>
      <c r="H272" s="4"/>
      <c r="I272" s="5" t="str">
        <f>IF((LEFT($F272,3)="ДОК"),"",IF($H272="","",IFERROR(INDEX(Материалы!$B$2:$B$9000,MATCH($H272,Материалы!$M$2:$M$9000,0)),"")))</f>
        <v/>
      </c>
      <c r="J272" s="6">
        <f>IF(AND(LEFT($F272,3)="ДОК",$H272&lt;&gt;""),IFERROR(INDEX(Документация!$E$2:$E$57,MATCH($H272,Документация!$F$2:$F$57,0)),0),IFERROR(INDEX(Работы!$H$2:$H$6000,MATCH($C272,Работы!$A$2:$A$6000,0)),0))*(1-MEDIAN(0,N(ДисконтТендер),1))</f>
        <v>0</v>
      </c>
      <c r="K272" s="6">
        <f>IF(OR((LEFT($F272,3)="ДОК"),$H272=""),0,IFERROR(INDEX(Материалы!$H$2:$H$9000,MATCH($H272,Материалы!$M$2:$M$9000,0))*IF(INDEX(Материалы!$I$2:$I$9000,MATCH($H272,Материалы!$M$2:$M$9000,0))="USD",КурсUSD,IF(INDEX(Материалы!$I$2:$I$9000,MATCH($H272,Материалы!$M$2:$M$9000,0))="EUR",КурсEUR,1))*(1+IFERROR(INDEX(Работы!$I$2:$I$6000,MATCH($C272,Работы!$A$2:$A$6000,0))/100,0))*(1-MEDIAN(0,N(ДисконтТендер),1)),0))</f>
        <v>0</v>
      </c>
      <c r="L272" s="6">
        <f t="shared" si="25"/>
        <v>0</v>
      </c>
      <c r="M272" s="6">
        <f t="shared" si="26"/>
        <v>0</v>
      </c>
      <c r="N272" s="6">
        <f t="shared" si="27"/>
        <v>0</v>
      </c>
      <c r="O272" t="str">
        <f>IF($N272&gt;0,MAX($O$1:$O271)+1,"")</f>
        <v/>
      </c>
      <c r="P272" t="str">
        <f>IF($C272="","",IFERROR(INDEX(Работы!$D$2:$D$6000,MATCH($C272,Работы!$A$2:$A$6000,0)),""))</f>
        <v/>
      </c>
      <c r="Q272" t="str">
        <f t="shared" si="28"/>
        <v/>
      </c>
      <c r="R272" t="str">
        <f t="shared" si="29"/>
        <v/>
      </c>
      <c r="S272" t="str">
        <f>IF($P272="","",$P272&amp;" · "&amp;IFERROR(INDEX(Работы!$E$2:$E$6000,MATCH($C272,Работы!$A$2:$A$6000,0)),""))</f>
        <v/>
      </c>
    </row>
    <row r="273" spans="1:19" x14ac:dyDescent="0.3">
      <c r="A273" s="4"/>
      <c r="B273" s="4"/>
      <c r="C273" t="str">
        <f t="shared" si="24"/>
        <v/>
      </c>
      <c r="D273" s="5" t="str">
        <f>IF($C273="","",IF(AND(LEFT($F273,3)="ДОК",$H273&lt;&gt;""),IFERROR(INDEX(Документация!$G$2:$G$57,MATCH($H273,Документация!$F$2:$F$57,0)),"— вариант не найден —"),IFERROR(INDEX(Работы!$B$2:$B$6000,MATCH($C273,Работы!$A$2:$A$6000,0)),"— нет такого кода —")))</f>
        <v/>
      </c>
      <c r="E273" t="str">
        <f>IF($C273="","",IF(AND(LEFT($F273,3)="ДОК",$H273&lt;&gt;""),IFERROR(INDEX(Документация!$D$2:$D$57,MATCH($H273,Документация!$F$2:$F$57,0)),""),IFERROR(INDEX(Работы!$C$2:$C$6000,MATCH($C273,Работы!$A$2:$A$6000,0)),"")))</f>
        <v/>
      </c>
      <c r="F273" t="str">
        <f>IF($C273="","",IFERROR(INDEX(Работы!$G$2:$G$6000,MATCH($C273,Работы!$A$2:$A$6000,0))&amp;"",""))</f>
        <v/>
      </c>
      <c r="G273" s="4"/>
      <c r="H273" s="4"/>
      <c r="I273" s="5" t="str">
        <f>IF((LEFT($F273,3)="ДОК"),"",IF($H273="","",IFERROR(INDEX(Материалы!$B$2:$B$9000,MATCH($H273,Материалы!$M$2:$M$9000,0)),"")))</f>
        <v/>
      </c>
      <c r="J273" s="6">
        <f>IF(AND(LEFT($F273,3)="ДОК",$H273&lt;&gt;""),IFERROR(INDEX(Документация!$E$2:$E$57,MATCH($H273,Документация!$F$2:$F$57,0)),0),IFERROR(INDEX(Работы!$H$2:$H$6000,MATCH($C273,Работы!$A$2:$A$6000,0)),0))*(1-MEDIAN(0,N(ДисконтТендер),1))</f>
        <v>0</v>
      </c>
      <c r="K273" s="6">
        <f>IF(OR((LEFT($F273,3)="ДОК"),$H273=""),0,IFERROR(INDEX(Материалы!$H$2:$H$9000,MATCH($H273,Материалы!$M$2:$M$9000,0))*IF(INDEX(Материалы!$I$2:$I$9000,MATCH($H273,Материалы!$M$2:$M$9000,0))="USD",КурсUSD,IF(INDEX(Материалы!$I$2:$I$9000,MATCH($H273,Материалы!$M$2:$M$9000,0))="EUR",КурсEUR,1))*(1+IFERROR(INDEX(Работы!$I$2:$I$6000,MATCH($C273,Работы!$A$2:$A$6000,0))/100,0))*(1-MEDIAN(0,N(ДисконтТендер),1)),0))</f>
        <v>0</v>
      </c>
      <c r="L273" s="6">
        <f t="shared" si="25"/>
        <v>0</v>
      </c>
      <c r="M273" s="6">
        <f t="shared" si="26"/>
        <v>0</v>
      </c>
      <c r="N273" s="6">
        <f t="shared" si="27"/>
        <v>0</v>
      </c>
      <c r="O273" t="str">
        <f>IF($N273&gt;0,MAX($O$1:$O272)+1,"")</f>
        <v/>
      </c>
      <c r="P273" t="str">
        <f>IF($C273="","",IFERROR(INDEX(Работы!$D$2:$D$6000,MATCH($C273,Работы!$A$2:$A$6000,0)),""))</f>
        <v/>
      </c>
      <c r="Q273" t="str">
        <f t="shared" si="28"/>
        <v/>
      </c>
      <c r="R273" t="str">
        <f t="shared" si="29"/>
        <v/>
      </c>
      <c r="S273" t="str">
        <f>IF($P273="","",$P273&amp;" · "&amp;IFERROR(INDEX(Работы!$E$2:$E$6000,MATCH($C273,Работы!$A$2:$A$6000,0)),""))</f>
        <v/>
      </c>
    </row>
    <row r="274" spans="1:19" x14ac:dyDescent="0.3">
      <c r="A274" s="4"/>
      <c r="B274" s="4"/>
      <c r="C274" t="str">
        <f t="shared" si="24"/>
        <v/>
      </c>
      <c r="D274" s="5" t="str">
        <f>IF($C274="","",IF(AND(LEFT($F274,3)="ДОК",$H274&lt;&gt;""),IFERROR(INDEX(Документация!$G$2:$G$57,MATCH($H274,Документация!$F$2:$F$57,0)),"— вариант не найден —"),IFERROR(INDEX(Работы!$B$2:$B$6000,MATCH($C274,Работы!$A$2:$A$6000,0)),"— нет такого кода —")))</f>
        <v/>
      </c>
      <c r="E274" t="str">
        <f>IF($C274="","",IF(AND(LEFT($F274,3)="ДОК",$H274&lt;&gt;""),IFERROR(INDEX(Документация!$D$2:$D$57,MATCH($H274,Документация!$F$2:$F$57,0)),""),IFERROR(INDEX(Работы!$C$2:$C$6000,MATCH($C274,Работы!$A$2:$A$6000,0)),"")))</f>
        <v/>
      </c>
      <c r="F274" t="str">
        <f>IF($C274="","",IFERROR(INDEX(Работы!$G$2:$G$6000,MATCH($C274,Работы!$A$2:$A$6000,0))&amp;"",""))</f>
        <v/>
      </c>
      <c r="G274" s="4"/>
      <c r="H274" s="4"/>
      <c r="I274" s="5" t="str">
        <f>IF((LEFT($F274,3)="ДОК"),"",IF($H274="","",IFERROR(INDEX(Материалы!$B$2:$B$9000,MATCH($H274,Материалы!$M$2:$M$9000,0)),"")))</f>
        <v/>
      </c>
      <c r="J274" s="6">
        <f>IF(AND(LEFT($F274,3)="ДОК",$H274&lt;&gt;""),IFERROR(INDEX(Документация!$E$2:$E$57,MATCH($H274,Документация!$F$2:$F$57,0)),0),IFERROR(INDEX(Работы!$H$2:$H$6000,MATCH($C274,Работы!$A$2:$A$6000,0)),0))*(1-MEDIAN(0,N(ДисконтТендер),1))</f>
        <v>0</v>
      </c>
      <c r="K274" s="6">
        <f>IF(OR((LEFT($F274,3)="ДОК"),$H274=""),0,IFERROR(INDEX(Материалы!$H$2:$H$9000,MATCH($H274,Материалы!$M$2:$M$9000,0))*IF(INDEX(Материалы!$I$2:$I$9000,MATCH($H274,Материалы!$M$2:$M$9000,0))="USD",КурсUSD,IF(INDEX(Материалы!$I$2:$I$9000,MATCH($H274,Материалы!$M$2:$M$9000,0))="EUR",КурсEUR,1))*(1+IFERROR(INDEX(Работы!$I$2:$I$6000,MATCH($C274,Работы!$A$2:$A$6000,0))/100,0))*(1-MEDIAN(0,N(ДисконтТендер),1)),0))</f>
        <v>0</v>
      </c>
      <c r="L274" s="6">
        <f t="shared" si="25"/>
        <v>0</v>
      </c>
      <c r="M274" s="6">
        <f t="shared" si="26"/>
        <v>0</v>
      </c>
      <c r="N274" s="6">
        <f t="shared" si="27"/>
        <v>0</v>
      </c>
      <c r="O274" t="str">
        <f>IF($N274&gt;0,MAX($O$1:$O273)+1,"")</f>
        <v/>
      </c>
      <c r="P274" t="str">
        <f>IF($C274="","",IFERROR(INDEX(Работы!$D$2:$D$6000,MATCH($C274,Работы!$A$2:$A$6000,0)),""))</f>
        <v/>
      </c>
      <c r="Q274" t="str">
        <f t="shared" si="28"/>
        <v/>
      </c>
      <c r="R274" t="str">
        <f t="shared" si="29"/>
        <v/>
      </c>
      <c r="S274" t="str">
        <f>IF($P274="","",$P274&amp;" · "&amp;IFERROR(INDEX(Работы!$E$2:$E$6000,MATCH($C274,Работы!$A$2:$A$6000,0)),""))</f>
        <v/>
      </c>
    </row>
    <row r="275" spans="1:19" x14ac:dyDescent="0.3">
      <c r="A275" s="4"/>
      <c r="B275" s="4"/>
      <c r="C275" t="str">
        <f t="shared" si="24"/>
        <v/>
      </c>
      <c r="D275" s="5" t="str">
        <f>IF($C275="","",IF(AND(LEFT($F275,3)="ДОК",$H275&lt;&gt;""),IFERROR(INDEX(Документация!$G$2:$G$57,MATCH($H275,Документация!$F$2:$F$57,0)),"— вариант не найден —"),IFERROR(INDEX(Работы!$B$2:$B$6000,MATCH($C275,Работы!$A$2:$A$6000,0)),"— нет такого кода —")))</f>
        <v/>
      </c>
      <c r="E275" t="str">
        <f>IF($C275="","",IF(AND(LEFT($F275,3)="ДОК",$H275&lt;&gt;""),IFERROR(INDEX(Документация!$D$2:$D$57,MATCH($H275,Документация!$F$2:$F$57,0)),""),IFERROR(INDEX(Работы!$C$2:$C$6000,MATCH($C275,Работы!$A$2:$A$6000,0)),"")))</f>
        <v/>
      </c>
      <c r="F275" t="str">
        <f>IF($C275="","",IFERROR(INDEX(Работы!$G$2:$G$6000,MATCH($C275,Работы!$A$2:$A$6000,0))&amp;"",""))</f>
        <v/>
      </c>
      <c r="G275" s="4"/>
      <c r="H275" s="4"/>
      <c r="I275" s="5" t="str">
        <f>IF((LEFT($F275,3)="ДОК"),"",IF($H275="","",IFERROR(INDEX(Материалы!$B$2:$B$9000,MATCH($H275,Материалы!$M$2:$M$9000,0)),"")))</f>
        <v/>
      </c>
      <c r="J275" s="6">
        <f>IF(AND(LEFT($F275,3)="ДОК",$H275&lt;&gt;""),IFERROR(INDEX(Документация!$E$2:$E$57,MATCH($H275,Документация!$F$2:$F$57,0)),0),IFERROR(INDEX(Работы!$H$2:$H$6000,MATCH($C275,Работы!$A$2:$A$6000,0)),0))*(1-MEDIAN(0,N(ДисконтТендер),1))</f>
        <v>0</v>
      </c>
      <c r="K275" s="6">
        <f>IF(OR((LEFT($F275,3)="ДОК"),$H275=""),0,IFERROR(INDEX(Материалы!$H$2:$H$9000,MATCH($H275,Материалы!$M$2:$M$9000,0))*IF(INDEX(Материалы!$I$2:$I$9000,MATCH($H275,Материалы!$M$2:$M$9000,0))="USD",КурсUSD,IF(INDEX(Материалы!$I$2:$I$9000,MATCH($H275,Материалы!$M$2:$M$9000,0))="EUR",КурсEUR,1))*(1+IFERROR(INDEX(Работы!$I$2:$I$6000,MATCH($C275,Работы!$A$2:$A$6000,0))/100,0))*(1-MEDIAN(0,N(ДисконтТендер),1)),0))</f>
        <v>0</v>
      </c>
      <c r="L275" s="6">
        <f t="shared" si="25"/>
        <v>0</v>
      </c>
      <c r="M275" s="6">
        <f t="shared" si="26"/>
        <v>0</v>
      </c>
      <c r="N275" s="6">
        <f t="shared" si="27"/>
        <v>0</v>
      </c>
      <c r="O275" t="str">
        <f>IF($N275&gt;0,MAX($O$1:$O274)+1,"")</f>
        <v/>
      </c>
      <c r="P275" t="str">
        <f>IF($C275="","",IFERROR(INDEX(Работы!$D$2:$D$6000,MATCH($C275,Работы!$A$2:$A$6000,0)),""))</f>
        <v/>
      </c>
      <c r="Q275" t="str">
        <f t="shared" si="28"/>
        <v/>
      </c>
      <c r="R275" t="str">
        <f t="shared" si="29"/>
        <v/>
      </c>
      <c r="S275" t="str">
        <f>IF($P275="","",$P275&amp;" · "&amp;IFERROR(INDEX(Работы!$E$2:$E$6000,MATCH($C275,Работы!$A$2:$A$6000,0)),""))</f>
        <v/>
      </c>
    </row>
    <row r="276" spans="1:19" x14ac:dyDescent="0.3">
      <c r="A276" s="4"/>
      <c r="B276" s="4"/>
      <c r="C276" t="str">
        <f t="shared" si="24"/>
        <v/>
      </c>
      <c r="D276" s="5" t="str">
        <f>IF($C276="","",IF(AND(LEFT($F276,3)="ДОК",$H276&lt;&gt;""),IFERROR(INDEX(Документация!$G$2:$G$57,MATCH($H276,Документация!$F$2:$F$57,0)),"— вариант не найден —"),IFERROR(INDEX(Работы!$B$2:$B$6000,MATCH($C276,Работы!$A$2:$A$6000,0)),"— нет такого кода —")))</f>
        <v/>
      </c>
      <c r="E276" t="str">
        <f>IF($C276="","",IF(AND(LEFT($F276,3)="ДОК",$H276&lt;&gt;""),IFERROR(INDEX(Документация!$D$2:$D$57,MATCH($H276,Документация!$F$2:$F$57,0)),""),IFERROR(INDEX(Работы!$C$2:$C$6000,MATCH($C276,Работы!$A$2:$A$6000,0)),"")))</f>
        <v/>
      </c>
      <c r="F276" t="str">
        <f>IF($C276="","",IFERROR(INDEX(Работы!$G$2:$G$6000,MATCH($C276,Работы!$A$2:$A$6000,0))&amp;"",""))</f>
        <v/>
      </c>
      <c r="G276" s="4"/>
      <c r="H276" s="4"/>
      <c r="I276" s="5" t="str">
        <f>IF((LEFT($F276,3)="ДОК"),"",IF($H276="","",IFERROR(INDEX(Материалы!$B$2:$B$9000,MATCH($H276,Материалы!$M$2:$M$9000,0)),"")))</f>
        <v/>
      </c>
      <c r="J276" s="6">
        <f>IF(AND(LEFT($F276,3)="ДОК",$H276&lt;&gt;""),IFERROR(INDEX(Документация!$E$2:$E$57,MATCH($H276,Документация!$F$2:$F$57,0)),0),IFERROR(INDEX(Работы!$H$2:$H$6000,MATCH($C276,Работы!$A$2:$A$6000,0)),0))*(1-MEDIAN(0,N(ДисконтТендер),1))</f>
        <v>0</v>
      </c>
      <c r="K276" s="6">
        <f>IF(OR((LEFT($F276,3)="ДОК"),$H276=""),0,IFERROR(INDEX(Материалы!$H$2:$H$9000,MATCH($H276,Материалы!$M$2:$M$9000,0))*IF(INDEX(Материалы!$I$2:$I$9000,MATCH($H276,Материалы!$M$2:$M$9000,0))="USD",КурсUSD,IF(INDEX(Материалы!$I$2:$I$9000,MATCH($H276,Материалы!$M$2:$M$9000,0))="EUR",КурсEUR,1))*(1+IFERROR(INDEX(Работы!$I$2:$I$6000,MATCH($C276,Работы!$A$2:$A$6000,0))/100,0))*(1-MEDIAN(0,N(ДисконтТендер),1)),0))</f>
        <v>0</v>
      </c>
      <c r="L276" s="6">
        <f t="shared" si="25"/>
        <v>0</v>
      </c>
      <c r="M276" s="6">
        <f t="shared" si="26"/>
        <v>0</v>
      </c>
      <c r="N276" s="6">
        <f t="shared" si="27"/>
        <v>0</v>
      </c>
      <c r="O276" t="str">
        <f>IF($N276&gt;0,MAX($O$1:$O275)+1,"")</f>
        <v/>
      </c>
      <c r="P276" t="str">
        <f>IF($C276="","",IFERROR(INDEX(Работы!$D$2:$D$6000,MATCH($C276,Работы!$A$2:$A$6000,0)),""))</f>
        <v/>
      </c>
      <c r="Q276" t="str">
        <f t="shared" si="28"/>
        <v/>
      </c>
      <c r="R276" t="str">
        <f t="shared" si="29"/>
        <v/>
      </c>
      <c r="S276" t="str">
        <f>IF($P276="","",$P276&amp;" · "&amp;IFERROR(INDEX(Работы!$E$2:$E$6000,MATCH($C276,Работы!$A$2:$A$6000,0)),""))</f>
        <v/>
      </c>
    </row>
    <row r="277" spans="1:19" x14ac:dyDescent="0.3">
      <c r="A277" s="4"/>
      <c r="B277" s="4"/>
      <c r="C277" t="str">
        <f t="shared" si="24"/>
        <v/>
      </c>
      <c r="D277" s="5" t="str">
        <f>IF($C277="","",IF(AND(LEFT($F277,3)="ДОК",$H277&lt;&gt;""),IFERROR(INDEX(Документация!$G$2:$G$57,MATCH($H277,Документация!$F$2:$F$57,0)),"— вариант не найден —"),IFERROR(INDEX(Работы!$B$2:$B$6000,MATCH($C277,Работы!$A$2:$A$6000,0)),"— нет такого кода —")))</f>
        <v/>
      </c>
      <c r="E277" t="str">
        <f>IF($C277="","",IF(AND(LEFT($F277,3)="ДОК",$H277&lt;&gt;""),IFERROR(INDEX(Документация!$D$2:$D$57,MATCH($H277,Документация!$F$2:$F$57,0)),""),IFERROR(INDEX(Работы!$C$2:$C$6000,MATCH($C277,Работы!$A$2:$A$6000,0)),"")))</f>
        <v/>
      </c>
      <c r="F277" t="str">
        <f>IF($C277="","",IFERROR(INDEX(Работы!$G$2:$G$6000,MATCH($C277,Работы!$A$2:$A$6000,0))&amp;"",""))</f>
        <v/>
      </c>
      <c r="G277" s="4"/>
      <c r="H277" s="4"/>
      <c r="I277" s="5" t="str">
        <f>IF((LEFT($F277,3)="ДОК"),"",IF($H277="","",IFERROR(INDEX(Материалы!$B$2:$B$9000,MATCH($H277,Материалы!$M$2:$M$9000,0)),"")))</f>
        <v/>
      </c>
      <c r="J277" s="6">
        <f>IF(AND(LEFT($F277,3)="ДОК",$H277&lt;&gt;""),IFERROR(INDEX(Документация!$E$2:$E$57,MATCH($H277,Документация!$F$2:$F$57,0)),0),IFERROR(INDEX(Работы!$H$2:$H$6000,MATCH($C277,Работы!$A$2:$A$6000,0)),0))*(1-MEDIAN(0,N(ДисконтТендер),1))</f>
        <v>0</v>
      </c>
      <c r="K277" s="6">
        <f>IF(OR((LEFT($F277,3)="ДОК"),$H277=""),0,IFERROR(INDEX(Материалы!$H$2:$H$9000,MATCH($H277,Материалы!$M$2:$M$9000,0))*IF(INDEX(Материалы!$I$2:$I$9000,MATCH($H277,Материалы!$M$2:$M$9000,0))="USD",КурсUSD,IF(INDEX(Материалы!$I$2:$I$9000,MATCH($H277,Материалы!$M$2:$M$9000,0))="EUR",КурсEUR,1))*(1+IFERROR(INDEX(Работы!$I$2:$I$6000,MATCH($C277,Работы!$A$2:$A$6000,0))/100,0))*(1-MEDIAN(0,N(ДисконтТендер),1)),0))</f>
        <v>0</v>
      </c>
      <c r="L277" s="6">
        <f t="shared" si="25"/>
        <v>0</v>
      </c>
      <c r="M277" s="6">
        <f t="shared" si="26"/>
        <v>0</v>
      </c>
      <c r="N277" s="6">
        <f t="shared" si="27"/>
        <v>0</v>
      </c>
      <c r="O277" t="str">
        <f>IF($N277&gt;0,MAX($O$1:$O276)+1,"")</f>
        <v/>
      </c>
      <c r="P277" t="str">
        <f>IF($C277="","",IFERROR(INDEX(Работы!$D$2:$D$6000,MATCH($C277,Работы!$A$2:$A$6000,0)),""))</f>
        <v/>
      </c>
      <c r="Q277" t="str">
        <f t="shared" si="28"/>
        <v/>
      </c>
      <c r="R277" t="str">
        <f t="shared" si="29"/>
        <v/>
      </c>
      <c r="S277" t="str">
        <f>IF($P277="","",$P277&amp;" · "&amp;IFERROR(INDEX(Работы!$E$2:$E$6000,MATCH($C277,Работы!$A$2:$A$6000,0)),""))</f>
        <v/>
      </c>
    </row>
    <row r="278" spans="1:19" x14ac:dyDescent="0.3">
      <c r="A278" s="4"/>
      <c r="B278" s="4"/>
      <c r="C278" t="str">
        <f t="shared" si="24"/>
        <v/>
      </c>
      <c r="D278" s="5" t="str">
        <f>IF($C278="","",IF(AND(LEFT($F278,3)="ДОК",$H278&lt;&gt;""),IFERROR(INDEX(Документация!$G$2:$G$57,MATCH($H278,Документация!$F$2:$F$57,0)),"— вариант не найден —"),IFERROR(INDEX(Работы!$B$2:$B$6000,MATCH($C278,Работы!$A$2:$A$6000,0)),"— нет такого кода —")))</f>
        <v/>
      </c>
      <c r="E278" t="str">
        <f>IF($C278="","",IF(AND(LEFT($F278,3)="ДОК",$H278&lt;&gt;""),IFERROR(INDEX(Документация!$D$2:$D$57,MATCH($H278,Документация!$F$2:$F$57,0)),""),IFERROR(INDEX(Работы!$C$2:$C$6000,MATCH($C278,Работы!$A$2:$A$6000,0)),"")))</f>
        <v/>
      </c>
      <c r="F278" t="str">
        <f>IF($C278="","",IFERROR(INDEX(Работы!$G$2:$G$6000,MATCH($C278,Работы!$A$2:$A$6000,0))&amp;"",""))</f>
        <v/>
      </c>
      <c r="G278" s="4"/>
      <c r="H278" s="4"/>
      <c r="I278" s="5" t="str">
        <f>IF((LEFT($F278,3)="ДОК"),"",IF($H278="","",IFERROR(INDEX(Материалы!$B$2:$B$9000,MATCH($H278,Материалы!$M$2:$M$9000,0)),"")))</f>
        <v/>
      </c>
      <c r="J278" s="6">
        <f>IF(AND(LEFT($F278,3)="ДОК",$H278&lt;&gt;""),IFERROR(INDEX(Документация!$E$2:$E$57,MATCH($H278,Документация!$F$2:$F$57,0)),0),IFERROR(INDEX(Работы!$H$2:$H$6000,MATCH($C278,Работы!$A$2:$A$6000,0)),0))*(1-MEDIAN(0,N(ДисконтТендер),1))</f>
        <v>0</v>
      </c>
      <c r="K278" s="6">
        <f>IF(OR((LEFT($F278,3)="ДОК"),$H278=""),0,IFERROR(INDEX(Материалы!$H$2:$H$9000,MATCH($H278,Материалы!$M$2:$M$9000,0))*IF(INDEX(Материалы!$I$2:$I$9000,MATCH($H278,Материалы!$M$2:$M$9000,0))="USD",КурсUSD,IF(INDEX(Материалы!$I$2:$I$9000,MATCH($H278,Материалы!$M$2:$M$9000,0))="EUR",КурсEUR,1))*(1+IFERROR(INDEX(Работы!$I$2:$I$6000,MATCH($C278,Работы!$A$2:$A$6000,0))/100,0))*(1-MEDIAN(0,N(ДисконтТендер),1)),0))</f>
        <v>0</v>
      </c>
      <c r="L278" s="6">
        <f t="shared" si="25"/>
        <v>0</v>
      </c>
      <c r="M278" s="6">
        <f t="shared" si="26"/>
        <v>0</v>
      </c>
      <c r="N278" s="6">
        <f t="shared" si="27"/>
        <v>0</v>
      </c>
      <c r="O278" t="str">
        <f>IF($N278&gt;0,MAX($O$1:$O277)+1,"")</f>
        <v/>
      </c>
      <c r="P278" t="str">
        <f>IF($C278="","",IFERROR(INDEX(Работы!$D$2:$D$6000,MATCH($C278,Работы!$A$2:$A$6000,0)),""))</f>
        <v/>
      </c>
      <c r="Q278" t="str">
        <f t="shared" si="28"/>
        <v/>
      </c>
      <c r="R278" t="str">
        <f t="shared" si="29"/>
        <v/>
      </c>
      <c r="S278" t="str">
        <f>IF($P278="","",$P278&amp;" · "&amp;IFERROR(INDEX(Работы!$E$2:$E$6000,MATCH($C278,Работы!$A$2:$A$6000,0)),""))</f>
        <v/>
      </c>
    </row>
    <row r="279" spans="1:19" x14ac:dyDescent="0.3">
      <c r="A279" s="4"/>
      <c r="B279" s="4"/>
      <c r="C279" t="str">
        <f t="shared" si="24"/>
        <v/>
      </c>
      <c r="D279" s="5" t="str">
        <f>IF($C279="","",IF(AND(LEFT($F279,3)="ДОК",$H279&lt;&gt;""),IFERROR(INDEX(Документация!$G$2:$G$57,MATCH($H279,Документация!$F$2:$F$57,0)),"— вариант не найден —"),IFERROR(INDEX(Работы!$B$2:$B$6000,MATCH($C279,Работы!$A$2:$A$6000,0)),"— нет такого кода —")))</f>
        <v/>
      </c>
      <c r="E279" t="str">
        <f>IF($C279="","",IF(AND(LEFT($F279,3)="ДОК",$H279&lt;&gt;""),IFERROR(INDEX(Документация!$D$2:$D$57,MATCH($H279,Документация!$F$2:$F$57,0)),""),IFERROR(INDEX(Работы!$C$2:$C$6000,MATCH($C279,Работы!$A$2:$A$6000,0)),"")))</f>
        <v/>
      </c>
      <c r="F279" t="str">
        <f>IF($C279="","",IFERROR(INDEX(Работы!$G$2:$G$6000,MATCH($C279,Работы!$A$2:$A$6000,0))&amp;"",""))</f>
        <v/>
      </c>
      <c r="G279" s="4"/>
      <c r="H279" s="4"/>
      <c r="I279" s="5" t="str">
        <f>IF((LEFT($F279,3)="ДОК"),"",IF($H279="","",IFERROR(INDEX(Материалы!$B$2:$B$9000,MATCH($H279,Материалы!$M$2:$M$9000,0)),"")))</f>
        <v/>
      </c>
      <c r="J279" s="6">
        <f>IF(AND(LEFT($F279,3)="ДОК",$H279&lt;&gt;""),IFERROR(INDEX(Документация!$E$2:$E$57,MATCH($H279,Документация!$F$2:$F$57,0)),0),IFERROR(INDEX(Работы!$H$2:$H$6000,MATCH($C279,Работы!$A$2:$A$6000,0)),0))*(1-MEDIAN(0,N(ДисконтТендер),1))</f>
        <v>0</v>
      </c>
      <c r="K279" s="6">
        <f>IF(OR((LEFT($F279,3)="ДОК"),$H279=""),0,IFERROR(INDEX(Материалы!$H$2:$H$9000,MATCH($H279,Материалы!$M$2:$M$9000,0))*IF(INDEX(Материалы!$I$2:$I$9000,MATCH($H279,Материалы!$M$2:$M$9000,0))="USD",КурсUSD,IF(INDEX(Материалы!$I$2:$I$9000,MATCH($H279,Материалы!$M$2:$M$9000,0))="EUR",КурсEUR,1))*(1+IFERROR(INDEX(Работы!$I$2:$I$6000,MATCH($C279,Работы!$A$2:$A$6000,0))/100,0))*(1-MEDIAN(0,N(ДисконтТендер),1)),0))</f>
        <v>0</v>
      </c>
      <c r="L279" s="6">
        <f t="shared" si="25"/>
        <v>0</v>
      </c>
      <c r="M279" s="6">
        <f t="shared" si="26"/>
        <v>0</v>
      </c>
      <c r="N279" s="6">
        <f t="shared" si="27"/>
        <v>0</v>
      </c>
      <c r="O279" t="str">
        <f>IF($N279&gt;0,MAX($O$1:$O278)+1,"")</f>
        <v/>
      </c>
      <c r="P279" t="str">
        <f>IF($C279="","",IFERROR(INDEX(Работы!$D$2:$D$6000,MATCH($C279,Работы!$A$2:$A$6000,0)),""))</f>
        <v/>
      </c>
      <c r="Q279" t="str">
        <f t="shared" si="28"/>
        <v/>
      </c>
      <c r="R279" t="str">
        <f t="shared" si="29"/>
        <v/>
      </c>
      <c r="S279" t="str">
        <f>IF($P279="","",$P279&amp;" · "&amp;IFERROR(INDEX(Работы!$E$2:$E$6000,MATCH($C279,Работы!$A$2:$A$6000,0)),""))</f>
        <v/>
      </c>
    </row>
    <row r="280" spans="1:19" x14ac:dyDescent="0.3">
      <c r="A280" s="4"/>
      <c r="B280" s="4"/>
      <c r="C280" t="str">
        <f t="shared" si="24"/>
        <v/>
      </c>
      <c r="D280" s="5" t="str">
        <f>IF($C280="","",IF(AND(LEFT($F280,3)="ДОК",$H280&lt;&gt;""),IFERROR(INDEX(Документация!$G$2:$G$57,MATCH($H280,Документация!$F$2:$F$57,0)),"— вариант не найден —"),IFERROR(INDEX(Работы!$B$2:$B$6000,MATCH($C280,Работы!$A$2:$A$6000,0)),"— нет такого кода —")))</f>
        <v/>
      </c>
      <c r="E280" t="str">
        <f>IF($C280="","",IF(AND(LEFT($F280,3)="ДОК",$H280&lt;&gt;""),IFERROR(INDEX(Документация!$D$2:$D$57,MATCH($H280,Документация!$F$2:$F$57,0)),""),IFERROR(INDEX(Работы!$C$2:$C$6000,MATCH($C280,Работы!$A$2:$A$6000,0)),"")))</f>
        <v/>
      </c>
      <c r="F280" t="str">
        <f>IF($C280="","",IFERROR(INDEX(Работы!$G$2:$G$6000,MATCH($C280,Работы!$A$2:$A$6000,0))&amp;"",""))</f>
        <v/>
      </c>
      <c r="G280" s="4"/>
      <c r="H280" s="4"/>
      <c r="I280" s="5" t="str">
        <f>IF((LEFT($F280,3)="ДОК"),"",IF($H280="","",IFERROR(INDEX(Материалы!$B$2:$B$9000,MATCH($H280,Материалы!$M$2:$M$9000,0)),"")))</f>
        <v/>
      </c>
      <c r="J280" s="6">
        <f>IF(AND(LEFT($F280,3)="ДОК",$H280&lt;&gt;""),IFERROR(INDEX(Документация!$E$2:$E$57,MATCH($H280,Документация!$F$2:$F$57,0)),0),IFERROR(INDEX(Работы!$H$2:$H$6000,MATCH($C280,Работы!$A$2:$A$6000,0)),0))*(1-MEDIAN(0,N(ДисконтТендер),1))</f>
        <v>0</v>
      </c>
      <c r="K280" s="6">
        <f>IF(OR((LEFT($F280,3)="ДОК"),$H280=""),0,IFERROR(INDEX(Материалы!$H$2:$H$9000,MATCH($H280,Материалы!$M$2:$M$9000,0))*IF(INDEX(Материалы!$I$2:$I$9000,MATCH($H280,Материалы!$M$2:$M$9000,0))="USD",КурсUSD,IF(INDEX(Материалы!$I$2:$I$9000,MATCH($H280,Материалы!$M$2:$M$9000,0))="EUR",КурсEUR,1))*(1+IFERROR(INDEX(Работы!$I$2:$I$6000,MATCH($C280,Работы!$A$2:$A$6000,0))/100,0))*(1-MEDIAN(0,N(ДисконтТендер),1)),0))</f>
        <v>0</v>
      </c>
      <c r="L280" s="6">
        <f t="shared" si="25"/>
        <v>0</v>
      </c>
      <c r="M280" s="6">
        <f t="shared" si="26"/>
        <v>0</v>
      </c>
      <c r="N280" s="6">
        <f t="shared" si="27"/>
        <v>0</v>
      </c>
      <c r="O280" t="str">
        <f>IF($N280&gt;0,MAX($O$1:$O279)+1,"")</f>
        <v/>
      </c>
      <c r="P280" t="str">
        <f>IF($C280="","",IFERROR(INDEX(Работы!$D$2:$D$6000,MATCH($C280,Работы!$A$2:$A$6000,0)),""))</f>
        <v/>
      </c>
      <c r="Q280" t="str">
        <f t="shared" si="28"/>
        <v/>
      </c>
      <c r="R280" t="str">
        <f t="shared" si="29"/>
        <v/>
      </c>
      <c r="S280" t="str">
        <f>IF($P280="","",$P280&amp;" · "&amp;IFERROR(INDEX(Работы!$E$2:$E$6000,MATCH($C280,Работы!$A$2:$A$6000,0)),""))</f>
        <v/>
      </c>
    </row>
    <row r="281" spans="1:19" x14ac:dyDescent="0.3">
      <c r="A281" s="4"/>
      <c r="B281" s="4"/>
      <c r="C281" t="str">
        <f t="shared" si="24"/>
        <v/>
      </c>
      <c r="D281" s="5" t="str">
        <f>IF($C281="","",IF(AND(LEFT($F281,3)="ДОК",$H281&lt;&gt;""),IFERROR(INDEX(Документация!$G$2:$G$57,MATCH($H281,Документация!$F$2:$F$57,0)),"— вариант не найден —"),IFERROR(INDEX(Работы!$B$2:$B$6000,MATCH($C281,Работы!$A$2:$A$6000,0)),"— нет такого кода —")))</f>
        <v/>
      </c>
      <c r="E281" t="str">
        <f>IF($C281="","",IF(AND(LEFT($F281,3)="ДОК",$H281&lt;&gt;""),IFERROR(INDEX(Документация!$D$2:$D$57,MATCH($H281,Документация!$F$2:$F$57,0)),""),IFERROR(INDEX(Работы!$C$2:$C$6000,MATCH($C281,Работы!$A$2:$A$6000,0)),"")))</f>
        <v/>
      </c>
      <c r="F281" t="str">
        <f>IF($C281="","",IFERROR(INDEX(Работы!$G$2:$G$6000,MATCH($C281,Работы!$A$2:$A$6000,0))&amp;"",""))</f>
        <v/>
      </c>
      <c r="G281" s="4"/>
      <c r="H281" s="4"/>
      <c r="I281" s="5" t="str">
        <f>IF((LEFT($F281,3)="ДОК"),"",IF($H281="","",IFERROR(INDEX(Материалы!$B$2:$B$9000,MATCH($H281,Материалы!$M$2:$M$9000,0)),"")))</f>
        <v/>
      </c>
      <c r="J281" s="6">
        <f>IF(AND(LEFT($F281,3)="ДОК",$H281&lt;&gt;""),IFERROR(INDEX(Документация!$E$2:$E$57,MATCH($H281,Документация!$F$2:$F$57,0)),0),IFERROR(INDEX(Работы!$H$2:$H$6000,MATCH($C281,Работы!$A$2:$A$6000,0)),0))*(1-MEDIAN(0,N(ДисконтТендер),1))</f>
        <v>0</v>
      </c>
      <c r="K281" s="6">
        <f>IF(OR((LEFT($F281,3)="ДОК"),$H281=""),0,IFERROR(INDEX(Материалы!$H$2:$H$9000,MATCH($H281,Материалы!$M$2:$M$9000,0))*IF(INDEX(Материалы!$I$2:$I$9000,MATCH($H281,Материалы!$M$2:$M$9000,0))="USD",КурсUSD,IF(INDEX(Материалы!$I$2:$I$9000,MATCH($H281,Материалы!$M$2:$M$9000,0))="EUR",КурсEUR,1))*(1+IFERROR(INDEX(Работы!$I$2:$I$6000,MATCH($C281,Работы!$A$2:$A$6000,0))/100,0))*(1-MEDIAN(0,N(ДисконтТендер),1)),0))</f>
        <v>0</v>
      </c>
      <c r="L281" s="6">
        <f t="shared" si="25"/>
        <v>0</v>
      </c>
      <c r="M281" s="6">
        <f t="shared" si="26"/>
        <v>0</v>
      </c>
      <c r="N281" s="6">
        <f t="shared" si="27"/>
        <v>0</v>
      </c>
      <c r="O281" t="str">
        <f>IF($N281&gt;0,MAX($O$1:$O280)+1,"")</f>
        <v/>
      </c>
      <c r="P281" t="str">
        <f>IF($C281="","",IFERROR(INDEX(Работы!$D$2:$D$6000,MATCH($C281,Работы!$A$2:$A$6000,0)),""))</f>
        <v/>
      </c>
      <c r="Q281" t="str">
        <f t="shared" si="28"/>
        <v/>
      </c>
      <c r="R281" t="str">
        <f t="shared" si="29"/>
        <v/>
      </c>
      <c r="S281" t="str">
        <f>IF($P281="","",$P281&amp;" · "&amp;IFERROR(INDEX(Работы!$E$2:$E$6000,MATCH($C281,Работы!$A$2:$A$6000,0)),""))</f>
        <v/>
      </c>
    </row>
    <row r="282" spans="1:19" x14ac:dyDescent="0.3">
      <c r="A282" s="4"/>
      <c r="B282" s="4"/>
      <c r="C282" t="str">
        <f t="shared" si="24"/>
        <v/>
      </c>
      <c r="D282" s="5" t="str">
        <f>IF($C282="","",IF(AND(LEFT($F282,3)="ДОК",$H282&lt;&gt;""),IFERROR(INDEX(Документация!$G$2:$G$57,MATCH($H282,Документация!$F$2:$F$57,0)),"— вариант не найден —"),IFERROR(INDEX(Работы!$B$2:$B$6000,MATCH($C282,Работы!$A$2:$A$6000,0)),"— нет такого кода —")))</f>
        <v/>
      </c>
      <c r="E282" t="str">
        <f>IF($C282="","",IF(AND(LEFT($F282,3)="ДОК",$H282&lt;&gt;""),IFERROR(INDEX(Документация!$D$2:$D$57,MATCH($H282,Документация!$F$2:$F$57,0)),""),IFERROR(INDEX(Работы!$C$2:$C$6000,MATCH($C282,Работы!$A$2:$A$6000,0)),"")))</f>
        <v/>
      </c>
      <c r="F282" t="str">
        <f>IF($C282="","",IFERROR(INDEX(Работы!$G$2:$G$6000,MATCH($C282,Работы!$A$2:$A$6000,0))&amp;"",""))</f>
        <v/>
      </c>
      <c r="G282" s="4"/>
      <c r="H282" s="4"/>
      <c r="I282" s="5" t="str">
        <f>IF((LEFT($F282,3)="ДОК"),"",IF($H282="","",IFERROR(INDEX(Материалы!$B$2:$B$9000,MATCH($H282,Материалы!$M$2:$M$9000,0)),"")))</f>
        <v/>
      </c>
      <c r="J282" s="6">
        <f>IF(AND(LEFT($F282,3)="ДОК",$H282&lt;&gt;""),IFERROR(INDEX(Документация!$E$2:$E$57,MATCH($H282,Документация!$F$2:$F$57,0)),0),IFERROR(INDEX(Работы!$H$2:$H$6000,MATCH($C282,Работы!$A$2:$A$6000,0)),0))*(1-MEDIAN(0,N(ДисконтТендер),1))</f>
        <v>0</v>
      </c>
      <c r="K282" s="6">
        <f>IF(OR((LEFT($F282,3)="ДОК"),$H282=""),0,IFERROR(INDEX(Материалы!$H$2:$H$9000,MATCH($H282,Материалы!$M$2:$M$9000,0))*IF(INDEX(Материалы!$I$2:$I$9000,MATCH($H282,Материалы!$M$2:$M$9000,0))="USD",КурсUSD,IF(INDEX(Материалы!$I$2:$I$9000,MATCH($H282,Материалы!$M$2:$M$9000,0))="EUR",КурсEUR,1))*(1+IFERROR(INDEX(Работы!$I$2:$I$6000,MATCH($C282,Работы!$A$2:$A$6000,0))/100,0))*(1-MEDIAN(0,N(ДисконтТендер),1)),0))</f>
        <v>0</v>
      </c>
      <c r="L282" s="6">
        <f t="shared" si="25"/>
        <v>0</v>
      </c>
      <c r="M282" s="6">
        <f t="shared" si="26"/>
        <v>0</v>
      </c>
      <c r="N282" s="6">
        <f t="shared" si="27"/>
        <v>0</v>
      </c>
      <c r="O282" t="str">
        <f>IF($N282&gt;0,MAX($O$1:$O281)+1,"")</f>
        <v/>
      </c>
      <c r="P282" t="str">
        <f>IF($C282="","",IFERROR(INDEX(Работы!$D$2:$D$6000,MATCH($C282,Работы!$A$2:$A$6000,0)),""))</f>
        <v/>
      </c>
      <c r="Q282" t="str">
        <f t="shared" si="28"/>
        <v/>
      </c>
      <c r="R282" t="str">
        <f t="shared" si="29"/>
        <v/>
      </c>
      <c r="S282" t="str">
        <f>IF($P282="","",$P282&amp;" · "&amp;IFERROR(INDEX(Работы!$E$2:$E$6000,MATCH($C282,Работы!$A$2:$A$6000,0)),""))</f>
        <v/>
      </c>
    </row>
    <row r="283" spans="1:19" x14ac:dyDescent="0.3">
      <c r="A283" s="4"/>
      <c r="B283" s="4"/>
      <c r="C283" t="str">
        <f t="shared" si="24"/>
        <v/>
      </c>
      <c r="D283" s="5" t="str">
        <f>IF($C283="","",IF(AND(LEFT($F283,3)="ДОК",$H283&lt;&gt;""),IFERROR(INDEX(Документация!$G$2:$G$57,MATCH($H283,Документация!$F$2:$F$57,0)),"— вариант не найден —"),IFERROR(INDEX(Работы!$B$2:$B$6000,MATCH($C283,Работы!$A$2:$A$6000,0)),"— нет такого кода —")))</f>
        <v/>
      </c>
      <c r="E283" t="str">
        <f>IF($C283="","",IF(AND(LEFT($F283,3)="ДОК",$H283&lt;&gt;""),IFERROR(INDEX(Документация!$D$2:$D$57,MATCH($H283,Документация!$F$2:$F$57,0)),""),IFERROR(INDEX(Работы!$C$2:$C$6000,MATCH($C283,Работы!$A$2:$A$6000,0)),"")))</f>
        <v/>
      </c>
      <c r="F283" t="str">
        <f>IF($C283="","",IFERROR(INDEX(Работы!$G$2:$G$6000,MATCH($C283,Работы!$A$2:$A$6000,0))&amp;"",""))</f>
        <v/>
      </c>
      <c r="G283" s="4"/>
      <c r="H283" s="4"/>
      <c r="I283" s="5" t="str">
        <f>IF((LEFT($F283,3)="ДОК"),"",IF($H283="","",IFERROR(INDEX(Материалы!$B$2:$B$9000,MATCH($H283,Материалы!$M$2:$M$9000,0)),"")))</f>
        <v/>
      </c>
      <c r="J283" s="6">
        <f>IF(AND(LEFT($F283,3)="ДОК",$H283&lt;&gt;""),IFERROR(INDEX(Документация!$E$2:$E$57,MATCH($H283,Документация!$F$2:$F$57,0)),0),IFERROR(INDEX(Работы!$H$2:$H$6000,MATCH($C283,Работы!$A$2:$A$6000,0)),0))*(1-MEDIAN(0,N(ДисконтТендер),1))</f>
        <v>0</v>
      </c>
      <c r="K283" s="6">
        <f>IF(OR((LEFT($F283,3)="ДОК"),$H283=""),0,IFERROR(INDEX(Материалы!$H$2:$H$9000,MATCH($H283,Материалы!$M$2:$M$9000,0))*IF(INDEX(Материалы!$I$2:$I$9000,MATCH($H283,Материалы!$M$2:$M$9000,0))="USD",КурсUSD,IF(INDEX(Материалы!$I$2:$I$9000,MATCH($H283,Материалы!$M$2:$M$9000,0))="EUR",КурсEUR,1))*(1+IFERROR(INDEX(Работы!$I$2:$I$6000,MATCH($C283,Работы!$A$2:$A$6000,0))/100,0))*(1-MEDIAN(0,N(ДисконтТендер),1)),0))</f>
        <v>0</v>
      </c>
      <c r="L283" s="6">
        <f t="shared" si="25"/>
        <v>0</v>
      </c>
      <c r="M283" s="6">
        <f t="shared" si="26"/>
        <v>0</v>
      </c>
      <c r="N283" s="6">
        <f t="shared" si="27"/>
        <v>0</v>
      </c>
      <c r="O283" t="str">
        <f>IF($N283&gt;0,MAX($O$1:$O282)+1,"")</f>
        <v/>
      </c>
      <c r="P283" t="str">
        <f>IF($C283="","",IFERROR(INDEX(Работы!$D$2:$D$6000,MATCH($C283,Работы!$A$2:$A$6000,0)),""))</f>
        <v/>
      </c>
      <c r="Q283" t="str">
        <f t="shared" si="28"/>
        <v/>
      </c>
      <c r="R283" t="str">
        <f t="shared" si="29"/>
        <v/>
      </c>
      <c r="S283" t="str">
        <f>IF($P283="","",$P283&amp;" · "&amp;IFERROR(INDEX(Работы!$E$2:$E$6000,MATCH($C283,Работы!$A$2:$A$6000,0)),""))</f>
        <v/>
      </c>
    </row>
    <row r="284" spans="1:19" x14ac:dyDescent="0.3">
      <c r="A284" s="4"/>
      <c r="B284" s="4"/>
      <c r="C284" t="str">
        <f t="shared" si="24"/>
        <v/>
      </c>
      <c r="D284" s="5" t="str">
        <f>IF($C284="","",IF(AND(LEFT($F284,3)="ДОК",$H284&lt;&gt;""),IFERROR(INDEX(Документация!$G$2:$G$57,MATCH($H284,Документация!$F$2:$F$57,0)),"— вариант не найден —"),IFERROR(INDEX(Работы!$B$2:$B$6000,MATCH($C284,Работы!$A$2:$A$6000,0)),"— нет такого кода —")))</f>
        <v/>
      </c>
      <c r="E284" t="str">
        <f>IF($C284="","",IF(AND(LEFT($F284,3)="ДОК",$H284&lt;&gt;""),IFERROR(INDEX(Документация!$D$2:$D$57,MATCH($H284,Документация!$F$2:$F$57,0)),""),IFERROR(INDEX(Работы!$C$2:$C$6000,MATCH($C284,Работы!$A$2:$A$6000,0)),"")))</f>
        <v/>
      </c>
      <c r="F284" t="str">
        <f>IF($C284="","",IFERROR(INDEX(Работы!$G$2:$G$6000,MATCH($C284,Работы!$A$2:$A$6000,0))&amp;"",""))</f>
        <v/>
      </c>
      <c r="G284" s="4"/>
      <c r="H284" s="4"/>
      <c r="I284" s="5" t="str">
        <f>IF((LEFT($F284,3)="ДОК"),"",IF($H284="","",IFERROR(INDEX(Материалы!$B$2:$B$9000,MATCH($H284,Материалы!$M$2:$M$9000,0)),"")))</f>
        <v/>
      </c>
      <c r="J284" s="6">
        <f>IF(AND(LEFT($F284,3)="ДОК",$H284&lt;&gt;""),IFERROR(INDEX(Документация!$E$2:$E$57,MATCH($H284,Документация!$F$2:$F$57,0)),0),IFERROR(INDEX(Работы!$H$2:$H$6000,MATCH($C284,Работы!$A$2:$A$6000,0)),0))*(1-MEDIAN(0,N(ДисконтТендер),1))</f>
        <v>0</v>
      </c>
      <c r="K284" s="6">
        <f>IF(OR((LEFT($F284,3)="ДОК"),$H284=""),0,IFERROR(INDEX(Материалы!$H$2:$H$9000,MATCH($H284,Материалы!$M$2:$M$9000,0))*IF(INDEX(Материалы!$I$2:$I$9000,MATCH($H284,Материалы!$M$2:$M$9000,0))="USD",КурсUSD,IF(INDEX(Материалы!$I$2:$I$9000,MATCH($H284,Материалы!$M$2:$M$9000,0))="EUR",КурсEUR,1))*(1+IFERROR(INDEX(Работы!$I$2:$I$6000,MATCH($C284,Работы!$A$2:$A$6000,0))/100,0))*(1-MEDIAN(0,N(ДисконтТендер),1)),0))</f>
        <v>0</v>
      </c>
      <c r="L284" s="6">
        <f t="shared" si="25"/>
        <v>0</v>
      </c>
      <c r="M284" s="6">
        <f t="shared" si="26"/>
        <v>0</v>
      </c>
      <c r="N284" s="6">
        <f t="shared" si="27"/>
        <v>0</v>
      </c>
      <c r="O284" t="str">
        <f>IF($N284&gt;0,MAX($O$1:$O283)+1,"")</f>
        <v/>
      </c>
      <c r="P284" t="str">
        <f>IF($C284="","",IFERROR(INDEX(Работы!$D$2:$D$6000,MATCH($C284,Работы!$A$2:$A$6000,0)),""))</f>
        <v/>
      </c>
      <c r="Q284" t="str">
        <f t="shared" si="28"/>
        <v/>
      </c>
      <c r="R284" t="str">
        <f t="shared" si="29"/>
        <v/>
      </c>
      <c r="S284" t="str">
        <f>IF($P284="","",$P284&amp;" · "&amp;IFERROR(INDEX(Работы!$E$2:$E$6000,MATCH($C284,Работы!$A$2:$A$6000,0)),""))</f>
        <v/>
      </c>
    </row>
    <row r="285" spans="1:19" x14ac:dyDescent="0.3">
      <c r="A285" s="4"/>
      <c r="B285" s="4"/>
      <c r="C285" t="str">
        <f t="shared" si="24"/>
        <v/>
      </c>
      <c r="D285" s="5" t="str">
        <f>IF($C285="","",IF(AND(LEFT($F285,3)="ДОК",$H285&lt;&gt;""),IFERROR(INDEX(Документация!$G$2:$G$57,MATCH($H285,Документация!$F$2:$F$57,0)),"— вариант не найден —"),IFERROR(INDEX(Работы!$B$2:$B$6000,MATCH($C285,Работы!$A$2:$A$6000,0)),"— нет такого кода —")))</f>
        <v/>
      </c>
      <c r="E285" t="str">
        <f>IF($C285="","",IF(AND(LEFT($F285,3)="ДОК",$H285&lt;&gt;""),IFERROR(INDEX(Документация!$D$2:$D$57,MATCH($H285,Документация!$F$2:$F$57,0)),""),IFERROR(INDEX(Работы!$C$2:$C$6000,MATCH($C285,Работы!$A$2:$A$6000,0)),"")))</f>
        <v/>
      </c>
      <c r="F285" t="str">
        <f>IF($C285="","",IFERROR(INDEX(Работы!$G$2:$G$6000,MATCH($C285,Работы!$A$2:$A$6000,0))&amp;"",""))</f>
        <v/>
      </c>
      <c r="G285" s="4"/>
      <c r="H285" s="4"/>
      <c r="I285" s="5" t="str">
        <f>IF((LEFT($F285,3)="ДОК"),"",IF($H285="","",IFERROR(INDEX(Материалы!$B$2:$B$9000,MATCH($H285,Материалы!$M$2:$M$9000,0)),"")))</f>
        <v/>
      </c>
      <c r="J285" s="6">
        <f>IF(AND(LEFT($F285,3)="ДОК",$H285&lt;&gt;""),IFERROR(INDEX(Документация!$E$2:$E$57,MATCH($H285,Документация!$F$2:$F$57,0)),0),IFERROR(INDEX(Работы!$H$2:$H$6000,MATCH($C285,Работы!$A$2:$A$6000,0)),0))*(1-MEDIAN(0,N(ДисконтТендер),1))</f>
        <v>0</v>
      </c>
      <c r="K285" s="6">
        <f>IF(OR((LEFT($F285,3)="ДОК"),$H285=""),0,IFERROR(INDEX(Материалы!$H$2:$H$9000,MATCH($H285,Материалы!$M$2:$M$9000,0))*IF(INDEX(Материалы!$I$2:$I$9000,MATCH($H285,Материалы!$M$2:$M$9000,0))="USD",КурсUSD,IF(INDEX(Материалы!$I$2:$I$9000,MATCH($H285,Материалы!$M$2:$M$9000,0))="EUR",КурсEUR,1))*(1+IFERROR(INDEX(Работы!$I$2:$I$6000,MATCH($C285,Работы!$A$2:$A$6000,0))/100,0))*(1-MEDIAN(0,N(ДисконтТендер),1)),0))</f>
        <v>0</v>
      </c>
      <c r="L285" s="6">
        <f t="shared" si="25"/>
        <v>0</v>
      </c>
      <c r="M285" s="6">
        <f t="shared" si="26"/>
        <v>0</v>
      </c>
      <c r="N285" s="6">
        <f t="shared" si="27"/>
        <v>0</v>
      </c>
      <c r="O285" t="str">
        <f>IF($N285&gt;0,MAX($O$1:$O284)+1,"")</f>
        <v/>
      </c>
      <c r="P285" t="str">
        <f>IF($C285="","",IFERROR(INDEX(Работы!$D$2:$D$6000,MATCH($C285,Работы!$A$2:$A$6000,0)),""))</f>
        <v/>
      </c>
      <c r="Q285" t="str">
        <f t="shared" si="28"/>
        <v/>
      </c>
      <c r="R285" t="str">
        <f t="shared" si="29"/>
        <v/>
      </c>
      <c r="S285" t="str">
        <f>IF($P285="","",$P285&amp;" · "&amp;IFERROR(INDEX(Работы!$E$2:$E$6000,MATCH($C285,Работы!$A$2:$A$6000,0)),""))</f>
        <v/>
      </c>
    </row>
    <row r="286" spans="1:19" x14ac:dyDescent="0.3">
      <c r="A286" s="4"/>
      <c r="B286" s="4"/>
      <c r="C286" t="str">
        <f t="shared" si="24"/>
        <v/>
      </c>
      <c r="D286" s="5" t="str">
        <f>IF($C286="","",IF(AND(LEFT($F286,3)="ДОК",$H286&lt;&gt;""),IFERROR(INDEX(Документация!$G$2:$G$57,MATCH($H286,Документация!$F$2:$F$57,0)),"— вариант не найден —"),IFERROR(INDEX(Работы!$B$2:$B$6000,MATCH($C286,Работы!$A$2:$A$6000,0)),"— нет такого кода —")))</f>
        <v/>
      </c>
      <c r="E286" t="str">
        <f>IF($C286="","",IF(AND(LEFT($F286,3)="ДОК",$H286&lt;&gt;""),IFERROR(INDEX(Документация!$D$2:$D$57,MATCH($H286,Документация!$F$2:$F$57,0)),""),IFERROR(INDEX(Работы!$C$2:$C$6000,MATCH($C286,Работы!$A$2:$A$6000,0)),"")))</f>
        <v/>
      </c>
      <c r="F286" t="str">
        <f>IF($C286="","",IFERROR(INDEX(Работы!$G$2:$G$6000,MATCH($C286,Работы!$A$2:$A$6000,0))&amp;"",""))</f>
        <v/>
      </c>
      <c r="G286" s="4"/>
      <c r="H286" s="4"/>
      <c r="I286" s="5" t="str">
        <f>IF((LEFT($F286,3)="ДОК"),"",IF($H286="","",IFERROR(INDEX(Материалы!$B$2:$B$9000,MATCH($H286,Материалы!$M$2:$M$9000,0)),"")))</f>
        <v/>
      </c>
      <c r="J286" s="6">
        <f>IF(AND(LEFT($F286,3)="ДОК",$H286&lt;&gt;""),IFERROR(INDEX(Документация!$E$2:$E$57,MATCH($H286,Документация!$F$2:$F$57,0)),0),IFERROR(INDEX(Работы!$H$2:$H$6000,MATCH($C286,Работы!$A$2:$A$6000,0)),0))*(1-MEDIAN(0,N(ДисконтТендер),1))</f>
        <v>0</v>
      </c>
      <c r="K286" s="6">
        <f>IF(OR((LEFT($F286,3)="ДОК"),$H286=""),0,IFERROR(INDEX(Материалы!$H$2:$H$9000,MATCH($H286,Материалы!$M$2:$M$9000,0))*IF(INDEX(Материалы!$I$2:$I$9000,MATCH($H286,Материалы!$M$2:$M$9000,0))="USD",КурсUSD,IF(INDEX(Материалы!$I$2:$I$9000,MATCH($H286,Материалы!$M$2:$M$9000,0))="EUR",КурсEUR,1))*(1+IFERROR(INDEX(Работы!$I$2:$I$6000,MATCH($C286,Работы!$A$2:$A$6000,0))/100,0))*(1-MEDIAN(0,N(ДисконтТендер),1)),0))</f>
        <v>0</v>
      </c>
      <c r="L286" s="6">
        <f t="shared" si="25"/>
        <v>0</v>
      </c>
      <c r="M286" s="6">
        <f t="shared" si="26"/>
        <v>0</v>
      </c>
      <c r="N286" s="6">
        <f t="shared" si="27"/>
        <v>0</v>
      </c>
      <c r="O286" t="str">
        <f>IF($N286&gt;0,MAX($O$1:$O285)+1,"")</f>
        <v/>
      </c>
      <c r="P286" t="str">
        <f>IF($C286="","",IFERROR(INDEX(Работы!$D$2:$D$6000,MATCH($C286,Работы!$A$2:$A$6000,0)),""))</f>
        <v/>
      </c>
      <c r="Q286" t="str">
        <f t="shared" si="28"/>
        <v/>
      </c>
      <c r="R286" t="str">
        <f t="shared" si="29"/>
        <v/>
      </c>
      <c r="S286" t="str">
        <f>IF($P286="","",$P286&amp;" · "&amp;IFERROR(INDEX(Работы!$E$2:$E$6000,MATCH($C286,Работы!$A$2:$A$6000,0)),""))</f>
        <v/>
      </c>
    </row>
    <row r="287" spans="1:19" x14ac:dyDescent="0.3">
      <c r="A287" s="4"/>
      <c r="B287" s="4"/>
      <c r="C287" t="str">
        <f t="shared" si="24"/>
        <v/>
      </c>
      <c r="D287" s="5" t="str">
        <f>IF($C287="","",IF(AND(LEFT($F287,3)="ДОК",$H287&lt;&gt;""),IFERROR(INDEX(Документация!$G$2:$G$57,MATCH($H287,Документация!$F$2:$F$57,0)),"— вариант не найден —"),IFERROR(INDEX(Работы!$B$2:$B$6000,MATCH($C287,Работы!$A$2:$A$6000,0)),"— нет такого кода —")))</f>
        <v/>
      </c>
      <c r="E287" t="str">
        <f>IF($C287="","",IF(AND(LEFT($F287,3)="ДОК",$H287&lt;&gt;""),IFERROR(INDEX(Документация!$D$2:$D$57,MATCH($H287,Документация!$F$2:$F$57,0)),""),IFERROR(INDEX(Работы!$C$2:$C$6000,MATCH($C287,Работы!$A$2:$A$6000,0)),"")))</f>
        <v/>
      </c>
      <c r="F287" t="str">
        <f>IF($C287="","",IFERROR(INDEX(Работы!$G$2:$G$6000,MATCH($C287,Работы!$A$2:$A$6000,0))&amp;"",""))</f>
        <v/>
      </c>
      <c r="G287" s="4"/>
      <c r="H287" s="4"/>
      <c r="I287" s="5" t="str">
        <f>IF((LEFT($F287,3)="ДОК"),"",IF($H287="","",IFERROR(INDEX(Материалы!$B$2:$B$9000,MATCH($H287,Материалы!$M$2:$M$9000,0)),"")))</f>
        <v/>
      </c>
      <c r="J287" s="6">
        <f>IF(AND(LEFT($F287,3)="ДОК",$H287&lt;&gt;""),IFERROR(INDEX(Документация!$E$2:$E$57,MATCH($H287,Документация!$F$2:$F$57,0)),0),IFERROR(INDEX(Работы!$H$2:$H$6000,MATCH($C287,Работы!$A$2:$A$6000,0)),0))*(1-MEDIAN(0,N(ДисконтТендер),1))</f>
        <v>0</v>
      </c>
      <c r="K287" s="6">
        <f>IF(OR((LEFT($F287,3)="ДОК"),$H287=""),0,IFERROR(INDEX(Материалы!$H$2:$H$9000,MATCH($H287,Материалы!$M$2:$M$9000,0))*IF(INDEX(Материалы!$I$2:$I$9000,MATCH($H287,Материалы!$M$2:$M$9000,0))="USD",КурсUSD,IF(INDEX(Материалы!$I$2:$I$9000,MATCH($H287,Материалы!$M$2:$M$9000,0))="EUR",КурсEUR,1))*(1+IFERROR(INDEX(Работы!$I$2:$I$6000,MATCH($C287,Работы!$A$2:$A$6000,0))/100,0))*(1-MEDIAN(0,N(ДисконтТендер),1)),0))</f>
        <v>0</v>
      </c>
      <c r="L287" s="6">
        <f t="shared" si="25"/>
        <v>0</v>
      </c>
      <c r="M287" s="6">
        <f t="shared" si="26"/>
        <v>0</v>
      </c>
      <c r="N287" s="6">
        <f t="shared" si="27"/>
        <v>0</v>
      </c>
      <c r="O287" t="str">
        <f>IF($N287&gt;0,MAX($O$1:$O286)+1,"")</f>
        <v/>
      </c>
      <c r="P287" t="str">
        <f>IF($C287="","",IFERROR(INDEX(Работы!$D$2:$D$6000,MATCH($C287,Работы!$A$2:$A$6000,0)),""))</f>
        <v/>
      </c>
      <c r="Q287" t="str">
        <f t="shared" si="28"/>
        <v/>
      </c>
      <c r="R287" t="str">
        <f t="shared" si="29"/>
        <v/>
      </c>
      <c r="S287" t="str">
        <f>IF($P287="","",$P287&amp;" · "&amp;IFERROR(INDEX(Работы!$E$2:$E$6000,MATCH($C287,Работы!$A$2:$A$6000,0)),""))</f>
        <v/>
      </c>
    </row>
    <row r="288" spans="1:19" x14ac:dyDescent="0.3">
      <c r="A288" s="4"/>
      <c r="B288" s="4"/>
      <c r="C288" t="str">
        <f t="shared" si="24"/>
        <v/>
      </c>
      <c r="D288" s="5" t="str">
        <f>IF($C288="","",IF(AND(LEFT($F288,3)="ДОК",$H288&lt;&gt;""),IFERROR(INDEX(Документация!$G$2:$G$57,MATCH($H288,Документация!$F$2:$F$57,0)),"— вариант не найден —"),IFERROR(INDEX(Работы!$B$2:$B$6000,MATCH($C288,Работы!$A$2:$A$6000,0)),"— нет такого кода —")))</f>
        <v/>
      </c>
      <c r="E288" t="str">
        <f>IF($C288="","",IF(AND(LEFT($F288,3)="ДОК",$H288&lt;&gt;""),IFERROR(INDEX(Документация!$D$2:$D$57,MATCH($H288,Документация!$F$2:$F$57,0)),""),IFERROR(INDEX(Работы!$C$2:$C$6000,MATCH($C288,Работы!$A$2:$A$6000,0)),"")))</f>
        <v/>
      </c>
      <c r="F288" t="str">
        <f>IF($C288="","",IFERROR(INDEX(Работы!$G$2:$G$6000,MATCH($C288,Работы!$A$2:$A$6000,0))&amp;"",""))</f>
        <v/>
      </c>
      <c r="G288" s="4"/>
      <c r="H288" s="4"/>
      <c r="I288" s="5" t="str">
        <f>IF((LEFT($F288,3)="ДОК"),"",IF($H288="","",IFERROR(INDEX(Материалы!$B$2:$B$9000,MATCH($H288,Материалы!$M$2:$M$9000,0)),"")))</f>
        <v/>
      </c>
      <c r="J288" s="6">
        <f>IF(AND(LEFT($F288,3)="ДОК",$H288&lt;&gt;""),IFERROR(INDEX(Документация!$E$2:$E$57,MATCH($H288,Документация!$F$2:$F$57,0)),0),IFERROR(INDEX(Работы!$H$2:$H$6000,MATCH($C288,Работы!$A$2:$A$6000,0)),0))*(1-MEDIAN(0,N(ДисконтТендер),1))</f>
        <v>0</v>
      </c>
      <c r="K288" s="6">
        <f>IF(OR((LEFT($F288,3)="ДОК"),$H288=""),0,IFERROR(INDEX(Материалы!$H$2:$H$9000,MATCH($H288,Материалы!$M$2:$M$9000,0))*IF(INDEX(Материалы!$I$2:$I$9000,MATCH($H288,Материалы!$M$2:$M$9000,0))="USD",КурсUSD,IF(INDEX(Материалы!$I$2:$I$9000,MATCH($H288,Материалы!$M$2:$M$9000,0))="EUR",КурсEUR,1))*(1+IFERROR(INDEX(Работы!$I$2:$I$6000,MATCH($C288,Работы!$A$2:$A$6000,0))/100,0))*(1-MEDIAN(0,N(ДисконтТендер),1)),0))</f>
        <v>0</v>
      </c>
      <c r="L288" s="6">
        <f t="shared" si="25"/>
        <v>0</v>
      </c>
      <c r="M288" s="6">
        <f t="shared" si="26"/>
        <v>0</v>
      </c>
      <c r="N288" s="6">
        <f t="shared" si="27"/>
        <v>0</v>
      </c>
      <c r="O288" t="str">
        <f>IF($N288&gt;0,MAX($O$1:$O287)+1,"")</f>
        <v/>
      </c>
      <c r="P288" t="str">
        <f>IF($C288="","",IFERROR(INDEX(Работы!$D$2:$D$6000,MATCH($C288,Работы!$A$2:$A$6000,0)),""))</f>
        <v/>
      </c>
      <c r="Q288" t="str">
        <f t="shared" si="28"/>
        <v/>
      </c>
      <c r="R288" t="str">
        <f t="shared" si="29"/>
        <v/>
      </c>
      <c r="S288" t="str">
        <f>IF($P288="","",$P288&amp;" · "&amp;IFERROR(INDEX(Работы!$E$2:$E$6000,MATCH($C288,Работы!$A$2:$A$6000,0)),""))</f>
        <v/>
      </c>
    </row>
    <row r="289" spans="1:19" x14ac:dyDescent="0.3">
      <c r="A289" s="4"/>
      <c r="B289" s="4"/>
      <c r="C289" t="str">
        <f t="shared" si="24"/>
        <v/>
      </c>
      <c r="D289" s="5" t="str">
        <f>IF($C289="","",IF(AND(LEFT($F289,3)="ДОК",$H289&lt;&gt;""),IFERROR(INDEX(Документация!$G$2:$G$57,MATCH($H289,Документация!$F$2:$F$57,0)),"— вариант не найден —"),IFERROR(INDEX(Работы!$B$2:$B$6000,MATCH($C289,Работы!$A$2:$A$6000,0)),"— нет такого кода —")))</f>
        <v/>
      </c>
      <c r="E289" t="str">
        <f>IF($C289="","",IF(AND(LEFT($F289,3)="ДОК",$H289&lt;&gt;""),IFERROR(INDEX(Документация!$D$2:$D$57,MATCH($H289,Документация!$F$2:$F$57,0)),""),IFERROR(INDEX(Работы!$C$2:$C$6000,MATCH($C289,Работы!$A$2:$A$6000,0)),"")))</f>
        <v/>
      </c>
      <c r="F289" t="str">
        <f>IF($C289="","",IFERROR(INDEX(Работы!$G$2:$G$6000,MATCH($C289,Работы!$A$2:$A$6000,0))&amp;"",""))</f>
        <v/>
      </c>
      <c r="G289" s="4"/>
      <c r="H289" s="4"/>
      <c r="I289" s="5" t="str">
        <f>IF((LEFT($F289,3)="ДОК"),"",IF($H289="","",IFERROR(INDEX(Материалы!$B$2:$B$9000,MATCH($H289,Материалы!$M$2:$M$9000,0)),"")))</f>
        <v/>
      </c>
      <c r="J289" s="6">
        <f>IF(AND(LEFT($F289,3)="ДОК",$H289&lt;&gt;""),IFERROR(INDEX(Документация!$E$2:$E$57,MATCH($H289,Документация!$F$2:$F$57,0)),0),IFERROR(INDEX(Работы!$H$2:$H$6000,MATCH($C289,Работы!$A$2:$A$6000,0)),0))*(1-MEDIAN(0,N(ДисконтТендер),1))</f>
        <v>0</v>
      </c>
      <c r="K289" s="6">
        <f>IF(OR((LEFT($F289,3)="ДОК"),$H289=""),0,IFERROR(INDEX(Материалы!$H$2:$H$9000,MATCH($H289,Материалы!$M$2:$M$9000,0))*IF(INDEX(Материалы!$I$2:$I$9000,MATCH($H289,Материалы!$M$2:$M$9000,0))="USD",КурсUSD,IF(INDEX(Материалы!$I$2:$I$9000,MATCH($H289,Материалы!$M$2:$M$9000,0))="EUR",КурсEUR,1))*(1+IFERROR(INDEX(Работы!$I$2:$I$6000,MATCH($C289,Работы!$A$2:$A$6000,0))/100,0))*(1-MEDIAN(0,N(ДисконтТендер),1)),0))</f>
        <v>0</v>
      </c>
      <c r="L289" s="6">
        <f t="shared" si="25"/>
        <v>0</v>
      </c>
      <c r="M289" s="6">
        <f t="shared" si="26"/>
        <v>0</v>
      </c>
      <c r="N289" s="6">
        <f t="shared" si="27"/>
        <v>0</v>
      </c>
      <c r="O289" t="str">
        <f>IF($N289&gt;0,MAX($O$1:$O288)+1,"")</f>
        <v/>
      </c>
      <c r="P289" t="str">
        <f>IF($C289="","",IFERROR(INDEX(Работы!$D$2:$D$6000,MATCH($C289,Работы!$A$2:$A$6000,0)),""))</f>
        <v/>
      </c>
      <c r="Q289" t="str">
        <f t="shared" si="28"/>
        <v/>
      </c>
      <c r="R289" t="str">
        <f t="shared" si="29"/>
        <v/>
      </c>
      <c r="S289" t="str">
        <f>IF($P289="","",$P289&amp;" · "&amp;IFERROR(INDEX(Работы!$E$2:$E$6000,MATCH($C289,Работы!$A$2:$A$6000,0)),""))</f>
        <v/>
      </c>
    </row>
    <row r="290" spans="1:19" x14ac:dyDescent="0.3">
      <c r="A290" s="4"/>
      <c r="B290" s="4"/>
      <c r="C290" t="str">
        <f t="shared" si="24"/>
        <v/>
      </c>
      <c r="D290" s="5" t="str">
        <f>IF($C290="","",IF(AND(LEFT($F290,3)="ДОК",$H290&lt;&gt;""),IFERROR(INDEX(Документация!$G$2:$G$57,MATCH($H290,Документация!$F$2:$F$57,0)),"— вариант не найден —"),IFERROR(INDEX(Работы!$B$2:$B$6000,MATCH($C290,Работы!$A$2:$A$6000,0)),"— нет такого кода —")))</f>
        <v/>
      </c>
      <c r="E290" t="str">
        <f>IF($C290="","",IF(AND(LEFT($F290,3)="ДОК",$H290&lt;&gt;""),IFERROR(INDEX(Документация!$D$2:$D$57,MATCH($H290,Документация!$F$2:$F$57,0)),""),IFERROR(INDEX(Работы!$C$2:$C$6000,MATCH($C290,Работы!$A$2:$A$6000,0)),"")))</f>
        <v/>
      </c>
      <c r="F290" t="str">
        <f>IF($C290="","",IFERROR(INDEX(Работы!$G$2:$G$6000,MATCH($C290,Работы!$A$2:$A$6000,0))&amp;"",""))</f>
        <v/>
      </c>
      <c r="G290" s="4"/>
      <c r="H290" s="4"/>
      <c r="I290" s="5" t="str">
        <f>IF((LEFT($F290,3)="ДОК"),"",IF($H290="","",IFERROR(INDEX(Материалы!$B$2:$B$9000,MATCH($H290,Материалы!$M$2:$M$9000,0)),"")))</f>
        <v/>
      </c>
      <c r="J290" s="6">
        <f>IF(AND(LEFT($F290,3)="ДОК",$H290&lt;&gt;""),IFERROR(INDEX(Документация!$E$2:$E$57,MATCH($H290,Документация!$F$2:$F$57,0)),0),IFERROR(INDEX(Работы!$H$2:$H$6000,MATCH($C290,Работы!$A$2:$A$6000,0)),0))*(1-MEDIAN(0,N(ДисконтТендер),1))</f>
        <v>0</v>
      </c>
      <c r="K290" s="6">
        <f>IF(OR((LEFT($F290,3)="ДОК"),$H290=""),0,IFERROR(INDEX(Материалы!$H$2:$H$9000,MATCH($H290,Материалы!$M$2:$M$9000,0))*IF(INDEX(Материалы!$I$2:$I$9000,MATCH($H290,Материалы!$M$2:$M$9000,0))="USD",КурсUSD,IF(INDEX(Материалы!$I$2:$I$9000,MATCH($H290,Материалы!$M$2:$M$9000,0))="EUR",КурсEUR,1))*(1+IFERROR(INDEX(Работы!$I$2:$I$6000,MATCH($C290,Работы!$A$2:$A$6000,0))/100,0))*(1-MEDIAN(0,N(ДисконтТендер),1)),0))</f>
        <v>0</v>
      </c>
      <c r="L290" s="6">
        <f t="shared" si="25"/>
        <v>0</v>
      </c>
      <c r="M290" s="6">
        <f t="shared" si="26"/>
        <v>0</v>
      </c>
      <c r="N290" s="6">
        <f t="shared" si="27"/>
        <v>0</v>
      </c>
      <c r="O290" t="str">
        <f>IF($N290&gt;0,MAX($O$1:$O289)+1,"")</f>
        <v/>
      </c>
      <c r="P290" t="str">
        <f>IF($C290="","",IFERROR(INDEX(Работы!$D$2:$D$6000,MATCH($C290,Работы!$A$2:$A$6000,0)),""))</f>
        <v/>
      </c>
      <c r="Q290" t="str">
        <f t="shared" si="28"/>
        <v/>
      </c>
      <c r="R290" t="str">
        <f t="shared" si="29"/>
        <v/>
      </c>
      <c r="S290" t="str">
        <f>IF($P290="","",$P290&amp;" · "&amp;IFERROR(INDEX(Работы!$E$2:$E$6000,MATCH($C290,Работы!$A$2:$A$6000,0)),""))</f>
        <v/>
      </c>
    </row>
    <row r="291" spans="1:19" x14ac:dyDescent="0.3">
      <c r="A291" s="4"/>
      <c r="B291" s="4"/>
      <c r="C291" t="str">
        <f t="shared" si="24"/>
        <v/>
      </c>
      <c r="D291" s="5" t="str">
        <f>IF($C291="","",IF(AND(LEFT($F291,3)="ДОК",$H291&lt;&gt;""),IFERROR(INDEX(Документация!$G$2:$G$57,MATCH($H291,Документация!$F$2:$F$57,0)),"— вариант не найден —"),IFERROR(INDEX(Работы!$B$2:$B$6000,MATCH($C291,Работы!$A$2:$A$6000,0)),"— нет такого кода —")))</f>
        <v/>
      </c>
      <c r="E291" t="str">
        <f>IF($C291="","",IF(AND(LEFT($F291,3)="ДОК",$H291&lt;&gt;""),IFERROR(INDEX(Документация!$D$2:$D$57,MATCH($H291,Документация!$F$2:$F$57,0)),""),IFERROR(INDEX(Работы!$C$2:$C$6000,MATCH($C291,Работы!$A$2:$A$6000,0)),"")))</f>
        <v/>
      </c>
      <c r="F291" t="str">
        <f>IF($C291="","",IFERROR(INDEX(Работы!$G$2:$G$6000,MATCH($C291,Работы!$A$2:$A$6000,0))&amp;"",""))</f>
        <v/>
      </c>
      <c r="G291" s="4"/>
      <c r="H291" s="4"/>
      <c r="I291" s="5" t="str">
        <f>IF((LEFT($F291,3)="ДОК"),"",IF($H291="","",IFERROR(INDEX(Материалы!$B$2:$B$9000,MATCH($H291,Материалы!$M$2:$M$9000,0)),"")))</f>
        <v/>
      </c>
      <c r="J291" s="6">
        <f>IF(AND(LEFT($F291,3)="ДОК",$H291&lt;&gt;""),IFERROR(INDEX(Документация!$E$2:$E$57,MATCH($H291,Документация!$F$2:$F$57,0)),0),IFERROR(INDEX(Работы!$H$2:$H$6000,MATCH($C291,Работы!$A$2:$A$6000,0)),0))*(1-MEDIAN(0,N(ДисконтТендер),1))</f>
        <v>0</v>
      </c>
      <c r="K291" s="6">
        <f>IF(OR((LEFT($F291,3)="ДОК"),$H291=""),0,IFERROR(INDEX(Материалы!$H$2:$H$9000,MATCH($H291,Материалы!$M$2:$M$9000,0))*IF(INDEX(Материалы!$I$2:$I$9000,MATCH($H291,Материалы!$M$2:$M$9000,0))="USD",КурсUSD,IF(INDEX(Материалы!$I$2:$I$9000,MATCH($H291,Материалы!$M$2:$M$9000,0))="EUR",КурсEUR,1))*(1+IFERROR(INDEX(Работы!$I$2:$I$6000,MATCH($C291,Работы!$A$2:$A$6000,0))/100,0))*(1-MEDIAN(0,N(ДисконтТендер),1)),0))</f>
        <v>0</v>
      </c>
      <c r="L291" s="6">
        <f t="shared" si="25"/>
        <v>0</v>
      </c>
      <c r="M291" s="6">
        <f t="shared" si="26"/>
        <v>0</v>
      </c>
      <c r="N291" s="6">
        <f t="shared" si="27"/>
        <v>0</v>
      </c>
      <c r="O291" t="str">
        <f>IF($N291&gt;0,MAX($O$1:$O290)+1,"")</f>
        <v/>
      </c>
      <c r="P291" t="str">
        <f>IF($C291="","",IFERROR(INDEX(Работы!$D$2:$D$6000,MATCH($C291,Работы!$A$2:$A$6000,0)),""))</f>
        <v/>
      </c>
      <c r="Q291" t="str">
        <f t="shared" si="28"/>
        <v/>
      </c>
      <c r="R291" t="str">
        <f t="shared" si="29"/>
        <v/>
      </c>
      <c r="S291" t="str">
        <f>IF($P291="","",$P291&amp;" · "&amp;IFERROR(INDEX(Работы!$E$2:$E$6000,MATCH($C291,Работы!$A$2:$A$6000,0)),""))</f>
        <v/>
      </c>
    </row>
    <row r="292" spans="1:19" x14ac:dyDescent="0.3">
      <c r="A292" s="4"/>
      <c r="B292" s="4"/>
      <c r="C292" t="str">
        <f t="shared" si="24"/>
        <v/>
      </c>
      <c r="D292" s="5" t="str">
        <f>IF($C292="","",IF(AND(LEFT($F292,3)="ДОК",$H292&lt;&gt;""),IFERROR(INDEX(Документация!$G$2:$G$57,MATCH($H292,Документация!$F$2:$F$57,0)),"— вариант не найден —"),IFERROR(INDEX(Работы!$B$2:$B$6000,MATCH($C292,Работы!$A$2:$A$6000,0)),"— нет такого кода —")))</f>
        <v/>
      </c>
      <c r="E292" t="str">
        <f>IF($C292="","",IF(AND(LEFT($F292,3)="ДОК",$H292&lt;&gt;""),IFERROR(INDEX(Документация!$D$2:$D$57,MATCH($H292,Документация!$F$2:$F$57,0)),""),IFERROR(INDEX(Работы!$C$2:$C$6000,MATCH($C292,Работы!$A$2:$A$6000,0)),"")))</f>
        <v/>
      </c>
      <c r="F292" t="str">
        <f>IF($C292="","",IFERROR(INDEX(Работы!$G$2:$G$6000,MATCH($C292,Работы!$A$2:$A$6000,0))&amp;"",""))</f>
        <v/>
      </c>
      <c r="G292" s="4"/>
      <c r="H292" s="4"/>
      <c r="I292" s="5" t="str">
        <f>IF((LEFT($F292,3)="ДОК"),"",IF($H292="","",IFERROR(INDEX(Материалы!$B$2:$B$9000,MATCH($H292,Материалы!$M$2:$M$9000,0)),"")))</f>
        <v/>
      </c>
      <c r="J292" s="6">
        <f>IF(AND(LEFT($F292,3)="ДОК",$H292&lt;&gt;""),IFERROR(INDEX(Документация!$E$2:$E$57,MATCH($H292,Документация!$F$2:$F$57,0)),0),IFERROR(INDEX(Работы!$H$2:$H$6000,MATCH($C292,Работы!$A$2:$A$6000,0)),0))*(1-MEDIAN(0,N(ДисконтТендер),1))</f>
        <v>0</v>
      </c>
      <c r="K292" s="6">
        <f>IF(OR((LEFT($F292,3)="ДОК"),$H292=""),0,IFERROR(INDEX(Материалы!$H$2:$H$9000,MATCH($H292,Материалы!$M$2:$M$9000,0))*IF(INDEX(Материалы!$I$2:$I$9000,MATCH($H292,Материалы!$M$2:$M$9000,0))="USD",КурсUSD,IF(INDEX(Материалы!$I$2:$I$9000,MATCH($H292,Материалы!$M$2:$M$9000,0))="EUR",КурсEUR,1))*(1+IFERROR(INDEX(Работы!$I$2:$I$6000,MATCH($C292,Работы!$A$2:$A$6000,0))/100,0))*(1-MEDIAN(0,N(ДисконтТендер),1)),0))</f>
        <v>0</v>
      </c>
      <c r="L292" s="6">
        <f t="shared" si="25"/>
        <v>0</v>
      </c>
      <c r="M292" s="6">
        <f t="shared" si="26"/>
        <v>0</v>
      </c>
      <c r="N292" s="6">
        <f t="shared" si="27"/>
        <v>0</v>
      </c>
      <c r="O292" t="str">
        <f>IF($N292&gt;0,MAX($O$1:$O291)+1,"")</f>
        <v/>
      </c>
      <c r="P292" t="str">
        <f>IF($C292="","",IFERROR(INDEX(Работы!$D$2:$D$6000,MATCH($C292,Работы!$A$2:$A$6000,0)),""))</f>
        <v/>
      </c>
      <c r="Q292" t="str">
        <f t="shared" si="28"/>
        <v/>
      </c>
      <c r="R292" t="str">
        <f t="shared" si="29"/>
        <v/>
      </c>
      <c r="S292" t="str">
        <f>IF($P292="","",$P292&amp;" · "&amp;IFERROR(INDEX(Работы!$E$2:$E$6000,MATCH($C292,Работы!$A$2:$A$6000,0)),""))</f>
        <v/>
      </c>
    </row>
    <row r="293" spans="1:19" x14ac:dyDescent="0.3">
      <c r="A293" s="4"/>
      <c r="B293" s="4"/>
      <c r="C293" t="str">
        <f t="shared" si="24"/>
        <v/>
      </c>
      <c r="D293" s="5" t="str">
        <f>IF($C293="","",IF(AND(LEFT($F293,3)="ДОК",$H293&lt;&gt;""),IFERROR(INDEX(Документация!$G$2:$G$57,MATCH($H293,Документация!$F$2:$F$57,0)),"— вариант не найден —"),IFERROR(INDEX(Работы!$B$2:$B$6000,MATCH($C293,Работы!$A$2:$A$6000,0)),"— нет такого кода —")))</f>
        <v/>
      </c>
      <c r="E293" t="str">
        <f>IF($C293="","",IF(AND(LEFT($F293,3)="ДОК",$H293&lt;&gt;""),IFERROR(INDEX(Документация!$D$2:$D$57,MATCH($H293,Документация!$F$2:$F$57,0)),""),IFERROR(INDEX(Работы!$C$2:$C$6000,MATCH($C293,Работы!$A$2:$A$6000,0)),"")))</f>
        <v/>
      </c>
      <c r="F293" t="str">
        <f>IF($C293="","",IFERROR(INDEX(Работы!$G$2:$G$6000,MATCH($C293,Работы!$A$2:$A$6000,0))&amp;"",""))</f>
        <v/>
      </c>
      <c r="G293" s="4"/>
      <c r="H293" s="4"/>
      <c r="I293" s="5" t="str">
        <f>IF((LEFT($F293,3)="ДОК"),"",IF($H293="","",IFERROR(INDEX(Материалы!$B$2:$B$9000,MATCH($H293,Материалы!$M$2:$M$9000,0)),"")))</f>
        <v/>
      </c>
      <c r="J293" s="6">
        <f>IF(AND(LEFT($F293,3)="ДОК",$H293&lt;&gt;""),IFERROR(INDEX(Документация!$E$2:$E$57,MATCH($H293,Документация!$F$2:$F$57,0)),0),IFERROR(INDEX(Работы!$H$2:$H$6000,MATCH($C293,Работы!$A$2:$A$6000,0)),0))*(1-MEDIAN(0,N(ДисконтТендер),1))</f>
        <v>0</v>
      </c>
      <c r="K293" s="6">
        <f>IF(OR((LEFT($F293,3)="ДОК"),$H293=""),0,IFERROR(INDEX(Материалы!$H$2:$H$9000,MATCH($H293,Материалы!$M$2:$M$9000,0))*IF(INDEX(Материалы!$I$2:$I$9000,MATCH($H293,Материалы!$M$2:$M$9000,0))="USD",КурсUSD,IF(INDEX(Материалы!$I$2:$I$9000,MATCH($H293,Материалы!$M$2:$M$9000,0))="EUR",КурсEUR,1))*(1+IFERROR(INDEX(Работы!$I$2:$I$6000,MATCH($C293,Работы!$A$2:$A$6000,0))/100,0))*(1-MEDIAN(0,N(ДисконтТендер),1)),0))</f>
        <v>0</v>
      </c>
      <c r="L293" s="6">
        <f t="shared" si="25"/>
        <v>0</v>
      </c>
      <c r="M293" s="6">
        <f t="shared" si="26"/>
        <v>0</v>
      </c>
      <c r="N293" s="6">
        <f t="shared" si="27"/>
        <v>0</v>
      </c>
      <c r="O293" t="str">
        <f>IF($N293&gt;0,MAX($O$1:$O292)+1,"")</f>
        <v/>
      </c>
      <c r="P293" t="str">
        <f>IF($C293="","",IFERROR(INDEX(Работы!$D$2:$D$6000,MATCH($C293,Работы!$A$2:$A$6000,0)),""))</f>
        <v/>
      </c>
      <c r="Q293" t="str">
        <f t="shared" si="28"/>
        <v/>
      </c>
      <c r="R293" t="str">
        <f t="shared" si="29"/>
        <v/>
      </c>
      <c r="S293" t="str">
        <f>IF($P293="","",$P293&amp;" · "&amp;IFERROR(INDEX(Работы!$E$2:$E$6000,MATCH($C293,Работы!$A$2:$A$6000,0)),""))</f>
        <v/>
      </c>
    </row>
    <row r="294" spans="1:19" x14ac:dyDescent="0.3">
      <c r="A294" s="4"/>
      <c r="B294" s="4"/>
      <c r="C294" t="str">
        <f t="shared" si="24"/>
        <v/>
      </c>
      <c r="D294" s="5" t="str">
        <f>IF($C294="","",IF(AND(LEFT($F294,3)="ДОК",$H294&lt;&gt;""),IFERROR(INDEX(Документация!$G$2:$G$57,MATCH($H294,Документация!$F$2:$F$57,0)),"— вариант не найден —"),IFERROR(INDEX(Работы!$B$2:$B$6000,MATCH($C294,Работы!$A$2:$A$6000,0)),"— нет такого кода —")))</f>
        <v/>
      </c>
      <c r="E294" t="str">
        <f>IF($C294="","",IF(AND(LEFT($F294,3)="ДОК",$H294&lt;&gt;""),IFERROR(INDEX(Документация!$D$2:$D$57,MATCH($H294,Документация!$F$2:$F$57,0)),""),IFERROR(INDEX(Работы!$C$2:$C$6000,MATCH($C294,Работы!$A$2:$A$6000,0)),"")))</f>
        <v/>
      </c>
      <c r="F294" t="str">
        <f>IF($C294="","",IFERROR(INDEX(Работы!$G$2:$G$6000,MATCH($C294,Работы!$A$2:$A$6000,0))&amp;"",""))</f>
        <v/>
      </c>
      <c r="G294" s="4"/>
      <c r="H294" s="4"/>
      <c r="I294" s="5" t="str">
        <f>IF((LEFT($F294,3)="ДОК"),"",IF($H294="","",IFERROR(INDEX(Материалы!$B$2:$B$9000,MATCH($H294,Материалы!$M$2:$M$9000,0)),"")))</f>
        <v/>
      </c>
      <c r="J294" s="6">
        <f>IF(AND(LEFT($F294,3)="ДОК",$H294&lt;&gt;""),IFERROR(INDEX(Документация!$E$2:$E$57,MATCH($H294,Документация!$F$2:$F$57,0)),0),IFERROR(INDEX(Работы!$H$2:$H$6000,MATCH($C294,Работы!$A$2:$A$6000,0)),0))*(1-MEDIAN(0,N(ДисконтТендер),1))</f>
        <v>0</v>
      </c>
      <c r="K294" s="6">
        <f>IF(OR((LEFT($F294,3)="ДОК"),$H294=""),0,IFERROR(INDEX(Материалы!$H$2:$H$9000,MATCH($H294,Материалы!$M$2:$M$9000,0))*IF(INDEX(Материалы!$I$2:$I$9000,MATCH($H294,Материалы!$M$2:$M$9000,0))="USD",КурсUSD,IF(INDEX(Материалы!$I$2:$I$9000,MATCH($H294,Материалы!$M$2:$M$9000,0))="EUR",КурсEUR,1))*(1+IFERROR(INDEX(Работы!$I$2:$I$6000,MATCH($C294,Работы!$A$2:$A$6000,0))/100,0))*(1-MEDIAN(0,N(ДисконтТендер),1)),0))</f>
        <v>0</v>
      </c>
      <c r="L294" s="6">
        <f t="shared" si="25"/>
        <v>0</v>
      </c>
      <c r="M294" s="6">
        <f t="shared" si="26"/>
        <v>0</v>
      </c>
      <c r="N294" s="6">
        <f t="shared" si="27"/>
        <v>0</v>
      </c>
      <c r="O294" t="str">
        <f>IF($N294&gt;0,MAX($O$1:$O293)+1,"")</f>
        <v/>
      </c>
      <c r="P294" t="str">
        <f>IF($C294="","",IFERROR(INDEX(Работы!$D$2:$D$6000,MATCH($C294,Работы!$A$2:$A$6000,0)),""))</f>
        <v/>
      </c>
      <c r="Q294" t="str">
        <f t="shared" si="28"/>
        <v/>
      </c>
      <c r="R294" t="str">
        <f t="shared" si="29"/>
        <v/>
      </c>
      <c r="S294" t="str">
        <f>IF($P294="","",$P294&amp;" · "&amp;IFERROR(INDEX(Работы!$E$2:$E$6000,MATCH($C294,Работы!$A$2:$A$6000,0)),""))</f>
        <v/>
      </c>
    </row>
    <row r="295" spans="1:19" x14ac:dyDescent="0.3">
      <c r="A295" s="4"/>
      <c r="B295" s="4"/>
      <c r="C295" t="str">
        <f t="shared" si="24"/>
        <v/>
      </c>
      <c r="D295" s="5" t="str">
        <f>IF($C295="","",IF(AND(LEFT($F295,3)="ДОК",$H295&lt;&gt;""),IFERROR(INDEX(Документация!$G$2:$G$57,MATCH($H295,Документация!$F$2:$F$57,0)),"— вариант не найден —"),IFERROR(INDEX(Работы!$B$2:$B$6000,MATCH($C295,Работы!$A$2:$A$6000,0)),"— нет такого кода —")))</f>
        <v/>
      </c>
      <c r="E295" t="str">
        <f>IF($C295="","",IF(AND(LEFT($F295,3)="ДОК",$H295&lt;&gt;""),IFERROR(INDEX(Документация!$D$2:$D$57,MATCH($H295,Документация!$F$2:$F$57,0)),""),IFERROR(INDEX(Работы!$C$2:$C$6000,MATCH($C295,Работы!$A$2:$A$6000,0)),"")))</f>
        <v/>
      </c>
      <c r="F295" t="str">
        <f>IF($C295="","",IFERROR(INDEX(Работы!$G$2:$G$6000,MATCH($C295,Работы!$A$2:$A$6000,0))&amp;"",""))</f>
        <v/>
      </c>
      <c r="G295" s="4"/>
      <c r="H295" s="4"/>
      <c r="I295" s="5" t="str">
        <f>IF((LEFT($F295,3)="ДОК"),"",IF($H295="","",IFERROR(INDEX(Материалы!$B$2:$B$9000,MATCH($H295,Материалы!$M$2:$M$9000,0)),"")))</f>
        <v/>
      </c>
      <c r="J295" s="6">
        <f>IF(AND(LEFT($F295,3)="ДОК",$H295&lt;&gt;""),IFERROR(INDEX(Документация!$E$2:$E$57,MATCH($H295,Документация!$F$2:$F$57,0)),0),IFERROR(INDEX(Работы!$H$2:$H$6000,MATCH($C295,Работы!$A$2:$A$6000,0)),0))*(1-MEDIAN(0,N(ДисконтТендер),1))</f>
        <v>0</v>
      </c>
      <c r="K295" s="6">
        <f>IF(OR((LEFT($F295,3)="ДОК"),$H295=""),0,IFERROR(INDEX(Материалы!$H$2:$H$9000,MATCH($H295,Материалы!$M$2:$M$9000,0))*IF(INDEX(Материалы!$I$2:$I$9000,MATCH($H295,Материалы!$M$2:$M$9000,0))="USD",КурсUSD,IF(INDEX(Материалы!$I$2:$I$9000,MATCH($H295,Материалы!$M$2:$M$9000,0))="EUR",КурсEUR,1))*(1+IFERROR(INDEX(Работы!$I$2:$I$6000,MATCH($C295,Работы!$A$2:$A$6000,0))/100,0))*(1-MEDIAN(0,N(ДисконтТендер),1)),0))</f>
        <v>0</v>
      </c>
      <c r="L295" s="6">
        <f t="shared" si="25"/>
        <v>0</v>
      </c>
      <c r="M295" s="6">
        <f t="shared" si="26"/>
        <v>0</v>
      </c>
      <c r="N295" s="6">
        <f t="shared" si="27"/>
        <v>0</v>
      </c>
      <c r="O295" t="str">
        <f>IF($N295&gt;0,MAX($O$1:$O294)+1,"")</f>
        <v/>
      </c>
      <c r="P295" t="str">
        <f>IF($C295="","",IFERROR(INDEX(Работы!$D$2:$D$6000,MATCH($C295,Работы!$A$2:$A$6000,0)),""))</f>
        <v/>
      </c>
      <c r="Q295" t="str">
        <f t="shared" si="28"/>
        <v/>
      </c>
      <c r="R295" t="str">
        <f t="shared" si="29"/>
        <v/>
      </c>
      <c r="S295" t="str">
        <f>IF($P295="","",$P295&amp;" · "&amp;IFERROR(INDEX(Работы!$E$2:$E$6000,MATCH($C295,Работы!$A$2:$A$6000,0)),""))</f>
        <v/>
      </c>
    </row>
    <row r="296" spans="1:19" x14ac:dyDescent="0.3">
      <c r="A296" s="4"/>
      <c r="B296" s="4"/>
      <c r="C296" t="str">
        <f t="shared" si="24"/>
        <v/>
      </c>
      <c r="D296" s="5" t="str">
        <f>IF($C296="","",IF(AND(LEFT($F296,3)="ДОК",$H296&lt;&gt;""),IFERROR(INDEX(Документация!$G$2:$G$57,MATCH($H296,Документация!$F$2:$F$57,0)),"— вариант не найден —"),IFERROR(INDEX(Работы!$B$2:$B$6000,MATCH($C296,Работы!$A$2:$A$6000,0)),"— нет такого кода —")))</f>
        <v/>
      </c>
      <c r="E296" t="str">
        <f>IF($C296="","",IF(AND(LEFT($F296,3)="ДОК",$H296&lt;&gt;""),IFERROR(INDEX(Документация!$D$2:$D$57,MATCH($H296,Документация!$F$2:$F$57,0)),""),IFERROR(INDEX(Работы!$C$2:$C$6000,MATCH($C296,Работы!$A$2:$A$6000,0)),"")))</f>
        <v/>
      </c>
      <c r="F296" t="str">
        <f>IF($C296="","",IFERROR(INDEX(Работы!$G$2:$G$6000,MATCH($C296,Работы!$A$2:$A$6000,0))&amp;"",""))</f>
        <v/>
      </c>
      <c r="G296" s="4"/>
      <c r="H296" s="4"/>
      <c r="I296" s="5" t="str">
        <f>IF((LEFT($F296,3)="ДОК"),"",IF($H296="","",IFERROR(INDEX(Материалы!$B$2:$B$9000,MATCH($H296,Материалы!$M$2:$M$9000,0)),"")))</f>
        <v/>
      </c>
      <c r="J296" s="6">
        <f>IF(AND(LEFT($F296,3)="ДОК",$H296&lt;&gt;""),IFERROR(INDEX(Документация!$E$2:$E$57,MATCH($H296,Документация!$F$2:$F$57,0)),0),IFERROR(INDEX(Работы!$H$2:$H$6000,MATCH($C296,Работы!$A$2:$A$6000,0)),0))*(1-MEDIAN(0,N(ДисконтТендер),1))</f>
        <v>0</v>
      </c>
      <c r="K296" s="6">
        <f>IF(OR((LEFT($F296,3)="ДОК"),$H296=""),0,IFERROR(INDEX(Материалы!$H$2:$H$9000,MATCH($H296,Материалы!$M$2:$M$9000,0))*IF(INDEX(Материалы!$I$2:$I$9000,MATCH($H296,Материалы!$M$2:$M$9000,0))="USD",КурсUSD,IF(INDEX(Материалы!$I$2:$I$9000,MATCH($H296,Материалы!$M$2:$M$9000,0))="EUR",КурсEUR,1))*(1+IFERROR(INDEX(Работы!$I$2:$I$6000,MATCH($C296,Работы!$A$2:$A$6000,0))/100,0))*(1-MEDIAN(0,N(ДисконтТендер),1)),0))</f>
        <v>0</v>
      </c>
      <c r="L296" s="6">
        <f t="shared" si="25"/>
        <v>0</v>
      </c>
      <c r="M296" s="6">
        <f t="shared" si="26"/>
        <v>0</v>
      </c>
      <c r="N296" s="6">
        <f t="shared" si="27"/>
        <v>0</v>
      </c>
      <c r="O296" t="str">
        <f>IF($N296&gt;0,MAX($O$1:$O295)+1,"")</f>
        <v/>
      </c>
      <c r="P296" t="str">
        <f>IF($C296="","",IFERROR(INDEX(Работы!$D$2:$D$6000,MATCH($C296,Работы!$A$2:$A$6000,0)),""))</f>
        <v/>
      </c>
      <c r="Q296" t="str">
        <f t="shared" si="28"/>
        <v/>
      </c>
      <c r="R296" t="str">
        <f t="shared" si="29"/>
        <v/>
      </c>
      <c r="S296" t="str">
        <f>IF($P296="","",$P296&amp;" · "&amp;IFERROR(INDEX(Работы!$E$2:$E$6000,MATCH($C296,Работы!$A$2:$A$6000,0)),""))</f>
        <v/>
      </c>
    </row>
    <row r="297" spans="1:19" x14ac:dyDescent="0.3">
      <c r="A297" s="4"/>
      <c r="B297" s="4"/>
      <c r="C297" t="str">
        <f t="shared" si="24"/>
        <v/>
      </c>
      <c r="D297" s="5" t="str">
        <f>IF($C297="","",IF(AND(LEFT($F297,3)="ДОК",$H297&lt;&gt;""),IFERROR(INDEX(Документация!$G$2:$G$57,MATCH($H297,Документация!$F$2:$F$57,0)),"— вариант не найден —"),IFERROR(INDEX(Работы!$B$2:$B$6000,MATCH($C297,Работы!$A$2:$A$6000,0)),"— нет такого кода —")))</f>
        <v/>
      </c>
      <c r="E297" t="str">
        <f>IF($C297="","",IF(AND(LEFT($F297,3)="ДОК",$H297&lt;&gt;""),IFERROR(INDEX(Документация!$D$2:$D$57,MATCH($H297,Документация!$F$2:$F$57,0)),""),IFERROR(INDEX(Работы!$C$2:$C$6000,MATCH($C297,Работы!$A$2:$A$6000,0)),"")))</f>
        <v/>
      </c>
      <c r="F297" t="str">
        <f>IF($C297="","",IFERROR(INDEX(Работы!$G$2:$G$6000,MATCH($C297,Работы!$A$2:$A$6000,0))&amp;"",""))</f>
        <v/>
      </c>
      <c r="G297" s="4"/>
      <c r="H297" s="4"/>
      <c r="I297" s="5" t="str">
        <f>IF((LEFT($F297,3)="ДОК"),"",IF($H297="","",IFERROR(INDEX(Материалы!$B$2:$B$9000,MATCH($H297,Материалы!$M$2:$M$9000,0)),"")))</f>
        <v/>
      </c>
      <c r="J297" s="6">
        <f>IF(AND(LEFT($F297,3)="ДОК",$H297&lt;&gt;""),IFERROR(INDEX(Документация!$E$2:$E$57,MATCH($H297,Документация!$F$2:$F$57,0)),0),IFERROR(INDEX(Работы!$H$2:$H$6000,MATCH($C297,Работы!$A$2:$A$6000,0)),0))*(1-MEDIAN(0,N(ДисконтТендер),1))</f>
        <v>0</v>
      </c>
      <c r="K297" s="6">
        <f>IF(OR((LEFT($F297,3)="ДОК"),$H297=""),0,IFERROR(INDEX(Материалы!$H$2:$H$9000,MATCH($H297,Материалы!$M$2:$M$9000,0))*IF(INDEX(Материалы!$I$2:$I$9000,MATCH($H297,Материалы!$M$2:$M$9000,0))="USD",КурсUSD,IF(INDEX(Материалы!$I$2:$I$9000,MATCH($H297,Материалы!$M$2:$M$9000,0))="EUR",КурсEUR,1))*(1+IFERROR(INDEX(Работы!$I$2:$I$6000,MATCH($C297,Работы!$A$2:$A$6000,0))/100,0))*(1-MEDIAN(0,N(ДисконтТендер),1)),0))</f>
        <v>0</v>
      </c>
      <c r="L297" s="6">
        <f t="shared" si="25"/>
        <v>0</v>
      </c>
      <c r="M297" s="6">
        <f t="shared" si="26"/>
        <v>0</v>
      </c>
      <c r="N297" s="6">
        <f t="shared" si="27"/>
        <v>0</v>
      </c>
      <c r="O297" t="str">
        <f>IF($N297&gt;0,MAX($O$1:$O296)+1,"")</f>
        <v/>
      </c>
      <c r="P297" t="str">
        <f>IF($C297="","",IFERROR(INDEX(Работы!$D$2:$D$6000,MATCH($C297,Работы!$A$2:$A$6000,0)),""))</f>
        <v/>
      </c>
      <c r="Q297" t="str">
        <f t="shared" si="28"/>
        <v/>
      </c>
      <c r="R297" t="str">
        <f t="shared" si="29"/>
        <v/>
      </c>
      <c r="S297" t="str">
        <f>IF($P297="","",$P297&amp;" · "&amp;IFERROR(INDEX(Работы!$E$2:$E$6000,MATCH($C297,Работы!$A$2:$A$6000,0)),""))</f>
        <v/>
      </c>
    </row>
    <row r="298" spans="1:19" x14ac:dyDescent="0.3">
      <c r="A298" s="4"/>
      <c r="B298" s="4"/>
      <c r="C298" t="str">
        <f t="shared" si="24"/>
        <v/>
      </c>
      <c r="D298" s="5" t="str">
        <f>IF($C298="","",IF(AND(LEFT($F298,3)="ДОК",$H298&lt;&gt;""),IFERROR(INDEX(Документация!$G$2:$G$57,MATCH($H298,Документация!$F$2:$F$57,0)),"— вариант не найден —"),IFERROR(INDEX(Работы!$B$2:$B$6000,MATCH($C298,Работы!$A$2:$A$6000,0)),"— нет такого кода —")))</f>
        <v/>
      </c>
      <c r="E298" t="str">
        <f>IF($C298="","",IF(AND(LEFT($F298,3)="ДОК",$H298&lt;&gt;""),IFERROR(INDEX(Документация!$D$2:$D$57,MATCH($H298,Документация!$F$2:$F$57,0)),""),IFERROR(INDEX(Работы!$C$2:$C$6000,MATCH($C298,Работы!$A$2:$A$6000,0)),"")))</f>
        <v/>
      </c>
      <c r="F298" t="str">
        <f>IF($C298="","",IFERROR(INDEX(Работы!$G$2:$G$6000,MATCH($C298,Работы!$A$2:$A$6000,0))&amp;"",""))</f>
        <v/>
      </c>
      <c r="G298" s="4"/>
      <c r="H298" s="4"/>
      <c r="I298" s="5" t="str">
        <f>IF((LEFT($F298,3)="ДОК"),"",IF($H298="","",IFERROR(INDEX(Материалы!$B$2:$B$9000,MATCH($H298,Материалы!$M$2:$M$9000,0)),"")))</f>
        <v/>
      </c>
      <c r="J298" s="6">
        <f>IF(AND(LEFT($F298,3)="ДОК",$H298&lt;&gt;""),IFERROR(INDEX(Документация!$E$2:$E$57,MATCH($H298,Документация!$F$2:$F$57,0)),0),IFERROR(INDEX(Работы!$H$2:$H$6000,MATCH($C298,Работы!$A$2:$A$6000,0)),0))*(1-MEDIAN(0,N(ДисконтТендер),1))</f>
        <v>0</v>
      </c>
      <c r="K298" s="6">
        <f>IF(OR((LEFT($F298,3)="ДОК"),$H298=""),0,IFERROR(INDEX(Материалы!$H$2:$H$9000,MATCH($H298,Материалы!$M$2:$M$9000,0))*IF(INDEX(Материалы!$I$2:$I$9000,MATCH($H298,Материалы!$M$2:$M$9000,0))="USD",КурсUSD,IF(INDEX(Материалы!$I$2:$I$9000,MATCH($H298,Материалы!$M$2:$M$9000,0))="EUR",КурсEUR,1))*(1+IFERROR(INDEX(Работы!$I$2:$I$6000,MATCH($C298,Работы!$A$2:$A$6000,0))/100,0))*(1-MEDIAN(0,N(ДисконтТендер),1)),0))</f>
        <v>0</v>
      </c>
      <c r="L298" s="6">
        <f t="shared" si="25"/>
        <v>0</v>
      </c>
      <c r="M298" s="6">
        <f t="shared" si="26"/>
        <v>0</v>
      </c>
      <c r="N298" s="6">
        <f t="shared" si="27"/>
        <v>0</v>
      </c>
      <c r="O298" t="str">
        <f>IF($N298&gt;0,MAX($O$1:$O297)+1,"")</f>
        <v/>
      </c>
      <c r="P298" t="str">
        <f>IF($C298="","",IFERROR(INDEX(Работы!$D$2:$D$6000,MATCH($C298,Работы!$A$2:$A$6000,0)),""))</f>
        <v/>
      </c>
      <c r="Q298" t="str">
        <f t="shared" si="28"/>
        <v/>
      </c>
      <c r="R298" t="str">
        <f t="shared" si="29"/>
        <v/>
      </c>
      <c r="S298" t="str">
        <f>IF($P298="","",$P298&amp;" · "&amp;IFERROR(INDEX(Работы!$E$2:$E$6000,MATCH($C298,Работы!$A$2:$A$6000,0)),""))</f>
        <v/>
      </c>
    </row>
    <row r="299" spans="1:19" x14ac:dyDescent="0.3">
      <c r="A299" s="4"/>
      <c r="B299" s="4"/>
      <c r="C299" t="str">
        <f t="shared" si="24"/>
        <v/>
      </c>
      <c r="D299" s="5" t="str">
        <f>IF($C299="","",IF(AND(LEFT($F299,3)="ДОК",$H299&lt;&gt;""),IFERROR(INDEX(Документация!$G$2:$G$57,MATCH($H299,Документация!$F$2:$F$57,0)),"— вариант не найден —"),IFERROR(INDEX(Работы!$B$2:$B$6000,MATCH($C299,Работы!$A$2:$A$6000,0)),"— нет такого кода —")))</f>
        <v/>
      </c>
      <c r="E299" t="str">
        <f>IF($C299="","",IF(AND(LEFT($F299,3)="ДОК",$H299&lt;&gt;""),IFERROR(INDEX(Документация!$D$2:$D$57,MATCH($H299,Документация!$F$2:$F$57,0)),""),IFERROR(INDEX(Работы!$C$2:$C$6000,MATCH($C299,Работы!$A$2:$A$6000,0)),"")))</f>
        <v/>
      </c>
      <c r="F299" t="str">
        <f>IF($C299="","",IFERROR(INDEX(Работы!$G$2:$G$6000,MATCH($C299,Работы!$A$2:$A$6000,0))&amp;"",""))</f>
        <v/>
      </c>
      <c r="G299" s="4"/>
      <c r="H299" s="4"/>
      <c r="I299" s="5" t="str">
        <f>IF((LEFT($F299,3)="ДОК"),"",IF($H299="","",IFERROR(INDEX(Материалы!$B$2:$B$9000,MATCH($H299,Материалы!$M$2:$M$9000,0)),"")))</f>
        <v/>
      </c>
      <c r="J299" s="6">
        <f>IF(AND(LEFT($F299,3)="ДОК",$H299&lt;&gt;""),IFERROR(INDEX(Документация!$E$2:$E$57,MATCH($H299,Документация!$F$2:$F$57,0)),0),IFERROR(INDEX(Работы!$H$2:$H$6000,MATCH($C299,Работы!$A$2:$A$6000,0)),0))*(1-MEDIAN(0,N(ДисконтТендер),1))</f>
        <v>0</v>
      </c>
      <c r="K299" s="6">
        <f>IF(OR((LEFT($F299,3)="ДОК"),$H299=""),0,IFERROR(INDEX(Материалы!$H$2:$H$9000,MATCH($H299,Материалы!$M$2:$M$9000,0))*IF(INDEX(Материалы!$I$2:$I$9000,MATCH($H299,Материалы!$M$2:$M$9000,0))="USD",КурсUSD,IF(INDEX(Материалы!$I$2:$I$9000,MATCH($H299,Материалы!$M$2:$M$9000,0))="EUR",КурсEUR,1))*(1+IFERROR(INDEX(Работы!$I$2:$I$6000,MATCH($C299,Работы!$A$2:$A$6000,0))/100,0))*(1-MEDIAN(0,N(ДисконтТендер),1)),0))</f>
        <v>0</v>
      </c>
      <c r="L299" s="6">
        <f t="shared" si="25"/>
        <v>0</v>
      </c>
      <c r="M299" s="6">
        <f t="shared" si="26"/>
        <v>0</v>
      </c>
      <c r="N299" s="6">
        <f t="shared" si="27"/>
        <v>0</v>
      </c>
      <c r="O299" t="str">
        <f>IF($N299&gt;0,MAX($O$1:$O298)+1,"")</f>
        <v/>
      </c>
      <c r="P299" t="str">
        <f>IF($C299="","",IFERROR(INDEX(Работы!$D$2:$D$6000,MATCH($C299,Работы!$A$2:$A$6000,0)),""))</f>
        <v/>
      </c>
      <c r="Q299" t="str">
        <f t="shared" si="28"/>
        <v/>
      </c>
      <c r="R299" t="str">
        <f t="shared" si="29"/>
        <v/>
      </c>
      <c r="S299" t="str">
        <f>IF($P299="","",$P299&amp;" · "&amp;IFERROR(INDEX(Работы!$E$2:$E$6000,MATCH($C299,Работы!$A$2:$A$6000,0)),""))</f>
        <v/>
      </c>
    </row>
    <row r="300" spans="1:19" x14ac:dyDescent="0.3">
      <c r="A300" s="4"/>
      <c r="B300" s="4"/>
      <c r="C300" t="str">
        <f t="shared" si="24"/>
        <v/>
      </c>
      <c r="D300" s="5" t="str">
        <f>IF($C300="","",IF(AND(LEFT($F300,3)="ДОК",$H300&lt;&gt;""),IFERROR(INDEX(Документация!$G$2:$G$57,MATCH($H300,Документация!$F$2:$F$57,0)),"— вариант не найден —"),IFERROR(INDEX(Работы!$B$2:$B$6000,MATCH($C300,Работы!$A$2:$A$6000,0)),"— нет такого кода —")))</f>
        <v/>
      </c>
      <c r="E300" t="str">
        <f>IF($C300="","",IF(AND(LEFT($F300,3)="ДОК",$H300&lt;&gt;""),IFERROR(INDEX(Документация!$D$2:$D$57,MATCH($H300,Документация!$F$2:$F$57,0)),""),IFERROR(INDEX(Работы!$C$2:$C$6000,MATCH($C300,Работы!$A$2:$A$6000,0)),"")))</f>
        <v/>
      </c>
      <c r="F300" t="str">
        <f>IF($C300="","",IFERROR(INDEX(Работы!$G$2:$G$6000,MATCH($C300,Работы!$A$2:$A$6000,0))&amp;"",""))</f>
        <v/>
      </c>
      <c r="G300" s="4"/>
      <c r="H300" s="4"/>
      <c r="I300" s="5" t="str">
        <f>IF((LEFT($F300,3)="ДОК"),"",IF($H300="","",IFERROR(INDEX(Материалы!$B$2:$B$9000,MATCH($H300,Материалы!$M$2:$M$9000,0)),"")))</f>
        <v/>
      </c>
      <c r="J300" s="6">
        <f>IF(AND(LEFT($F300,3)="ДОК",$H300&lt;&gt;""),IFERROR(INDEX(Документация!$E$2:$E$57,MATCH($H300,Документация!$F$2:$F$57,0)),0),IFERROR(INDEX(Работы!$H$2:$H$6000,MATCH($C300,Работы!$A$2:$A$6000,0)),0))*(1-MEDIAN(0,N(ДисконтТендер),1))</f>
        <v>0</v>
      </c>
      <c r="K300" s="6">
        <f>IF(OR((LEFT($F300,3)="ДОК"),$H300=""),0,IFERROR(INDEX(Материалы!$H$2:$H$9000,MATCH($H300,Материалы!$M$2:$M$9000,0))*IF(INDEX(Материалы!$I$2:$I$9000,MATCH($H300,Материалы!$M$2:$M$9000,0))="USD",КурсUSD,IF(INDEX(Материалы!$I$2:$I$9000,MATCH($H300,Материалы!$M$2:$M$9000,0))="EUR",КурсEUR,1))*(1+IFERROR(INDEX(Работы!$I$2:$I$6000,MATCH($C300,Работы!$A$2:$A$6000,0))/100,0))*(1-MEDIAN(0,N(ДисконтТендер),1)),0))</f>
        <v>0</v>
      </c>
      <c r="L300" s="6">
        <f t="shared" si="25"/>
        <v>0</v>
      </c>
      <c r="M300" s="6">
        <f t="shared" si="26"/>
        <v>0</v>
      </c>
      <c r="N300" s="6">
        <f t="shared" si="27"/>
        <v>0</v>
      </c>
      <c r="O300" t="str">
        <f>IF($N300&gt;0,MAX($O$1:$O299)+1,"")</f>
        <v/>
      </c>
      <c r="P300" t="str">
        <f>IF($C300="","",IFERROR(INDEX(Работы!$D$2:$D$6000,MATCH($C300,Работы!$A$2:$A$6000,0)),""))</f>
        <v/>
      </c>
      <c r="Q300" t="str">
        <f t="shared" si="28"/>
        <v/>
      </c>
      <c r="R300" t="str">
        <f t="shared" si="29"/>
        <v/>
      </c>
      <c r="S300" t="str">
        <f>IF($P300="","",$P300&amp;" · "&amp;IFERROR(INDEX(Работы!$E$2:$E$6000,MATCH($C300,Работы!$A$2:$A$6000,0)),""))</f>
        <v/>
      </c>
    </row>
    <row r="301" spans="1:19" x14ac:dyDescent="0.3">
      <c r="A301" s="4"/>
      <c r="B301" s="4"/>
      <c r="C301" t="str">
        <f t="shared" si="24"/>
        <v/>
      </c>
      <c r="D301" s="5" t="str">
        <f>IF($C301="","",IF(AND(LEFT($F301,3)="ДОК",$H301&lt;&gt;""),IFERROR(INDEX(Документация!$G$2:$G$57,MATCH($H301,Документация!$F$2:$F$57,0)),"— вариант не найден —"),IFERROR(INDEX(Работы!$B$2:$B$6000,MATCH($C301,Работы!$A$2:$A$6000,0)),"— нет такого кода —")))</f>
        <v/>
      </c>
      <c r="E301" t="str">
        <f>IF($C301="","",IF(AND(LEFT($F301,3)="ДОК",$H301&lt;&gt;""),IFERROR(INDEX(Документация!$D$2:$D$57,MATCH($H301,Документация!$F$2:$F$57,0)),""),IFERROR(INDEX(Работы!$C$2:$C$6000,MATCH($C301,Работы!$A$2:$A$6000,0)),"")))</f>
        <v/>
      </c>
      <c r="F301" t="str">
        <f>IF($C301="","",IFERROR(INDEX(Работы!$G$2:$G$6000,MATCH($C301,Работы!$A$2:$A$6000,0))&amp;"",""))</f>
        <v/>
      </c>
      <c r="G301" s="4"/>
      <c r="H301" s="4"/>
      <c r="I301" s="5" t="str">
        <f>IF((LEFT($F301,3)="ДОК"),"",IF($H301="","",IFERROR(INDEX(Материалы!$B$2:$B$9000,MATCH($H301,Материалы!$M$2:$M$9000,0)),"")))</f>
        <v/>
      </c>
      <c r="J301" s="6">
        <f>IF(AND(LEFT($F301,3)="ДОК",$H301&lt;&gt;""),IFERROR(INDEX(Документация!$E$2:$E$57,MATCH($H301,Документация!$F$2:$F$57,0)),0),IFERROR(INDEX(Работы!$H$2:$H$6000,MATCH($C301,Работы!$A$2:$A$6000,0)),0))*(1-MEDIAN(0,N(ДисконтТендер),1))</f>
        <v>0</v>
      </c>
      <c r="K301" s="6">
        <f>IF(OR((LEFT($F301,3)="ДОК"),$H301=""),0,IFERROR(INDEX(Материалы!$H$2:$H$9000,MATCH($H301,Материалы!$M$2:$M$9000,0))*IF(INDEX(Материалы!$I$2:$I$9000,MATCH($H301,Материалы!$M$2:$M$9000,0))="USD",КурсUSD,IF(INDEX(Материалы!$I$2:$I$9000,MATCH($H301,Материалы!$M$2:$M$9000,0))="EUR",КурсEUR,1))*(1+IFERROR(INDEX(Работы!$I$2:$I$6000,MATCH($C301,Работы!$A$2:$A$6000,0))/100,0))*(1-MEDIAN(0,N(ДисконтТендер),1)),0))</f>
        <v>0</v>
      </c>
      <c r="L301" s="6">
        <f t="shared" si="25"/>
        <v>0</v>
      </c>
      <c r="M301" s="6">
        <f t="shared" si="26"/>
        <v>0</v>
      </c>
      <c r="N301" s="6">
        <f t="shared" si="27"/>
        <v>0</v>
      </c>
      <c r="O301" t="str">
        <f>IF($N301&gt;0,MAX($O$1:$O300)+1,"")</f>
        <v/>
      </c>
      <c r="P301" t="str">
        <f>IF($C301="","",IFERROR(INDEX(Работы!$D$2:$D$6000,MATCH($C301,Работы!$A$2:$A$6000,0)),""))</f>
        <v/>
      </c>
      <c r="Q301" t="str">
        <f t="shared" si="28"/>
        <v/>
      </c>
      <c r="R301" t="str">
        <f t="shared" si="29"/>
        <v/>
      </c>
      <c r="S301" t="str">
        <f>IF($P301="","",$P301&amp;" · "&amp;IFERROR(INDEX(Работы!$E$2:$E$6000,MATCH($C301,Работы!$A$2:$A$6000,0)),""))</f>
        <v/>
      </c>
    </row>
    <row r="302" spans="1:19" x14ac:dyDescent="0.3">
      <c r="A302" s="4"/>
      <c r="B302" s="4"/>
      <c r="C302" t="str">
        <f t="shared" si="24"/>
        <v/>
      </c>
      <c r="D302" s="5" t="str">
        <f>IF($C302="","",IF(AND(LEFT($F302,3)="ДОК",$H302&lt;&gt;""),IFERROR(INDEX(Документация!$G$2:$G$57,MATCH($H302,Документация!$F$2:$F$57,0)),"— вариант не найден —"),IFERROR(INDEX(Работы!$B$2:$B$6000,MATCH($C302,Работы!$A$2:$A$6000,0)),"— нет такого кода —")))</f>
        <v/>
      </c>
      <c r="E302" t="str">
        <f>IF($C302="","",IF(AND(LEFT($F302,3)="ДОК",$H302&lt;&gt;""),IFERROR(INDEX(Документация!$D$2:$D$57,MATCH($H302,Документация!$F$2:$F$57,0)),""),IFERROR(INDEX(Работы!$C$2:$C$6000,MATCH($C302,Работы!$A$2:$A$6000,0)),"")))</f>
        <v/>
      </c>
      <c r="F302" t="str">
        <f>IF($C302="","",IFERROR(INDEX(Работы!$G$2:$G$6000,MATCH($C302,Работы!$A$2:$A$6000,0))&amp;"",""))</f>
        <v/>
      </c>
      <c r="G302" s="4"/>
      <c r="H302" s="4"/>
      <c r="I302" s="5" t="str">
        <f>IF((LEFT($F302,3)="ДОК"),"",IF($H302="","",IFERROR(INDEX(Материалы!$B$2:$B$9000,MATCH($H302,Материалы!$M$2:$M$9000,0)),"")))</f>
        <v/>
      </c>
      <c r="J302" s="6">
        <f>IF(AND(LEFT($F302,3)="ДОК",$H302&lt;&gt;""),IFERROR(INDEX(Документация!$E$2:$E$57,MATCH($H302,Документация!$F$2:$F$57,0)),0),IFERROR(INDEX(Работы!$H$2:$H$6000,MATCH($C302,Работы!$A$2:$A$6000,0)),0))*(1-MEDIAN(0,N(ДисконтТендер),1))</f>
        <v>0</v>
      </c>
      <c r="K302" s="6">
        <f>IF(OR((LEFT($F302,3)="ДОК"),$H302=""),0,IFERROR(INDEX(Материалы!$H$2:$H$9000,MATCH($H302,Материалы!$M$2:$M$9000,0))*IF(INDEX(Материалы!$I$2:$I$9000,MATCH($H302,Материалы!$M$2:$M$9000,0))="USD",КурсUSD,IF(INDEX(Материалы!$I$2:$I$9000,MATCH($H302,Материалы!$M$2:$M$9000,0))="EUR",КурсEUR,1))*(1+IFERROR(INDEX(Работы!$I$2:$I$6000,MATCH($C302,Работы!$A$2:$A$6000,0))/100,0))*(1-MEDIAN(0,N(ДисконтТендер),1)),0))</f>
        <v>0</v>
      </c>
      <c r="L302" s="6">
        <f t="shared" si="25"/>
        <v>0</v>
      </c>
      <c r="M302" s="6">
        <f t="shared" si="26"/>
        <v>0</v>
      </c>
      <c r="N302" s="6">
        <f t="shared" si="27"/>
        <v>0</v>
      </c>
      <c r="O302" t="str">
        <f>IF($N302&gt;0,MAX($O$1:$O301)+1,"")</f>
        <v/>
      </c>
      <c r="P302" t="str">
        <f>IF($C302="","",IFERROR(INDEX(Работы!$D$2:$D$6000,MATCH($C302,Работы!$A$2:$A$6000,0)),""))</f>
        <v/>
      </c>
      <c r="Q302" t="str">
        <f t="shared" si="28"/>
        <v/>
      </c>
      <c r="R302" t="str">
        <f t="shared" si="29"/>
        <v/>
      </c>
      <c r="S302" t="str">
        <f>IF($P302="","",$P302&amp;" · "&amp;IFERROR(INDEX(Работы!$E$2:$E$6000,MATCH($C302,Работы!$A$2:$A$6000,0)),""))</f>
        <v/>
      </c>
    </row>
    <row r="303" spans="1:19" x14ac:dyDescent="0.3">
      <c r="A303" s="4"/>
      <c r="B303" s="4"/>
      <c r="C303" t="str">
        <f t="shared" si="24"/>
        <v/>
      </c>
      <c r="D303" s="5" t="str">
        <f>IF($C303="","",IF(AND(LEFT($F303,3)="ДОК",$H303&lt;&gt;""),IFERROR(INDEX(Документация!$G$2:$G$57,MATCH($H303,Документация!$F$2:$F$57,0)),"— вариант не найден —"),IFERROR(INDEX(Работы!$B$2:$B$6000,MATCH($C303,Работы!$A$2:$A$6000,0)),"— нет такого кода —")))</f>
        <v/>
      </c>
      <c r="E303" t="str">
        <f>IF($C303="","",IF(AND(LEFT($F303,3)="ДОК",$H303&lt;&gt;""),IFERROR(INDEX(Документация!$D$2:$D$57,MATCH($H303,Документация!$F$2:$F$57,0)),""),IFERROR(INDEX(Работы!$C$2:$C$6000,MATCH($C303,Работы!$A$2:$A$6000,0)),"")))</f>
        <v/>
      </c>
      <c r="F303" t="str">
        <f>IF($C303="","",IFERROR(INDEX(Работы!$G$2:$G$6000,MATCH($C303,Работы!$A$2:$A$6000,0))&amp;"",""))</f>
        <v/>
      </c>
      <c r="G303" s="4"/>
      <c r="H303" s="4"/>
      <c r="I303" s="5" t="str">
        <f>IF((LEFT($F303,3)="ДОК"),"",IF($H303="","",IFERROR(INDEX(Материалы!$B$2:$B$9000,MATCH($H303,Материалы!$M$2:$M$9000,0)),"")))</f>
        <v/>
      </c>
      <c r="J303" s="6">
        <f>IF(AND(LEFT($F303,3)="ДОК",$H303&lt;&gt;""),IFERROR(INDEX(Документация!$E$2:$E$57,MATCH($H303,Документация!$F$2:$F$57,0)),0),IFERROR(INDEX(Работы!$H$2:$H$6000,MATCH($C303,Работы!$A$2:$A$6000,0)),0))*(1-MEDIAN(0,N(ДисконтТендер),1))</f>
        <v>0</v>
      </c>
      <c r="K303" s="6">
        <f>IF(OR((LEFT($F303,3)="ДОК"),$H303=""),0,IFERROR(INDEX(Материалы!$H$2:$H$9000,MATCH($H303,Материалы!$M$2:$M$9000,0))*IF(INDEX(Материалы!$I$2:$I$9000,MATCH($H303,Материалы!$M$2:$M$9000,0))="USD",КурсUSD,IF(INDEX(Материалы!$I$2:$I$9000,MATCH($H303,Материалы!$M$2:$M$9000,0))="EUR",КурсEUR,1))*(1+IFERROR(INDEX(Работы!$I$2:$I$6000,MATCH($C303,Работы!$A$2:$A$6000,0))/100,0))*(1-MEDIAN(0,N(ДисконтТендер),1)),0))</f>
        <v>0</v>
      </c>
      <c r="L303" s="6">
        <f t="shared" si="25"/>
        <v>0</v>
      </c>
      <c r="M303" s="6">
        <f t="shared" si="26"/>
        <v>0</v>
      </c>
      <c r="N303" s="6">
        <f t="shared" si="27"/>
        <v>0</v>
      </c>
      <c r="O303" t="str">
        <f>IF($N303&gt;0,MAX($O$1:$O302)+1,"")</f>
        <v/>
      </c>
      <c r="P303" t="str">
        <f>IF($C303="","",IFERROR(INDEX(Работы!$D$2:$D$6000,MATCH($C303,Работы!$A$2:$A$6000,0)),""))</f>
        <v/>
      </c>
      <c r="Q303" t="str">
        <f t="shared" si="28"/>
        <v/>
      </c>
      <c r="R303" t="str">
        <f t="shared" si="29"/>
        <v/>
      </c>
      <c r="S303" t="str">
        <f>IF($P303="","",$P303&amp;" · "&amp;IFERROR(INDEX(Работы!$E$2:$E$6000,MATCH($C303,Работы!$A$2:$A$6000,0)),""))</f>
        <v/>
      </c>
    </row>
    <row r="304" spans="1:19" x14ac:dyDescent="0.3">
      <c r="A304" s="4"/>
      <c r="B304" s="4"/>
      <c r="C304" t="str">
        <f t="shared" si="24"/>
        <v/>
      </c>
      <c r="D304" s="5" t="str">
        <f>IF($C304="","",IF(AND(LEFT($F304,3)="ДОК",$H304&lt;&gt;""),IFERROR(INDEX(Документация!$G$2:$G$57,MATCH($H304,Документация!$F$2:$F$57,0)),"— вариант не найден —"),IFERROR(INDEX(Работы!$B$2:$B$6000,MATCH($C304,Работы!$A$2:$A$6000,0)),"— нет такого кода —")))</f>
        <v/>
      </c>
      <c r="E304" t="str">
        <f>IF($C304="","",IF(AND(LEFT($F304,3)="ДОК",$H304&lt;&gt;""),IFERROR(INDEX(Документация!$D$2:$D$57,MATCH($H304,Документация!$F$2:$F$57,0)),""),IFERROR(INDEX(Работы!$C$2:$C$6000,MATCH($C304,Работы!$A$2:$A$6000,0)),"")))</f>
        <v/>
      </c>
      <c r="F304" t="str">
        <f>IF($C304="","",IFERROR(INDEX(Работы!$G$2:$G$6000,MATCH($C304,Работы!$A$2:$A$6000,0))&amp;"",""))</f>
        <v/>
      </c>
      <c r="G304" s="4"/>
      <c r="H304" s="4"/>
      <c r="I304" s="5" t="str">
        <f>IF((LEFT($F304,3)="ДОК"),"",IF($H304="","",IFERROR(INDEX(Материалы!$B$2:$B$9000,MATCH($H304,Материалы!$M$2:$M$9000,0)),"")))</f>
        <v/>
      </c>
      <c r="J304" s="6">
        <f>IF(AND(LEFT($F304,3)="ДОК",$H304&lt;&gt;""),IFERROR(INDEX(Документация!$E$2:$E$57,MATCH($H304,Документация!$F$2:$F$57,0)),0),IFERROR(INDEX(Работы!$H$2:$H$6000,MATCH($C304,Работы!$A$2:$A$6000,0)),0))*(1-MEDIAN(0,N(ДисконтТендер),1))</f>
        <v>0</v>
      </c>
      <c r="K304" s="6">
        <f>IF(OR((LEFT($F304,3)="ДОК"),$H304=""),0,IFERROR(INDEX(Материалы!$H$2:$H$9000,MATCH($H304,Материалы!$M$2:$M$9000,0))*IF(INDEX(Материалы!$I$2:$I$9000,MATCH($H304,Материалы!$M$2:$M$9000,0))="USD",КурсUSD,IF(INDEX(Материалы!$I$2:$I$9000,MATCH($H304,Материалы!$M$2:$M$9000,0))="EUR",КурсEUR,1))*(1+IFERROR(INDEX(Работы!$I$2:$I$6000,MATCH($C304,Работы!$A$2:$A$6000,0))/100,0))*(1-MEDIAN(0,N(ДисконтТендер),1)),0))</f>
        <v>0</v>
      </c>
      <c r="L304" s="6">
        <f t="shared" si="25"/>
        <v>0</v>
      </c>
      <c r="M304" s="6">
        <f t="shared" si="26"/>
        <v>0</v>
      </c>
      <c r="N304" s="6">
        <f t="shared" si="27"/>
        <v>0</v>
      </c>
      <c r="O304" t="str">
        <f>IF($N304&gt;0,MAX($O$1:$O303)+1,"")</f>
        <v/>
      </c>
      <c r="P304" t="str">
        <f>IF($C304="","",IFERROR(INDEX(Работы!$D$2:$D$6000,MATCH($C304,Работы!$A$2:$A$6000,0)),""))</f>
        <v/>
      </c>
      <c r="Q304" t="str">
        <f t="shared" si="28"/>
        <v/>
      </c>
      <c r="R304" t="str">
        <f t="shared" si="29"/>
        <v/>
      </c>
      <c r="S304" t="str">
        <f>IF($P304="","",$P304&amp;" · "&amp;IFERROR(INDEX(Работы!$E$2:$E$6000,MATCH($C304,Работы!$A$2:$A$6000,0)),""))</f>
        <v/>
      </c>
    </row>
    <row r="305" spans="1:19" x14ac:dyDescent="0.3">
      <c r="A305" s="4"/>
      <c r="B305" s="4"/>
      <c r="C305" t="str">
        <f t="shared" si="24"/>
        <v/>
      </c>
      <c r="D305" s="5" t="str">
        <f>IF($C305="","",IF(AND(LEFT($F305,3)="ДОК",$H305&lt;&gt;""),IFERROR(INDEX(Документация!$G$2:$G$57,MATCH($H305,Документация!$F$2:$F$57,0)),"— вариант не найден —"),IFERROR(INDEX(Работы!$B$2:$B$6000,MATCH($C305,Работы!$A$2:$A$6000,0)),"— нет такого кода —")))</f>
        <v/>
      </c>
      <c r="E305" t="str">
        <f>IF($C305="","",IF(AND(LEFT($F305,3)="ДОК",$H305&lt;&gt;""),IFERROR(INDEX(Документация!$D$2:$D$57,MATCH($H305,Документация!$F$2:$F$57,0)),""),IFERROR(INDEX(Работы!$C$2:$C$6000,MATCH($C305,Работы!$A$2:$A$6000,0)),"")))</f>
        <v/>
      </c>
      <c r="F305" t="str">
        <f>IF($C305="","",IFERROR(INDEX(Работы!$G$2:$G$6000,MATCH($C305,Работы!$A$2:$A$6000,0))&amp;"",""))</f>
        <v/>
      </c>
      <c r="G305" s="4"/>
      <c r="H305" s="4"/>
      <c r="I305" s="5" t="str">
        <f>IF((LEFT($F305,3)="ДОК"),"",IF($H305="","",IFERROR(INDEX(Материалы!$B$2:$B$9000,MATCH($H305,Материалы!$M$2:$M$9000,0)),"")))</f>
        <v/>
      </c>
      <c r="J305" s="6">
        <f>IF(AND(LEFT($F305,3)="ДОК",$H305&lt;&gt;""),IFERROR(INDEX(Документация!$E$2:$E$57,MATCH($H305,Документация!$F$2:$F$57,0)),0),IFERROR(INDEX(Работы!$H$2:$H$6000,MATCH($C305,Работы!$A$2:$A$6000,0)),0))*(1-MEDIAN(0,N(ДисконтТендер),1))</f>
        <v>0</v>
      </c>
      <c r="K305" s="6">
        <f>IF(OR((LEFT($F305,3)="ДОК"),$H305=""),0,IFERROR(INDEX(Материалы!$H$2:$H$9000,MATCH($H305,Материалы!$M$2:$M$9000,0))*IF(INDEX(Материалы!$I$2:$I$9000,MATCH($H305,Материалы!$M$2:$M$9000,0))="USD",КурсUSD,IF(INDEX(Материалы!$I$2:$I$9000,MATCH($H305,Материалы!$M$2:$M$9000,0))="EUR",КурсEUR,1))*(1+IFERROR(INDEX(Работы!$I$2:$I$6000,MATCH($C305,Работы!$A$2:$A$6000,0))/100,0))*(1-MEDIAN(0,N(ДисконтТендер),1)),0))</f>
        <v>0</v>
      </c>
      <c r="L305" s="6">
        <f t="shared" si="25"/>
        <v>0</v>
      </c>
      <c r="M305" s="6">
        <f t="shared" si="26"/>
        <v>0</v>
      </c>
      <c r="N305" s="6">
        <f t="shared" si="27"/>
        <v>0</v>
      </c>
      <c r="O305" t="str">
        <f>IF($N305&gt;0,MAX($O$1:$O304)+1,"")</f>
        <v/>
      </c>
      <c r="P305" t="str">
        <f>IF($C305="","",IFERROR(INDEX(Работы!$D$2:$D$6000,MATCH($C305,Работы!$A$2:$A$6000,0)),""))</f>
        <v/>
      </c>
      <c r="Q305" t="str">
        <f t="shared" si="28"/>
        <v/>
      </c>
      <c r="R305" t="str">
        <f t="shared" si="29"/>
        <v/>
      </c>
      <c r="S305" t="str">
        <f>IF($P305="","",$P305&amp;" · "&amp;IFERROR(INDEX(Работы!$E$2:$E$6000,MATCH($C305,Работы!$A$2:$A$6000,0)),""))</f>
        <v/>
      </c>
    </row>
    <row r="306" spans="1:19" x14ac:dyDescent="0.3">
      <c r="A306" s="4"/>
      <c r="B306" s="4"/>
      <c r="C306" t="str">
        <f t="shared" si="24"/>
        <v/>
      </c>
      <c r="D306" s="5" t="str">
        <f>IF($C306="","",IF(AND(LEFT($F306,3)="ДОК",$H306&lt;&gt;""),IFERROR(INDEX(Документация!$G$2:$G$57,MATCH($H306,Документация!$F$2:$F$57,0)),"— вариант не найден —"),IFERROR(INDEX(Работы!$B$2:$B$6000,MATCH($C306,Работы!$A$2:$A$6000,0)),"— нет такого кода —")))</f>
        <v/>
      </c>
      <c r="E306" t="str">
        <f>IF($C306="","",IF(AND(LEFT($F306,3)="ДОК",$H306&lt;&gt;""),IFERROR(INDEX(Документация!$D$2:$D$57,MATCH($H306,Документация!$F$2:$F$57,0)),""),IFERROR(INDEX(Работы!$C$2:$C$6000,MATCH($C306,Работы!$A$2:$A$6000,0)),"")))</f>
        <v/>
      </c>
      <c r="F306" t="str">
        <f>IF($C306="","",IFERROR(INDEX(Работы!$G$2:$G$6000,MATCH($C306,Работы!$A$2:$A$6000,0))&amp;"",""))</f>
        <v/>
      </c>
      <c r="G306" s="4"/>
      <c r="H306" s="4"/>
      <c r="I306" s="5" t="str">
        <f>IF((LEFT($F306,3)="ДОК"),"",IF($H306="","",IFERROR(INDEX(Материалы!$B$2:$B$9000,MATCH($H306,Материалы!$M$2:$M$9000,0)),"")))</f>
        <v/>
      </c>
      <c r="J306" s="6">
        <f>IF(AND(LEFT($F306,3)="ДОК",$H306&lt;&gt;""),IFERROR(INDEX(Документация!$E$2:$E$57,MATCH($H306,Документация!$F$2:$F$57,0)),0),IFERROR(INDEX(Работы!$H$2:$H$6000,MATCH($C306,Работы!$A$2:$A$6000,0)),0))*(1-MEDIAN(0,N(ДисконтТендер),1))</f>
        <v>0</v>
      </c>
      <c r="K306" s="6">
        <f>IF(OR((LEFT($F306,3)="ДОК"),$H306=""),0,IFERROR(INDEX(Материалы!$H$2:$H$9000,MATCH($H306,Материалы!$M$2:$M$9000,0))*IF(INDEX(Материалы!$I$2:$I$9000,MATCH($H306,Материалы!$M$2:$M$9000,0))="USD",КурсUSD,IF(INDEX(Материалы!$I$2:$I$9000,MATCH($H306,Материалы!$M$2:$M$9000,0))="EUR",КурсEUR,1))*(1+IFERROR(INDEX(Работы!$I$2:$I$6000,MATCH($C306,Работы!$A$2:$A$6000,0))/100,0))*(1-MEDIAN(0,N(ДисконтТендер),1)),0))</f>
        <v>0</v>
      </c>
      <c r="L306" s="6">
        <f t="shared" si="25"/>
        <v>0</v>
      </c>
      <c r="M306" s="6">
        <f t="shared" si="26"/>
        <v>0</v>
      </c>
      <c r="N306" s="6">
        <f t="shared" si="27"/>
        <v>0</v>
      </c>
      <c r="O306" t="str">
        <f>IF($N306&gt;0,MAX($O$1:$O305)+1,"")</f>
        <v/>
      </c>
      <c r="P306" t="str">
        <f>IF($C306="","",IFERROR(INDEX(Работы!$D$2:$D$6000,MATCH($C306,Работы!$A$2:$A$6000,0)),""))</f>
        <v/>
      </c>
      <c r="Q306" t="str">
        <f t="shared" si="28"/>
        <v/>
      </c>
      <c r="R306" t="str">
        <f t="shared" si="29"/>
        <v/>
      </c>
      <c r="S306" t="str">
        <f>IF($P306="","",$P306&amp;" · "&amp;IFERROR(INDEX(Работы!$E$2:$E$6000,MATCH($C306,Работы!$A$2:$A$6000,0)),""))</f>
        <v/>
      </c>
    </row>
    <row r="307" spans="1:19" x14ac:dyDescent="0.3">
      <c r="A307" s="4"/>
      <c r="B307" s="4"/>
      <c r="C307" t="str">
        <f t="shared" si="24"/>
        <v/>
      </c>
      <c r="D307" s="5" t="str">
        <f>IF($C307="","",IF(AND(LEFT($F307,3)="ДОК",$H307&lt;&gt;""),IFERROR(INDEX(Документация!$G$2:$G$57,MATCH($H307,Документация!$F$2:$F$57,0)),"— вариант не найден —"),IFERROR(INDEX(Работы!$B$2:$B$6000,MATCH($C307,Работы!$A$2:$A$6000,0)),"— нет такого кода —")))</f>
        <v/>
      </c>
      <c r="E307" t="str">
        <f>IF($C307="","",IF(AND(LEFT($F307,3)="ДОК",$H307&lt;&gt;""),IFERROR(INDEX(Документация!$D$2:$D$57,MATCH($H307,Документация!$F$2:$F$57,0)),""),IFERROR(INDEX(Работы!$C$2:$C$6000,MATCH($C307,Работы!$A$2:$A$6000,0)),"")))</f>
        <v/>
      </c>
      <c r="F307" t="str">
        <f>IF($C307="","",IFERROR(INDEX(Работы!$G$2:$G$6000,MATCH($C307,Работы!$A$2:$A$6000,0))&amp;"",""))</f>
        <v/>
      </c>
      <c r="G307" s="4"/>
      <c r="H307" s="4"/>
      <c r="I307" s="5" t="str">
        <f>IF((LEFT($F307,3)="ДОК"),"",IF($H307="","",IFERROR(INDEX(Материалы!$B$2:$B$9000,MATCH($H307,Материалы!$M$2:$M$9000,0)),"")))</f>
        <v/>
      </c>
      <c r="J307" s="6">
        <f>IF(AND(LEFT($F307,3)="ДОК",$H307&lt;&gt;""),IFERROR(INDEX(Документация!$E$2:$E$57,MATCH($H307,Документация!$F$2:$F$57,0)),0),IFERROR(INDEX(Работы!$H$2:$H$6000,MATCH($C307,Работы!$A$2:$A$6000,0)),0))*(1-MEDIAN(0,N(ДисконтТендер),1))</f>
        <v>0</v>
      </c>
      <c r="K307" s="6">
        <f>IF(OR((LEFT($F307,3)="ДОК"),$H307=""),0,IFERROR(INDEX(Материалы!$H$2:$H$9000,MATCH($H307,Материалы!$M$2:$M$9000,0))*IF(INDEX(Материалы!$I$2:$I$9000,MATCH($H307,Материалы!$M$2:$M$9000,0))="USD",КурсUSD,IF(INDEX(Материалы!$I$2:$I$9000,MATCH($H307,Материалы!$M$2:$M$9000,0))="EUR",КурсEUR,1))*(1+IFERROR(INDEX(Работы!$I$2:$I$6000,MATCH($C307,Работы!$A$2:$A$6000,0))/100,0))*(1-MEDIAN(0,N(ДисконтТендер),1)),0))</f>
        <v>0</v>
      </c>
      <c r="L307" s="6">
        <f t="shared" si="25"/>
        <v>0</v>
      </c>
      <c r="M307" s="6">
        <f t="shared" si="26"/>
        <v>0</v>
      </c>
      <c r="N307" s="6">
        <f t="shared" si="27"/>
        <v>0</v>
      </c>
      <c r="O307" t="str">
        <f>IF($N307&gt;0,MAX($O$1:$O306)+1,"")</f>
        <v/>
      </c>
      <c r="P307" t="str">
        <f>IF($C307="","",IFERROR(INDEX(Работы!$D$2:$D$6000,MATCH($C307,Работы!$A$2:$A$6000,0)),""))</f>
        <v/>
      </c>
      <c r="Q307" t="str">
        <f t="shared" si="28"/>
        <v/>
      </c>
      <c r="R307" t="str">
        <f t="shared" si="29"/>
        <v/>
      </c>
      <c r="S307" t="str">
        <f>IF($P307="","",$P307&amp;" · "&amp;IFERROR(INDEX(Работы!$E$2:$E$6000,MATCH($C307,Работы!$A$2:$A$6000,0)),""))</f>
        <v/>
      </c>
    </row>
    <row r="308" spans="1:19" x14ac:dyDescent="0.3">
      <c r="A308" s="4"/>
      <c r="B308" s="4"/>
      <c r="C308" t="str">
        <f t="shared" si="24"/>
        <v/>
      </c>
      <c r="D308" s="5" t="str">
        <f>IF($C308="","",IF(AND(LEFT($F308,3)="ДОК",$H308&lt;&gt;""),IFERROR(INDEX(Документация!$G$2:$G$57,MATCH($H308,Документация!$F$2:$F$57,0)),"— вариант не найден —"),IFERROR(INDEX(Работы!$B$2:$B$6000,MATCH($C308,Работы!$A$2:$A$6000,0)),"— нет такого кода —")))</f>
        <v/>
      </c>
      <c r="E308" t="str">
        <f>IF($C308="","",IF(AND(LEFT($F308,3)="ДОК",$H308&lt;&gt;""),IFERROR(INDEX(Документация!$D$2:$D$57,MATCH($H308,Документация!$F$2:$F$57,0)),""),IFERROR(INDEX(Работы!$C$2:$C$6000,MATCH($C308,Работы!$A$2:$A$6000,0)),"")))</f>
        <v/>
      </c>
      <c r="F308" t="str">
        <f>IF($C308="","",IFERROR(INDEX(Работы!$G$2:$G$6000,MATCH($C308,Работы!$A$2:$A$6000,0))&amp;"",""))</f>
        <v/>
      </c>
      <c r="G308" s="4"/>
      <c r="H308" s="4"/>
      <c r="I308" s="5" t="str">
        <f>IF((LEFT($F308,3)="ДОК"),"",IF($H308="","",IFERROR(INDEX(Материалы!$B$2:$B$9000,MATCH($H308,Материалы!$M$2:$M$9000,0)),"")))</f>
        <v/>
      </c>
      <c r="J308" s="6">
        <f>IF(AND(LEFT($F308,3)="ДОК",$H308&lt;&gt;""),IFERROR(INDEX(Документация!$E$2:$E$57,MATCH($H308,Документация!$F$2:$F$57,0)),0),IFERROR(INDEX(Работы!$H$2:$H$6000,MATCH($C308,Работы!$A$2:$A$6000,0)),0))*(1-MEDIAN(0,N(ДисконтТендер),1))</f>
        <v>0</v>
      </c>
      <c r="K308" s="6">
        <f>IF(OR((LEFT($F308,3)="ДОК"),$H308=""),0,IFERROR(INDEX(Материалы!$H$2:$H$9000,MATCH($H308,Материалы!$M$2:$M$9000,0))*IF(INDEX(Материалы!$I$2:$I$9000,MATCH($H308,Материалы!$M$2:$M$9000,0))="USD",КурсUSD,IF(INDEX(Материалы!$I$2:$I$9000,MATCH($H308,Материалы!$M$2:$M$9000,0))="EUR",КурсEUR,1))*(1+IFERROR(INDEX(Работы!$I$2:$I$6000,MATCH($C308,Работы!$A$2:$A$6000,0))/100,0))*(1-MEDIAN(0,N(ДисконтТендер),1)),0))</f>
        <v>0</v>
      </c>
      <c r="L308" s="6">
        <f t="shared" si="25"/>
        <v>0</v>
      </c>
      <c r="M308" s="6">
        <f t="shared" si="26"/>
        <v>0</v>
      </c>
      <c r="N308" s="6">
        <f t="shared" si="27"/>
        <v>0</v>
      </c>
      <c r="O308" t="str">
        <f>IF($N308&gt;0,MAX($O$1:$O307)+1,"")</f>
        <v/>
      </c>
      <c r="P308" t="str">
        <f>IF($C308="","",IFERROR(INDEX(Работы!$D$2:$D$6000,MATCH($C308,Работы!$A$2:$A$6000,0)),""))</f>
        <v/>
      </c>
      <c r="Q308" t="str">
        <f t="shared" si="28"/>
        <v/>
      </c>
      <c r="R308" t="str">
        <f t="shared" si="29"/>
        <v/>
      </c>
      <c r="S308" t="str">
        <f>IF($P308="","",$P308&amp;" · "&amp;IFERROR(INDEX(Работы!$E$2:$E$6000,MATCH($C308,Работы!$A$2:$A$6000,0)),""))</f>
        <v/>
      </c>
    </row>
    <row r="309" spans="1:19" x14ac:dyDescent="0.3">
      <c r="A309" s="4"/>
      <c r="B309" s="4"/>
      <c r="C309" t="str">
        <f t="shared" si="24"/>
        <v/>
      </c>
      <c r="D309" s="5" t="str">
        <f>IF($C309="","",IF(AND(LEFT($F309,3)="ДОК",$H309&lt;&gt;""),IFERROR(INDEX(Документация!$G$2:$G$57,MATCH($H309,Документация!$F$2:$F$57,0)),"— вариант не найден —"),IFERROR(INDEX(Работы!$B$2:$B$6000,MATCH($C309,Работы!$A$2:$A$6000,0)),"— нет такого кода —")))</f>
        <v/>
      </c>
      <c r="E309" t="str">
        <f>IF($C309="","",IF(AND(LEFT($F309,3)="ДОК",$H309&lt;&gt;""),IFERROR(INDEX(Документация!$D$2:$D$57,MATCH($H309,Документация!$F$2:$F$57,0)),""),IFERROR(INDEX(Работы!$C$2:$C$6000,MATCH($C309,Работы!$A$2:$A$6000,0)),"")))</f>
        <v/>
      </c>
      <c r="F309" t="str">
        <f>IF($C309="","",IFERROR(INDEX(Работы!$G$2:$G$6000,MATCH($C309,Работы!$A$2:$A$6000,0))&amp;"",""))</f>
        <v/>
      </c>
      <c r="G309" s="4"/>
      <c r="H309" s="4"/>
      <c r="I309" s="5" t="str">
        <f>IF((LEFT($F309,3)="ДОК"),"",IF($H309="","",IFERROR(INDEX(Материалы!$B$2:$B$9000,MATCH($H309,Материалы!$M$2:$M$9000,0)),"")))</f>
        <v/>
      </c>
      <c r="J309" s="6">
        <f>IF(AND(LEFT($F309,3)="ДОК",$H309&lt;&gt;""),IFERROR(INDEX(Документация!$E$2:$E$57,MATCH($H309,Документация!$F$2:$F$57,0)),0),IFERROR(INDEX(Работы!$H$2:$H$6000,MATCH($C309,Работы!$A$2:$A$6000,0)),0))*(1-MEDIAN(0,N(ДисконтТендер),1))</f>
        <v>0</v>
      </c>
      <c r="K309" s="6">
        <f>IF(OR((LEFT($F309,3)="ДОК"),$H309=""),0,IFERROR(INDEX(Материалы!$H$2:$H$9000,MATCH($H309,Материалы!$M$2:$M$9000,0))*IF(INDEX(Материалы!$I$2:$I$9000,MATCH($H309,Материалы!$M$2:$M$9000,0))="USD",КурсUSD,IF(INDEX(Материалы!$I$2:$I$9000,MATCH($H309,Материалы!$M$2:$M$9000,0))="EUR",КурсEUR,1))*(1+IFERROR(INDEX(Работы!$I$2:$I$6000,MATCH($C309,Работы!$A$2:$A$6000,0))/100,0))*(1-MEDIAN(0,N(ДисконтТендер),1)),0))</f>
        <v>0</v>
      </c>
      <c r="L309" s="6">
        <f t="shared" si="25"/>
        <v>0</v>
      </c>
      <c r="M309" s="6">
        <f t="shared" si="26"/>
        <v>0</v>
      </c>
      <c r="N309" s="6">
        <f t="shared" si="27"/>
        <v>0</v>
      </c>
      <c r="O309" t="str">
        <f>IF($N309&gt;0,MAX($O$1:$O308)+1,"")</f>
        <v/>
      </c>
      <c r="P309" t="str">
        <f>IF($C309="","",IFERROR(INDEX(Работы!$D$2:$D$6000,MATCH($C309,Работы!$A$2:$A$6000,0)),""))</f>
        <v/>
      </c>
      <c r="Q309" t="str">
        <f t="shared" si="28"/>
        <v/>
      </c>
      <c r="R309" t="str">
        <f t="shared" si="29"/>
        <v/>
      </c>
      <c r="S309" t="str">
        <f>IF($P309="","",$P309&amp;" · "&amp;IFERROR(INDEX(Работы!$E$2:$E$6000,MATCH($C309,Работы!$A$2:$A$6000,0)),""))</f>
        <v/>
      </c>
    </row>
    <row r="310" spans="1:19" x14ac:dyDescent="0.3">
      <c r="A310" s="4"/>
      <c r="B310" s="4"/>
      <c r="C310" t="str">
        <f t="shared" si="24"/>
        <v/>
      </c>
      <c r="D310" s="5" t="str">
        <f>IF($C310="","",IF(AND(LEFT($F310,3)="ДОК",$H310&lt;&gt;""),IFERROR(INDEX(Документация!$G$2:$G$57,MATCH($H310,Документация!$F$2:$F$57,0)),"— вариант не найден —"),IFERROR(INDEX(Работы!$B$2:$B$6000,MATCH($C310,Работы!$A$2:$A$6000,0)),"— нет такого кода —")))</f>
        <v/>
      </c>
      <c r="E310" t="str">
        <f>IF($C310="","",IF(AND(LEFT($F310,3)="ДОК",$H310&lt;&gt;""),IFERROR(INDEX(Документация!$D$2:$D$57,MATCH($H310,Документация!$F$2:$F$57,0)),""),IFERROR(INDEX(Работы!$C$2:$C$6000,MATCH($C310,Работы!$A$2:$A$6000,0)),"")))</f>
        <v/>
      </c>
      <c r="F310" t="str">
        <f>IF($C310="","",IFERROR(INDEX(Работы!$G$2:$G$6000,MATCH($C310,Работы!$A$2:$A$6000,0))&amp;"",""))</f>
        <v/>
      </c>
      <c r="G310" s="4"/>
      <c r="H310" s="4"/>
      <c r="I310" s="5" t="str">
        <f>IF((LEFT($F310,3)="ДОК"),"",IF($H310="","",IFERROR(INDEX(Материалы!$B$2:$B$9000,MATCH($H310,Материалы!$M$2:$M$9000,0)),"")))</f>
        <v/>
      </c>
      <c r="J310" s="6">
        <f>IF(AND(LEFT($F310,3)="ДОК",$H310&lt;&gt;""),IFERROR(INDEX(Документация!$E$2:$E$57,MATCH($H310,Документация!$F$2:$F$57,0)),0),IFERROR(INDEX(Работы!$H$2:$H$6000,MATCH($C310,Работы!$A$2:$A$6000,0)),0))*(1-MEDIAN(0,N(ДисконтТендер),1))</f>
        <v>0</v>
      </c>
      <c r="K310" s="6">
        <f>IF(OR((LEFT($F310,3)="ДОК"),$H310=""),0,IFERROR(INDEX(Материалы!$H$2:$H$9000,MATCH($H310,Материалы!$M$2:$M$9000,0))*IF(INDEX(Материалы!$I$2:$I$9000,MATCH($H310,Материалы!$M$2:$M$9000,0))="USD",КурсUSD,IF(INDEX(Материалы!$I$2:$I$9000,MATCH($H310,Материалы!$M$2:$M$9000,0))="EUR",КурсEUR,1))*(1+IFERROR(INDEX(Работы!$I$2:$I$6000,MATCH($C310,Работы!$A$2:$A$6000,0))/100,0))*(1-MEDIAN(0,N(ДисконтТендер),1)),0))</f>
        <v>0</v>
      </c>
      <c r="L310" s="6">
        <f t="shared" si="25"/>
        <v>0</v>
      </c>
      <c r="M310" s="6">
        <f t="shared" si="26"/>
        <v>0</v>
      </c>
      <c r="N310" s="6">
        <f t="shared" si="27"/>
        <v>0</v>
      </c>
      <c r="O310" t="str">
        <f>IF($N310&gt;0,MAX($O$1:$O309)+1,"")</f>
        <v/>
      </c>
      <c r="P310" t="str">
        <f>IF($C310="","",IFERROR(INDEX(Работы!$D$2:$D$6000,MATCH($C310,Работы!$A$2:$A$6000,0)),""))</f>
        <v/>
      </c>
      <c r="Q310" t="str">
        <f t="shared" si="28"/>
        <v/>
      </c>
      <c r="R310" t="str">
        <f t="shared" si="29"/>
        <v/>
      </c>
      <c r="S310" t="str">
        <f>IF($P310="","",$P310&amp;" · "&amp;IFERROR(INDEX(Работы!$E$2:$E$6000,MATCH($C310,Работы!$A$2:$A$6000,0)),""))</f>
        <v/>
      </c>
    </row>
    <row r="311" spans="1:19" x14ac:dyDescent="0.3">
      <c r="A311" s="4"/>
      <c r="B311" s="4"/>
      <c r="C311" t="str">
        <f t="shared" si="24"/>
        <v/>
      </c>
      <c r="D311" s="5" t="str">
        <f>IF($C311="","",IF(AND(LEFT($F311,3)="ДОК",$H311&lt;&gt;""),IFERROR(INDEX(Документация!$G$2:$G$57,MATCH($H311,Документация!$F$2:$F$57,0)),"— вариант не найден —"),IFERROR(INDEX(Работы!$B$2:$B$6000,MATCH($C311,Работы!$A$2:$A$6000,0)),"— нет такого кода —")))</f>
        <v/>
      </c>
      <c r="E311" t="str">
        <f>IF($C311="","",IF(AND(LEFT($F311,3)="ДОК",$H311&lt;&gt;""),IFERROR(INDEX(Документация!$D$2:$D$57,MATCH($H311,Документация!$F$2:$F$57,0)),""),IFERROR(INDEX(Работы!$C$2:$C$6000,MATCH($C311,Работы!$A$2:$A$6000,0)),"")))</f>
        <v/>
      </c>
      <c r="F311" t="str">
        <f>IF($C311="","",IFERROR(INDEX(Работы!$G$2:$G$6000,MATCH($C311,Работы!$A$2:$A$6000,0))&amp;"",""))</f>
        <v/>
      </c>
      <c r="G311" s="4"/>
      <c r="H311" s="4"/>
      <c r="I311" s="5" t="str">
        <f>IF((LEFT($F311,3)="ДОК"),"",IF($H311="","",IFERROR(INDEX(Материалы!$B$2:$B$9000,MATCH($H311,Материалы!$M$2:$M$9000,0)),"")))</f>
        <v/>
      </c>
      <c r="J311" s="6">
        <f>IF(AND(LEFT($F311,3)="ДОК",$H311&lt;&gt;""),IFERROR(INDEX(Документация!$E$2:$E$57,MATCH($H311,Документация!$F$2:$F$57,0)),0),IFERROR(INDEX(Работы!$H$2:$H$6000,MATCH($C311,Работы!$A$2:$A$6000,0)),0))*(1-MEDIAN(0,N(ДисконтТендер),1))</f>
        <v>0</v>
      </c>
      <c r="K311" s="6">
        <f>IF(OR((LEFT($F311,3)="ДОК"),$H311=""),0,IFERROR(INDEX(Материалы!$H$2:$H$9000,MATCH($H311,Материалы!$M$2:$M$9000,0))*IF(INDEX(Материалы!$I$2:$I$9000,MATCH($H311,Материалы!$M$2:$M$9000,0))="USD",КурсUSD,IF(INDEX(Материалы!$I$2:$I$9000,MATCH($H311,Материалы!$M$2:$M$9000,0))="EUR",КурсEUR,1))*(1+IFERROR(INDEX(Работы!$I$2:$I$6000,MATCH($C311,Работы!$A$2:$A$6000,0))/100,0))*(1-MEDIAN(0,N(ДисконтТендер),1)),0))</f>
        <v>0</v>
      </c>
      <c r="L311" s="6">
        <f t="shared" si="25"/>
        <v>0</v>
      </c>
      <c r="M311" s="6">
        <f t="shared" si="26"/>
        <v>0</v>
      </c>
      <c r="N311" s="6">
        <f t="shared" si="27"/>
        <v>0</v>
      </c>
      <c r="O311" t="str">
        <f>IF($N311&gt;0,MAX($O$1:$O310)+1,"")</f>
        <v/>
      </c>
      <c r="P311" t="str">
        <f>IF($C311="","",IFERROR(INDEX(Работы!$D$2:$D$6000,MATCH($C311,Работы!$A$2:$A$6000,0)),""))</f>
        <v/>
      </c>
      <c r="Q311" t="str">
        <f t="shared" si="28"/>
        <v/>
      </c>
      <c r="R311" t="str">
        <f t="shared" si="29"/>
        <v/>
      </c>
      <c r="S311" t="str">
        <f>IF($P311="","",$P311&amp;" · "&amp;IFERROR(INDEX(Работы!$E$2:$E$6000,MATCH($C311,Работы!$A$2:$A$6000,0)),""))</f>
        <v/>
      </c>
    </row>
    <row r="312" spans="1:19" x14ac:dyDescent="0.3">
      <c r="A312" s="4"/>
      <c r="B312" s="4"/>
      <c r="C312" t="str">
        <f t="shared" si="24"/>
        <v/>
      </c>
      <c r="D312" s="5" t="str">
        <f>IF($C312="","",IF(AND(LEFT($F312,3)="ДОК",$H312&lt;&gt;""),IFERROR(INDEX(Документация!$G$2:$G$57,MATCH($H312,Документация!$F$2:$F$57,0)),"— вариант не найден —"),IFERROR(INDEX(Работы!$B$2:$B$6000,MATCH($C312,Работы!$A$2:$A$6000,0)),"— нет такого кода —")))</f>
        <v/>
      </c>
      <c r="E312" t="str">
        <f>IF($C312="","",IF(AND(LEFT($F312,3)="ДОК",$H312&lt;&gt;""),IFERROR(INDEX(Документация!$D$2:$D$57,MATCH($H312,Документация!$F$2:$F$57,0)),""),IFERROR(INDEX(Работы!$C$2:$C$6000,MATCH($C312,Работы!$A$2:$A$6000,0)),"")))</f>
        <v/>
      </c>
      <c r="F312" t="str">
        <f>IF($C312="","",IFERROR(INDEX(Работы!$G$2:$G$6000,MATCH($C312,Работы!$A$2:$A$6000,0))&amp;"",""))</f>
        <v/>
      </c>
      <c r="G312" s="4"/>
      <c r="H312" s="4"/>
      <c r="I312" s="5" t="str">
        <f>IF((LEFT($F312,3)="ДОК"),"",IF($H312="","",IFERROR(INDEX(Материалы!$B$2:$B$9000,MATCH($H312,Материалы!$M$2:$M$9000,0)),"")))</f>
        <v/>
      </c>
      <c r="J312" s="6">
        <f>IF(AND(LEFT($F312,3)="ДОК",$H312&lt;&gt;""),IFERROR(INDEX(Документация!$E$2:$E$57,MATCH($H312,Документация!$F$2:$F$57,0)),0),IFERROR(INDEX(Работы!$H$2:$H$6000,MATCH($C312,Работы!$A$2:$A$6000,0)),0))*(1-MEDIAN(0,N(ДисконтТендер),1))</f>
        <v>0</v>
      </c>
      <c r="K312" s="6">
        <f>IF(OR((LEFT($F312,3)="ДОК"),$H312=""),0,IFERROR(INDEX(Материалы!$H$2:$H$9000,MATCH($H312,Материалы!$M$2:$M$9000,0))*IF(INDEX(Материалы!$I$2:$I$9000,MATCH($H312,Материалы!$M$2:$M$9000,0))="USD",КурсUSD,IF(INDEX(Материалы!$I$2:$I$9000,MATCH($H312,Материалы!$M$2:$M$9000,0))="EUR",КурсEUR,1))*(1+IFERROR(INDEX(Работы!$I$2:$I$6000,MATCH($C312,Работы!$A$2:$A$6000,0))/100,0))*(1-MEDIAN(0,N(ДисконтТендер),1)),0))</f>
        <v>0</v>
      </c>
      <c r="L312" s="6">
        <f t="shared" si="25"/>
        <v>0</v>
      </c>
      <c r="M312" s="6">
        <f t="shared" si="26"/>
        <v>0</v>
      </c>
      <c r="N312" s="6">
        <f t="shared" si="27"/>
        <v>0</v>
      </c>
      <c r="O312" t="str">
        <f>IF($N312&gt;0,MAX($O$1:$O311)+1,"")</f>
        <v/>
      </c>
      <c r="P312" t="str">
        <f>IF($C312="","",IFERROR(INDEX(Работы!$D$2:$D$6000,MATCH($C312,Работы!$A$2:$A$6000,0)),""))</f>
        <v/>
      </c>
      <c r="Q312" t="str">
        <f t="shared" si="28"/>
        <v/>
      </c>
      <c r="R312" t="str">
        <f t="shared" si="29"/>
        <v/>
      </c>
      <c r="S312" t="str">
        <f>IF($P312="","",$P312&amp;" · "&amp;IFERROR(INDEX(Работы!$E$2:$E$6000,MATCH($C312,Работы!$A$2:$A$6000,0)),""))</f>
        <v/>
      </c>
    </row>
    <row r="313" spans="1:19" x14ac:dyDescent="0.3">
      <c r="A313" s="4"/>
      <c r="B313" s="4"/>
      <c r="C313" t="str">
        <f t="shared" si="24"/>
        <v/>
      </c>
      <c r="D313" s="5" t="str">
        <f>IF($C313="","",IF(AND(LEFT($F313,3)="ДОК",$H313&lt;&gt;""),IFERROR(INDEX(Документация!$G$2:$G$57,MATCH($H313,Документация!$F$2:$F$57,0)),"— вариант не найден —"),IFERROR(INDEX(Работы!$B$2:$B$6000,MATCH($C313,Работы!$A$2:$A$6000,0)),"— нет такого кода —")))</f>
        <v/>
      </c>
      <c r="E313" t="str">
        <f>IF($C313="","",IF(AND(LEFT($F313,3)="ДОК",$H313&lt;&gt;""),IFERROR(INDEX(Документация!$D$2:$D$57,MATCH($H313,Документация!$F$2:$F$57,0)),""),IFERROR(INDEX(Работы!$C$2:$C$6000,MATCH($C313,Работы!$A$2:$A$6000,0)),"")))</f>
        <v/>
      </c>
      <c r="F313" t="str">
        <f>IF($C313="","",IFERROR(INDEX(Работы!$G$2:$G$6000,MATCH($C313,Работы!$A$2:$A$6000,0))&amp;"",""))</f>
        <v/>
      </c>
      <c r="G313" s="4"/>
      <c r="H313" s="4"/>
      <c r="I313" s="5" t="str">
        <f>IF((LEFT($F313,3)="ДОК"),"",IF($H313="","",IFERROR(INDEX(Материалы!$B$2:$B$9000,MATCH($H313,Материалы!$M$2:$M$9000,0)),"")))</f>
        <v/>
      </c>
      <c r="J313" s="6">
        <f>IF(AND(LEFT($F313,3)="ДОК",$H313&lt;&gt;""),IFERROR(INDEX(Документация!$E$2:$E$57,MATCH($H313,Документация!$F$2:$F$57,0)),0),IFERROR(INDEX(Работы!$H$2:$H$6000,MATCH($C313,Работы!$A$2:$A$6000,0)),0))*(1-MEDIAN(0,N(ДисконтТендер),1))</f>
        <v>0</v>
      </c>
      <c r="K313" s="6">
        <f>IF(OR((LEFT($F313,3)="ДОК"),$H313=""),0,IFERROR(INDEX(Материалы!$H$2:$H$9000,MATCH($H313,Материалы!$M$2:$M$9000,0))*IF(INDEX(Материалы!$I$2:$I$9000,MATCH($H313,Материалы!$M$2:$M$9000,0))="USD",КурсUSD,IF(INDEX(Материалы!$I$2:$I$9000,MATCH($H313,Материалы!$M$2:$M$9000,0))="EUR",КурсEUR,1))*(1+IFERROR(INDEX(Работы!$I$2:$I$6000,MATCH($C313,Работы!$A$2:$A$6000,0))/100,0))*(1-MEDIAN(0,N(ДисконтТендер),1)),0))</f>
        <v>0</v>
      </c>
      <c r="L313" s="6">
        <f t="shared" si="25"/>
        <v>0</v>
      </c>
      <c r="M313" s="6">
        <f t="shared" si="26"/>
        <v>0</v>
      </c>
      <c r="N313" s="6">
        <f t="shared" si="27"/>
        <v>0</v>
      </c>
      <c r="O313" t="str">
        <f>IF($N313&gt;0,MAX($O$1:$O312)+1,"")</f>
        <v/>
      </c>
      <c r="P313" t="str">
        <f>IF($C313="","",IFERROR(INDEX(Работы!$D$2:$D$6000,MATCH($C313,Работы!$A$2:$A$6000,0)),""))</f>
        <v/>
      </c>
      <c r="Q313" t="str">
        <f t="shared" si="28"/>
        <v/>
      </c>
      <c r="R313" t="str">
        <f t="shared" si="29"/>
        <v/>
      </c>
      <c r="S313" t="str">
        <f>IF($P313="","",$P313&amp;" · "&amp;IFERROR(INDEX(Работы!$E$2:$E$6000,MATCH($C313,Работы!$A$2:$A$6000,0)),""))</f>
        <v/>
      </c>
    </row>
    <row r="314" spans="1:19" x14ac:dyDescent="0.3">
      <c r="A314" s="4"/>
      <c r="B314" s="4"/>
      <c r="C314" t="str">
        <f t="shared" si="24"/>
        <v/>
      </c>
      <c r="D314" s="5" t="str">
        <f>IF($C314="","",IF(AND(LEFT($F314,3)="ДОК",$H314&lt;&gt;""),IFERROR(INDEX(Документация!$G$2:$G$57,MATCH($H314,Документация!$F$2:$F$57,0)),"— вариант не найден —"),IFERROR(INDEX(Работы!$B$2:$B$6000,MATCH($C314,Работы!$A$2:$A$6000,0)),"— нет такого кода —")))</f>
        <v/>
      </c>
      <c r="E314" t="str">
        <f>IF($C314="","",IF(AND(LEFT($F314,3)="ДОК",$H314&lt;&gt;""),IFERROR(INDEX(Документация!$D$2:$D$57,MATCH($H314,Документация!$F$2:$F$57,0)),""),IFERROR(INDEX(Работы!$C$2:$C$6000,MATCH($C314,Работы!$A$2:$A$6000,0)),"")))</f>
        <v/>
      </c>
      <c r="F314" t="str">
        <f>IF($C314="","",IFERROR(INDEX(Работы!$G$2:$G$6000,MATCH($C314,Работы!$A$2:$A$6000,0))&amp;"",""))</f>
        <v/>
      </c>
      <c r="G314" s="4"/>
      <c r="H314" s="4"/>
      <c r="I314" s="5" t="str">
        <f>IF((LEFT($F314,3)="ДОК"),"",IF($H314="","",IFERROR(INDEX(Материалы!$B$2:$B$9000,MATCH($H314,Материалы!$M$2:$M$9000,0)),"")))</f>
        <v/>
      </c>
      <c r="J314" s="6">
        <f>IF(AND(LEFT($F314,3)="ДОК",$H314&lt;&gt;""),IFERROR(INDEX(Документация!$E$2:$E$57,MATCH($H314,Документация!$F$2:$F$57,0)),0),IFERROR(INDEX(Работы!$H$2:$H$6000,MATCH($C314,Работы!$A$2:$A$6000,0)),0))*(1-MEDIAN(0,N(ДисконтТендер),1))</f>
        <v>0</v>
      </c>
      <c r="K314" s="6">
        <f>IF(OR((LEFT($F314,3)="ДОК"),$H314=""),0,IFERROR(INDEX(Материалы!$H$2:$H$9000,MATCH($H314,Материалы!$M$2:$M$9000,0))*IF(INDEX(Материалы!$I$2:$I$9000,MATCH($H314,Материалы!$M$2:$M$9000,0))="USD",КурсUSD,IF(INDEX(Материалы!$I$2:$I$9000,MATCH($H314,Материалы!$M$2:$M$9000,0))="EUR",КурсEUR,1))*(1+IFERROR(INDEX(Работы!$I$2:$I$6000,MATCH($C314,Работы!$A$2:$A$6000,0))/100,0))*(1-MEDIAN(0,N(ДисконтТендер),1)),0))</f>
        <v>0</v>
      </c>
      <c r="L314" s="6">
        <f t="shared" si="25"/>
        <v>0</v>
      </c>
      <c r="M314" s="6">
        <f t="shared" si="26"/>
        <v>0</v>
      </c>
      <c r="N314" s="6">
        <f t="shared" si="27"/>
        <v>0</v>
      </c>
      <c r="O314" t="str">
        <f>IF($N314&gt;0,MAX($O$1:$O313)+1,"")</f>
        <v/>
      </c>
      <c r="P314" t="str">
        <f>IF($C314="","",IFERROR(INDEX(Работы!$D$2:$D$6000,MATCH($C314,Работы!$A$2:$A$6000,0)),""))</f>
        <v/>
      </c>
      <c r="Q314" t="str">
        <f t="shared" si="28"/>
        <v/>
      </c>
      <c r="R314" t="str">
        <f t="shared" si="29"/>
        <v/>
      </c>
      <c r="S314" t="str">
        <f>IF($P314="","",$P314&amp;" · "&amp;IFERROR(INDEX(Работы!$E$2:$E$6000,MATCH($C314,Работы!$A$2:$A$6000,0)),""))</f>
        <v/>
      </c>
    </row>
    <row r="315" spans="1:19" x14ac:dyDescent="0.3">
      <c r="A315" s="4"/>
      <c r="B315" s="4"/>
      <c r="C315" t="str">
        <f t="shared" si="24"/>
        <v/>
      </c>
      <c r="D315" s="5" t="str">
        <f>IF($C315="","",IF(AND(LEFT($F315,3)="ДОК",$H315&lt;&gt;""),IFERROR(INDEX(Документация!$G$2:$G$57,MATCH($H315,Документация!$F$2:$F$57,0)),"— вариант не найден —"),IFERROR(INDEX(Работы!$B$2:$B$6000,MATCH($C315,Работы!$A$2:$A$6000,0)),"— нет такого кода —")))</f>
        <v/>
      </c>
      <c r="E315" t="str">
        <f>IF($C315="","",IF(AND(LEFT($F315,3)="ДОК",$H315&lt;&gt;""),IFERROR(INDEX(Документация!$D$2:$D$57,MATCH($H315,Документация!$F$2:$F$57,0)),""),IFERROR(INDEX(Работы!$C$2:$C$6000,MATCH($C315,Работы!$A$2:$A$6000,0)),"")))</f>
        <v/>
      </c>
      <c r="F315" t="str">
        <f>IF($C315="","",IFERROR(INDEX(Работы!$G$2:$G$6000,MATCH($C315,Работы!$A$2:$A$6000,0))&amp;"",""))</f>
        <v/>
      </c>
      <c r="G315" s="4"/>
      <c r="H315" s="4"/>
      <c r="I315" s="5" t="str">
        <f>IF((LEFT($F315,3)="ДОК"),"",IF($H315="","",IFERROR(INDEX(Материалы!$B$2:$B$9000,MATCH($H315,Материалы!$M$2:$M$9000,0)),"")))</f>
        <v/>
      </c>
      <c r="J315" s="6">
        <f>IF(AND(LEFT($F315,3)="ДОК",$H315&lt;&gt;""),IFERROR(INDEX(Документация!$E$2:$E$57,MATCH($H315,Документация!$F$2:$F$57,0)),0),IFERROR(INDEX(Работы!$H$2:$H$6000,MATCH($C315,Работы!$A$2:$A$6000,0)),0))*(1-MEDIAN(0,N(ДисконтТендер),1))</f>
        <v>0</v>
      </c>
      <c r="K315" s="6">
        <f>IF(OR((LEFT($F315,3)="ДОК"),$H315=""),0,IFERROR(INDEX(Материалы!$H$2:$H$9000,MATCH($H315,Материалы!$M$2:$M$9000,0))*IF(INDEX(Материалы!$I$2:$I$9000,MATCH($H315,Материалы!$M$2:$M$9000,0))="USD",КурсUSD,IF(INDEX(Материалы!$I$2:$I$9000,MATCH($H315,Материалы!$M$2:$M$9000,0))="EUR",КурсEUR,1))*(1+IFERROR(INDEX(Работы!$I$2:$I$6000,MATCH($C315,Работы!$A$2:$A$6000,0))/100,0))*(1-MEDIAN(0,N(ДисконтТендер),1)),0))</f>
        <v>0</v>
      </c>
      <c r="L315" s="6">
        <f t="shared" si="25"/>
        <v>0</v>
      </c>
      <c r="M315" s="6">
        <f t="shared" si="26"/>
        <v>0</v>
      </c>
      <c r="N315" s="6">
        <f t="shared" si="27"/>
        <v>0</v>
      </c>
      <c r="O315" t="str">
        <f>IF($N315&gt;0,MAX($O$1:$O314)+1,"")</f>
        <v/>
      </c>
      <c r="P315" t="str">
        <f>IF($C315="","",IFERROR(INDEX(Работы!$D$2:$D$6000,MATCH($C315,Работы!$A$2:$A$6000,0)),""))</f>
        <v/>
      </c>
      <c r="Q315" t="str">
        <f t="shared" si="28"/>
        <v/>
      </c>
      <c r="R315" t="str">
        <f t="shared" si="29"/>
        <v/>
      </c>
      <c r="S315" t="str">
        <f>IF($P315="","",$P315&amp;" · "&amp;IFERROR(INDEX(Работы!$E$2:$E$6000,MATCH($C315,Работы!$A$2:$A$6000,0)),""))</f>
        <v/>
      </c>
    </row>
    <row r="316" spans="1:19" x14ac:dyDescent="0.3">
      <c r="A316" s="4"/>
      <c r="B316" s="4"/>
      <c r="C316" t="str">
        <f t="shared" si="24"/>
        <v/>
      </c>
      <c r="D316" s="5" t="str">
        <f>IF($C316="","",IF(AND(LEFT($F316,3)="ДОК",$H316&lt;&gt;""),IFERROR(INDEX(Документация!$G$2:$G$57,MATCH($H316,Документация!$F$2:$F$57,0)),"— вариант не найден —"),IFERROR(INDEX(Работы!$B$2:$B$6000,MATCH($C316,Работы!$A$2:$A$6000,0)),"— нет такого кода —")))</f>
        <v/>
      </c>
      <c r="E316" t="str">
        <f>IF($C316="","",IF(AND(LEFT($F316,3)="ДОК",$H316&lt;&gt;""),IFERROR(INDEX(Документация!$D$2:$D$57,MATCH($H316,Документация!$F$2:$F$57,0)),""),IFERROR(INDEX(Работы!$C$2:$C$6000,MATCH($C316,Работы!$A$2:$A$6000,0)),"")))</f>
        <v/>
      </c>
      <c r="F316" t="str">
        <f>IF($C316="","",IFERROR(INDEX(Работы!$G$2:$G$6000,MATCH($C316,Работы!$A$2:$A$6000,0))&amp;"",""))</f>
        <v/>
      </c>
      <c r="G316" s="4"/>
      <c r="H316" s="4"/>
      <c r="I316" s="5" t="str">
        <f>IF((LEFT($F316,3)="ДОК"),"",IF($H316="","",IFERROR(INDEX(Материалы!$B$2:$B$9000,MATCH($H316,Материалы!$M$2:$M$9000,0)),"")))</f>
        <v/>
      </c>
      <c r="J316" s="6">
        <f>IF(AND(LEFT($F316,3)="ДОК",$H316&lt;&gt;""),IFERROR(INDEX(Документация!$E$2:$E$57,MATCH($H316,Документация!$F$2:$F$57,0)),0),IFERROR(INDEX(Работы!$H$2:$H$6000,MATCH($C316,Работы!$A$2:$A$6000,0)),0))*(1-MEDIAN(0,N(ДисконтТендер),1))</f>
        <v>0</v>
      </c>
      <c r="K316" s="6">
        <f>IF(OR((LEFT($F316,3)="ДОК"),$H316=""),0,IFERROR(INDEX(Материалы!$H$2:$H$9000,MATCH($H316,Материалы!$M$2:$M$9000,0))*IF(INDEX(Материалы!$I$2:$I$9000,MATCH($H316,Материалы!$M$2:$M$9000,0))="USD",КурсUSD,IF(INDEX(Материалы!$I$2:$I$9000,MATCH($H316,Материалы!$M$2:$M$9000,0))="EUR",КурсEUR,1))*(1+IFERROR(INDEX(Работы!$I$2:$I$6000,MATCH($C316,Работы!$A$2:$A$6000,0))/100,0))*(1-MEDIAN(0,N(ДисконтТендер),1)),0))</f>
        <v>0</v>
      </c>
      <c r="L316" s="6">
        <f t="shared" si="25"/>
        <v>0</v>
      </c>
      <c r="M316" s="6">
        <f t="shared" si="26"/>
        <v>0</v>
      </c>
      <c r="N316" s="6">
        <f t="shared" si="27"/>
        <v>0</v>
      </c>
      <c r="O316" t="str">
        <f>IF($N316&gt;0,MAX($O$1:$O315)+1,"")</f>
        <v/>
      </c>
      <c r="P316" t="str">
        <f>IF($C316="","",IFERROR(INDEX(Работы!$D$2:$D$6000,MATCH($C316,Работы!$A$2:$A$6000,0)),""))</f>
        <v/>
      </c>
      <c r="Q316" t="str">
        <f t="shared" si="28"/>
        <v/>
      </c>
      <c r="R316" t="str">
        <f t="shared" si="29"/>
        <v/>
      </c>
      <c r="S316" t="str">
        <f>IF($P316="","",$P316&amp;" · "&amp;IFERROR(INDEX(Работы!$E$2:$E$6000,MATCH($C316,Работы!$A$2:$A$6000,0)),""))</f>
        <v/>
      </c>
    </row>
    <row r="317" spans="1:19" x14ac:dyDescent="0.3">
      <c r="A317" s="4"/>
      <c r="B317" s="4"/>
      <c r="C317" t="str">
        <f t="shared" si="24"/>
        <v/>
      </c>
      <c r="D317" s="5" t="str">
        <f>IF($C317="","",IF(AND(LEFT($F317,3)="ДОК",$H317&lt;&gt;""),IFERROR(INDEX(Документация!$G$2:$G$57,MATCH($H317,Документация!$F$2:$F$57,0)),"— вариант не найден —"),IFERROR(INDEX(Работы!$B$2:$B$6000,MATCH($C317,Работы!$A$2:$A$6000,0)),"— нет такого кода —")))</f>
        <v/>
      </c>
      <c r="E317" t="str">
        <f>IF($C317="","",IF(AND(LEFT($F317,3)="ДОК",$H317&lt;&gt;""),IFERROR(INDEX(Документация!$D$2:$D$57,MATCH($H317,Документация!$F$2:$F$57,0)),""),IFERROR(INDEX(Работы!$C$2:$C$6000,MATCH($C317,Работы!$A$2:$A$6000,0)),"")))</f>
        <v/>
      </c>
      <c r="F317" t="str">
        <f>IF($C317="","",IFERROR(INDEX(Работы!$G$2:$G$6000,MATCH($C317,Работы!$A$2:$A$6000,0))&amp;"",""))</f>
        <v/>
      </c>
      <c r="G317" s="4"/>
      <c r="H317" s="4"/>
      <c r="I317" s="5" t="str">
        <f>IF((LEFT($F317,3)="ДОК"),"",IF($H317="","",IFERROR(INDEX(Материалы!$B$2:$B$9000,MATCH($H317,Материалы!$M$2:$M$9000,0)),"")))</f>
        <v/>
      </c>
      <c r="J317" s="6">
        <f>IF(AND(LEFT($F317,3)="ДОК",$H317&lt;&gt;""),IFERROR(INDEX(Документация!$E$2:$E$57,MATCH($H317,Документация!$F$2:$F$57,0)),0),IFERROR(INDEX(Работы!$H$2:$H$6000,MATCH($C317,Работы!$A$2:$A$6000,0)),0))*(1-MEDIAN(0,N(ДисконтТендер),1))</f>
        <v>0</v>
      </c>
      <c r="K317" s="6">
        <f>IF(OR((LEFT($F317,3)="ДОК"),$H317=""),0,IFERROR(INDEX(Материалы!$H$2:$H$9000,MATCH($H317,Материалы!$M$2:$M$9000,0))*IF(INDEX(Материалы!$I$2:$I$9000,MATCH($H317,Материалы!$M$2:$M$9000,0))="USD",КурсUSD,IF(INDEX(Материалы!$I$2:$I$9000,MATCH($H317,Материалы!$M$2:$M$9000,0))="EUR",КурсEUR,1))*(1+IFERROR(INDEX(Работы!$I$2:$I$6000,MATCH($C317,Работы!$A$2:$A$6000,0))/100,0))*(1-MEDIAN(0,N(ДисконтТендер),1)),0))</f>
        <v>0</v>
      </c>
      <c r="L317" s="6">
        <f t="shared" si="25"/>
        <v>0</v>
      </c>
      <c r="M317" s="6">
        <f t="shared" si="26"/>
        <v>0</v>
      </c>
      <c r="N317" s="6">
        <f t="shared" si="27"/>
        <v>0</v>
      </c>
      <c r="O317" t="str">
        <f>IF($N317&gt;0,MAX($O$1:$O316)+1,"")</f>
        <v/>
      </c>
      <c r="P317" t="str">
        <f>IF($C317="","",IFERROR(INDEX(Работы!$D$2:$D$6000,MATCH($C317,Работы!$A$2:$A$6000,0)),""))</f>
        <v/>
      </c>
      <c r="Q317" t="str">
        <f t="shared" si="28"/>
        <v/>
      </c>
      <c r="R317" t="str">
        <f t="shared" si="29"/>
        <v/>
      </c>
      <c r="S317" t="str">
        <f>IF($P317="","",$P317&amp;" · "&amp;IFERROR(INDEX(Работы!$E$2:$E$6000,MATCH($C317,Работы!$A$2:$A$6000,0)),""))</f>
        <v/>
      </c>
    </row>
    <row r="318" spans="1:19" x14ac:dyDescent="0.3">
      <c r="A318" s="4"/>
      <c r="B318" s="4"/>
      <c r="C318" t="str">
        <f t="shared" si="24"/>
        <v/>
      </c>
      <c r="D318" s="5" t="str">
        <f>IF($C318="","",IF(AND(LEFT($F318,3)="ДОК",$H318&lt;&gt;""),IFERROR(INDEX(Документация!$G$2:$G$57,MATCH($H318,Документация!$F$2:$F$57,0)),"— вариант не найден —"),IFERROR(INDEX(Работы!$B$2:$B$6000,MATCH($C318,Работы!$A$2:$A$6000,0)),"— нет такого кода —")))</f>
        <v/>
      </c>
      <c r="E318" t="str">
        <f>IF($C318="","",IF(AND(LEFT($F318,3)="ДОК",$H318&lt;&gt;""),IFERROR(INDEX(Документация!$D$2:$D$57,MATCH($H318,Документация!$F$2:$F$57,0)),""),IFERROR(INDEX(Работы!$C$2:$C$6000,MATCH($C318,Работы!$A$2:$A$6000,0)),"")))</f>
        <v/>
      </c>
      <c r="F318" t="str">
        <f>IF($C318="","",IFERROR(INDEX(Работы!$G$2:$G$6000,MATCH($C318,Работы!$A$2:$A$6000,0))&amp;"",""))</f>
        <v/>
      </c>
      <c r="G318" s="4"/>
      <c r="H318" s="4"/>
      <c r="I318" s="5" t="str">
        <f>IF((LEFT($F318,3)="ДОК"),"",IF($H318="","",IFERROR(INDEX(Материалы!$B$2:$B$9000,MATCH($H318,Материалы!$M$2:$M$9000,0)),"")))</f>
        <v/>
      </c>
      <c r="J318" s="6">
        <f>IF(AND(LEFT($F318,3)="ДОК",$H318&lt;&gt;""),IFERROR(INDEX(Документация!$E$2:$E$57,MATCH($H318,Документация!$F$2:$F$57,0)),0),IFERROR(INDEX(Работы!$H$2:$H$6000,MATCH($C318,Работы!$A$2:$A$6000,0)),0))*(1-MEDIAN(0,N(ДисконтТендер),1))</f>
        <v>0</v>
      </c>
      <c r="K318" s="6">
        <f>IF(OR((LEFT($F318,3)="ДОК"),$H318=""),0,IFERROR(INDEX(Материалы!$H$2:$H$9000,MATCH($H318,Материалы!$M$2:$M$9000,0))*IF(INDEX(Материалы!$I$2:$I$9000,MATCH($H318,Материалы!$M$2:$M$9000,0))="USD",КурсUSD,IF(INDEX(Материалы!$I$2:$I$9000,MATCH($H318,Материалы!$M$2:$M$9000,0))="EUR",КурсEUR,1))*(1+IFERROR(INDEX(Работы!$I$2:$I$6000,MATCH($C318,Работы!$A$2:$A$6000,0))/100,0))*(1-MEDIAN(0,N(ДисконтТендер),1)),0))</f>
        <v>0</v>
      </c>
      <c r="L318" s="6">
        <f t="shared" si="25"/>
        <v>0</v>
      </c>
      <c r="M318" s="6">
        <f t="shared" si="26"/>
        <v>0</v>
      </c>
      <c r="N318" s="6">
        <f t="shared" si="27"/>
        <v>0</v>
      </c>
      <c r="O318" t="str">
        <f>IF($N318&gt;0,MAX($O$1:$O317)+1,"")</f>
        <v/>
      </c>
      <c r="P318" t="str">
        <f>IF($C318="","",IFERROR(INDEX(Работы!$D$2:$D$6000,MATCH($C318,Работы!$A$2:$A$6000,0)),""))</f>
        <v/>
      </c>
      <c r="Q318" t="str">
        <f t="shared" si="28"/>
        <v/>
      </c>
      <c r="R318" t="str">
        <f t="shared" si="29"/>
        <v/>
      </c>
      <c r="S318" t="str">
        <f>IF($P318="","",$P318&amp;" · "&amp;IFERROR(INDEX(Работы!$E$2:$E$6000,MATCH($C318,Работы!$A$2:$A$6000,0)),""))</f>
        <v/>
      </c>
    </row>
    <row r="319" spans="1:19" x14ac:dyDescent="0.3">
      <c r="A319" s="4"/>
      <c r="B319" s="4"/>
      <c r="C319" t="str">
        <f t="shared" si="24"/>
        <v/>
      </c>
      <c r="D319" s="5" t="str">
        <f>IF($C319="","",IF(AND(LEFT($F319,3)="ДОК",$H319&lt;&gt;""),IFERROR(INDEX(Документация!$G$2:$G$57,MATCH($H319,Документация!$F$2:$F$57,0)),"— вариант не найден —"),IFERROR(INDEX(Работы!$B$2:$B$6000,MATCH($C319,Работы!$A$2:$A$6000,0)),"— нет такого кода —")))</f>
        <v/>
      </c>
      <c r="E319" t="str">
        <f>IF($C319="","",IF(AND(LEFT($F319,3)="ДОК",$H319&lt;&gt;""),IFERROR(INDEX(Документация!$D$2:$D$57,MATCH($H319,Документация!$F$2:$F$57,0)),""),IFERROR(INDEX(Работы!$C$2:$C$6000,MATCH($C319,Работы!$A$2:$A$6000,0)),"")))</f>
        <v/>
      </c>
      <c r="F319" t="str">
        <f>IF($C319="","",IFERROR(INDEX(Работы!$G$2:$G$6000,MATCH($C319,Работы!$A$2:$A$6000,0))&amp;"",""))</f>
        <v/>
      </c>
      <c r="G319" s="4"/>
      <c r="H319" s="4"/>
      <c r="I319" s="5" t="str">
        <f>IF((LEFT($F319,3)="ДОК"),"",IF($H319="","",IFERROR(INDEX(Материалы!$B$2:$B$9000,MATCH($H319,Материалы!$M$2:$M$9000,0)),"")))</f>
        <v/>
      </c>
      <c r="J319" s="6">
        <f>IF(AND(LEFT($F319,3)="ДОК",$H319&lt;&gt;""),IFERROR(INDEX(Документация!$E$2:$E$57,MATCH($H319,Документация!$F$2:$F$57,0)),0),IFERROR(INDEX(Работы!$H$2:$H$6000,MATCH($C319,Работы!$A$2:$A$6000,0)),0))*(1-MEDIAN(0,N(ДисконтТендер),1))</f>
        <v>0</v>
      </c>
      <c r="K319" s="6">
        <f>IF(OR((LEFT($F319,3)="ДОК"),$H319=""),0,IFERROR(INDEX(Материалы!$H$2:$H$9000,MATCH($H319,Материалы!$M$2:$M$9000,0))*IF(INDEX(Материалы!$I$2:$I$9000,MATCH($H319,Материалы!$M$2:$M$9000,0))="USD",КурсUSD,IF(INDEX(Материалы!$I$2:$I$9000,MATCH($H319,Материалы!$M$2:$M$9000,0))="EUR",КурсEUR,1))*(1+IFERROR(INDEX(Работы!$I$2:$I$6000,MATCH($C319,Работы!$A$2:$A$6000,0))/100,0))*(1-MEDIAN(0,N(ДисконтТендер),1)),0))</f>
        <v>0</v>
      </c>
      <c r="L319" s="6">
        <f t="shared" si="25"/>
        <v>0</v>
      </c>
      <c r="M319" s="6">
        <f t="shared" si="26"/>
        <v>0</v>
      </c>
      <c r="N319" s="6">
        <f t="shared" si="27"/>
        <v>0</v>
      </c>
      <c r="O319" t="str">
        <f>IF($N319&gt;0,MAX($O$1:$O318)+1,"")</f>
        <v/>
      </c>
      <c r="P319" t="str">
        <f>IF($C319="","",IFERROR(INDEX(Работы!$D$2:$D$6000,MATCH($C319,Работы!$A$2:$A$6000,0)),""))</f>
        <v/>
      </c>
      <c r="Q319" t="str">
        <f t="shared" si="28"/>
        <v/>
      </c>
      <c r="R319" t="str">
        <f t="shared" si="29"/>
        <v/>
      </c>
      <c r="S319" t="str">
        <f>IF($P319="","",$P319&amp;" · "&amp;IFERROR(INDEX(Работы!$E$2:$E$6000,MATCH($C319,Работы!$A$2:$A$6000,0)),""))</f>
        <v/>
      </c>
    </row>
    <row r="320" spans="1:19" x14ac:dyDescent="0.3">
      <c r="A320" s="4"/>
      <c r="B320" s="4"/>
      <c r="C320" t="str">
        <f t="shared" si="24"/>
        <v/>
      </c>
      <c r="D320" s="5" t="str">
        <f>IF($C320="","",IF(AND(LEFT($F320,3)="ДОК",$H320&lt;&gt;""),IFERROR(INDEX(Документация!$G$2:$G$57,MATCH($H320,Документация!$F$2:$F$57,0)),"— вариант не найден —"),IFERROR(INDEX(Работы!$B$2:$B$6000,MATCH($C320,Работы!$A$2:$A$6000,0)),"— нет такого кода —")))</f>
        <v/>
      </c>
      <c r="E320" t="str">
        <f>IF($C320="","",IF(AND(LEFT($F320,3)="ДОК",$H320&lt;&gt;""),IFERROR(INDEX(Документация!$D$2:$D$57,MATCH($H320,Документация!$F$2:$F$57,0)),""),IFERROR(INDEX(Работы!$C$2:$C$6000,MATCH($C320,Работы!$A$2:$A$6000,0)),"")))</f>
        <v/>
      </c>
      <c r="F320" t="str">
        <f>IF($C320="","",IFERROR(INDEX(Работы!$G$2:$G$6000,MATCH($C320,Работы!$A$2:$A$6000,0))&amp;"",""))</f>
        <v/>
      </c>
      <c r="G320" s="4"/>
      <c r="H320" s="4"/>
      <c r="I320" s="5" t="str">
        <f>IF((LEFT($F320,3)="ДОК"),"",IF($H320="","",IFERROR(INDEX(Материалы!$B$2:$B$9000,MATCH($H320,Материалы!$M$2:$M$9000,0)),"")))</f>
        <v/>
      </c>
      <c r="J320" s="6">
        <f>IF(AND(LEFT($F320,3)="ДОК",$H320&lt;&gt;""),IFERROR(INDEX(Документация!$E$2:$E$57,MATCH($H320,Документация!$F$2:$F$57,0)),0),IFERROR(INDEX(Работы!$H$2:$H$6000,MATCH($C320,Работы!$A$2:$A$6000,0)),0))*(1-MEDIAN(0,N(ДисконтТендер),1))</f>
        <v>0</v>
      </c>
      <c r="K320" s="6">
        <f>IF(OR((LEFT($F320,3)="ДОК"),$H320=""),0,IFERROR(INDEX(Материалы!$H$2:$H$9000,MATCH($H320,Материалы!$M$2:$M$9000,0))*IF(INDEX(Материалы!$I$2:$I$9000,MATCH($H320,Материалы!$M$2:$M$9000,0))="USD",КурсUSD,IF(INDEX(Материалы!$I$2:$I$9000,MATCH($H320,Материалы!$M$2:$M$9000,0))="EUR",КурсEUR,1))*(1+IFERROR(INDEX(Работы!$I$2:$I$6000,MATCH($C320,Работы!$A$2:$A$6000,0))/100,0))*(1-MEDIAN(0,N(ДисконтТендер),1)),0))</f>
        <v>0</v>
      </c>
      <c r="L320" s="6">
        <f t="shared" si="25"/>
        <v>0</v>
      </c>
      <c r="M320" s="6">
        <f t="shared" si="26"/>
        <v>0</v>
      </c>
      <c r="N320" s="6">
        <f t="shared" si="27"/>
        <v>0</v>
      </c>
      <c r="O320" t="str">
        <f>IF($N320&gt;0,MAX($O$1:$O319)+1,"")</f>
        <v/>
      </c>
      <c r="P320" t="str">
        <f>IF($C320="","",IFERROR(INDEX(Работы!$D$2:$D$6000,MATCH($C320,Работы!$A$2:$A$6000,0)),""))</f>
        <v/>
      </c>
      <c r="Q320" t="str">
        <f t="shared" si="28"/>
        <v/>
      </c>
      <c r="R320" t="str">
        <f t="shared" si="29"/>
        <v/>
      </c>
      <c r="S320" t="str">
        <f>IF($P320="","",$P320&amp;" · "&amp;IFERROR(INDEX(Работы!$E$2:$E$6000,MATCH($C320,Работы!$A$2:$A$6000,0)),""))</f>
        <v/>
      </c>
    </row>
    <row r="321" spans="1:19" x14ac:dyDescent="0.3">
      <c r="A321" s="4"/>
      <c r="B321" s="4"/>
      <c r="C321" t="str">
        <f t="shared" si="24"/>
        <v/>
      </c>
      <c r="D321" s="5" t="str">
        <f>IF($C321="","",IF(AND(LEFT($F321,3)="ДОК",$H321&lt;&gt;""),IFERROR(INDEX(Документация!$G$2:$G$57,MATCH($H321,Документация!$F$2:$F$57,0)),"— вариант не найден —"),IFERROR(INDEX(Работы!$B$2:$B$6000,MATCH($C321,Работы!$A$2:$A$6000,0)),"— нет такого кода —")))</f>
        <v/>
      </c>
      <c r="E321" t="str">
        <f>IF($C321="","",IF(AND(LEFT($F321,3)="ДОК",$H321&lt;&gt;""),IFERROR(INDEX(Документация!$D$2:$D$57,MATCH($H321,Документация!$F$2:$F$57,0)),""),IFERROR(INDEX(Работы!$C$2:$C$6000,MATCH($C321,Работы!$A$2:$A$6000,0)),"")))</f>
        <v/>
      </c>
      <c r="F321" t="str">
        <f>IF($C321="","",IFERROR(INDEX(Работы!$G$2:$G$6000,MATCH($C321,Работы!$A$2:$A$6000,0))&amp;"",""))</f>
        <v/>
      </c>
      <c r="G321" s="4"/>
      <c r="H321" s="4"/>
      <c r="I321" s="5" t="str">
        <f>IF((LEFT($F321,3)="ДОК"),"",IF($H321="","",IFERROR(INDEX(Материалы!$B$2:$B$9000,MATCH($H321,Материалы!$M$2:$M$9000,0)),"")))</f>
        <v/>
      </c>
      <c r="J321" s="6">
        <f>IF(AND(LEFT($F321,3)="ДОК",$H321&lt;&gt;""),IFERROR(INDEX(Документация!$E$2:$E$57,MATCH($H321,Документация!$F$2:$F$57,0)),0),IFERROR(INDEX(Работы!$H$2:$H$6000,MATCH($C321,Работы!$A$2:$A$6000,0)),0))*(1-MEDIAN(0,N(ДисконтТендер),1))</f>
        <v>0</v>
      </c>
      <c r="K321" s="6">
        <f>IF(OR((LEFT($F321,3)="ДОК"),$H321=""),0,IFERROR(INDEX(Материалы!$H$2:$H$9000,MATCH($H321,Материалы!$M$2:$M$9000,0))*IF(INDEX(Материалы!$I$2:$I$9000,MATCH($H321,Материалы!$M$2:$M$9000,0))="USD",КурсUSD,IF(INDEX(Материалы!$I$2:$I$9000,MATCH($H321,Материалы!$M$2:$M$9000,0))="EUR",КурсEUR,1))*(1+IFERROR(INDEX(Работы!$I$2:$I$6000,MATCH($C321,Работы!$A$2:$A$6000,0))/100,0))*(1-MEDIAN(0,N(ДисконтТендер),1)),0))</f>
        <v>0</v>
      </c>
      <c r="L321" s="6">
        <f t="shared" si="25"/>
        <v>0</v>
      </c>
      <c r="M321" s="6">
        <f t="shared" si="26"/>
        <v>0</v>
      </c>
      <c r="N321" s="6">
        <f t="shared" si="27"/>
        <v>0</v>
      </c>
      <c r="O321" t="str">
        <f>IF($N321&gt;0,MAX($O$1:$O320)+1,"")</f>
        <v/>
      </c>
      <c r="P321" t="str">
        <f>IF($C321="","",IFERROR(INDEX(Работы!$D$2:$D$6000,MATCH($C321,Работы!$A$2:$A$6000,0)),""))</f>
        <v/>
      </c>
      <c r="Q321" t="str">
        <f t="shared" si="28"/>
        <v/>
      </c>
      <c r="R321" t="str">
        <f t="shared" si="29"/>
        <v/>
      </c>
      <c r="S321" t="str">
        <f>IF($P321="","",$P321&amp;" · "&amp;IFERROR(INDEX(Работы!$E$2:$E$6000,MATCH($C321,Работы!$A$2:$A$6000,0)),""))</f>
        <v/>
      </c>
    </row>
    <row r="322" spans="1:19" x14ac:dyDescent="0.3">
      <c r="A322" s="4"/>
      <c r="B322" s="4"/>
      <c r="C322" t="str">
        <f t="shared" ref="C322:C385" si="30">IF($B322="","",IFERROR(LEFT($B322,FIND(" — ",$B322)-1),$B322))</f>
        <v/>
      </c>
      <c r="D322" s="5" t="str">
        <f>IF($C322="","",IF(AND(LEFT($F322,3)="ДОК",$H322&lt;&gt;""),IFERROR(INDEX(Документация!$G$2:$G$57,MATCH($H322,Документация!$F$2:$F$57,0)),"— вариант не найден —"),IFERROR(INDEX(Работы!$B$2:$B$6000,MATCH($C322,Работы!$A$2:$A$6000,0)),"— нет такого кода —")))</f>
        <v/>
      </c>
      <c r="E322" t="str">
        <f>IF($C322="","",IF(AND(LEFT($F322,3)="ДОК",$H322&lt;&gt;""),IFERROR(INDEX(Документация!$D$2:$D$57,MATCH($H322,Документация!$F$2:$F$57,0)),""),IFERROR(INDEX(Работы!$C$2:$C$6000,MATCH($C322,Работы!$A$2:$A$6000,0)),"")))</f>
        <v/>
      </c>
      <c r="F322" t="str">
        <f>IF($C322="","",IFERROR(INDEX(Работы!$G$2:$G$6000,MATCH($C322,Работы!$A$2:$A$6000,0))&amp;"",""))</f>
        <v/>
      </c>
      <c r="G322" s="4"/>
      <c r="H322" s="4"/>
      <c r="I322" s="5" t="str">
        <f>IF((LEFT($F322,3)="ДОК"),"",IF($H322="","",IFERROR(INDEX(Материалы!$B$2:$B$9000,MATCH($H322,Материалы!$M$2:$M$9000,0)),"")))</f>
        <v/>
      </c>
      <c r="J322" s="6">
        <f>IF(AND(LEFT($F322,3)="ДОК",$H322&lt;&gt;""),IFERROR(INDEX(Документация!$E$2:$E$57,MATCH($H322,Документация!$F$2:$F$57,0)),0),IFERROR(INDEX(Работы!$H$2:$H$6000,MATCH($C322,Работы!$A$2:$A$6000,0)),0))*(1-MEDIAN(0,N(ДисконтТендер),1))</f>
        <v>0</v>
      </c>
      <c r="K322" s="6">
        <f>IF(OR((LEFT($F322,3)="ДОК"),$H322=""),0,IFERROR(INDEX(Материалы!$H$2:$H$9000,MATCH($H322,Материалы!$M$2:$M$9000,0))*IF(INDEX(Материалы!$I$2:$I$9000,MATCH($H322,Материалы!$M$2:$M$9000,0))="USD",КурсUSD,IF(INDEX(Материалы!$I$2:$I$9000,MATCH($H322,Материалы!$M$2:$M$9000,0))="EUR",КурсEUR,1))*(1+IFERROR(INDEX(Работы!$I$2:$I$6000,MATCH($C322,Работы!$A$2:$A$6000,0))/100,0))*(1-MEDIAN(0,N(ДисконтТендер),1)),0))</f>
        <v>0</v>
      </c>
      <c r="L322" s="6">
        <f t="shared" ref="L322:L385" si="31">IF($G322&lt;&gt;"",ROUND($G322*$J322,2),0)</f>
        <v>0</v>
      </c>
      <c r="M322" s="6">
        <f t="shared" ref="M322:M385" si="32">IF($G322&lt;&gt;"",ROUND($G322*$K322,2),0)</f>
        <v>0</v>
      </c>
      <c r="N322" s="6">
        <f t="shared" ref="N322:N385" si="33">$L322+$M322</f>
        <v>0</v>
      </c>
      <c r="O322" t="str">
        <f>IF($N322&gt;0,MAX($O$1:$O321)+1,"")</f>
        <v/>
      </c>
      <c r="P322" t="str">
        <f>IF($C322="","",IFERROR(INDEX(Работы!$D$2:$D$6000,MATCH($C322,Работы!$A$2:$A$6000,0)),""))</f>
        <v/>
      </c>
      <c r="Q322" t="str">
        <f t="shared" ref="Q322:Q385" si="34">IF($O322="","",IF($O322=1,1,IF($P322&lt;&gt;IFERROR(INDEX($P$2:$P$501,MATCH($O322-1,$O$2:$O$501,0)),"~"),1,0)))</f>
        <v/>
      </c>
      <c r="R322" t="str">
        <f t="shared" ref="R322:R385" si="35">IF($O322="","",$O322+SUMIFS($Q$2:$Q$501,$O$2:$O$501,"&lt;="&amp;$O322))</f>
        <v/>
      </c>
      <c r="S322" t="str">
        <f>IF($P322="","",$P322&amp;" · "&amp;IFERROR(INDEX(Работы!$E$2:$E$6000,MATCH($C322,Работы!$A$2:$A$6000,0)),""))</f>
        <v/>
      </c>
    </row>
    <row r="323" spans="1:19" x14ac:dyDescent="0.3">
      <c r="A323" s="4"/>
      <c r="B323" s="4"/>
      <c r="C323" t="str">
        <f t="shared" si="30"/>
        <v/>
      </c>
      <c r="D323" s="5" t="str">
        <f>IF($C323="","",IF(AND(LEFT($F323,3)="ДОК",$H323&lt;&gt;""),IFERROR(INDEX(Документация!$G$2:$G$57,MATCH($H323,Документация!$F$2:$F$57,0)),"— вариант не найден —"),IFERROR(INDEX(Работы!$B$2:$B$6000,MATCH($C323,Работы!$A$2:$A$6000,0)),"— нет такого кода —")))</f>
        <v/>
      </c>
      <c r="E323" t="str">
        <f>IF($C323="","",IF(AND(LEFT($F323,3)="ДОК",$H323&lt;&gt;""),IFERROR(INDEX(Документация!$D$2:$D$57,MATCH($H323,Документация!$F$2:$F$57,0)),""),IFERROR(INDEX(Работы!$C$2:$C$6000,MATCH($C323,Работы!$A$2:$A$6000,0)),"")))</f>
        <v/>
      </c>
      <c r="F323" t="str">
        <f>IF($C323="","",IFERROR(INDEX(Работы!$G$2:$G$6000,MATCH($C323,Работы!$A$2:$A$6000,0))&amp;"",""))</f>
        <v/>
      </c>
      <c r="G323" s="4"/>
      <c r="H323" s="4"/>
      <c r="I323" s="5" t="str">
        <f>IF((LEFT($F323,3)="ДОК"),"",IF($H323="","",IFERROR(INDEX(Материалы!$B$2:$B$9000,MATCH($H323,Материалы!$M$2:$M$9000,0)),"")))</f>
        <v/>
      </c>
      <c r="J323" s="6">
        <f>IF(AND(LEFT($F323,3)="ДОК",$H323&lt;&gt;""),IFERROR(INDEX(Документация!$E$2:$E$57,MATCH($H323,Документация!$F$2:$F$57,0)),0),IFERROR(INDEX(Работы!$H$2:$H$6000,MATCH($C323,Работы!$A$2:$A$6000,0)),0))*(1-MEDIAN(0,N(ДисконтТендер),1))</f>
        <v>0</v>
      </c>
      <c r="K323" s="6">
        <f>IF(OR((LEFT($F323,3)="ДОК"),$H323=""),0,IFERROR(INDEX(Материалы!$H$2:$H$9000,MATCH($H323,Материалы!$M$2:$M$9000,0))*IF(INDEX(Материалы!$I$2:$I$9000,MATCH($H323,Материалы!$M$2:$M$9000,0))="USD",КурсUSD,IF(INDEX(Материалы!$I$2:$I$9000,MATCH($H323,Материалы!$M$2:$M$9000,0))="EUR",КурсEUR,1))*(1+IFERROR(INDEX(Работы!$I$2:$I$6000,MATCH($C323,Работы!$A$2:$A$6000,0))/100,0))*(1-MEDIAN(0,N(ДисконтТендер),1)),0))</f>
        <v>0</v>
      </c>
      <c r="L323" s="6">
        <f t="shared" si="31"/>
        <v>0</v>
      </c>
      <c r="M323" s="6">
        <f t="shared" si="32"/>
        <v>0</v>
      </c>
      <c r="N323" s="6">
        <f t="shared" si="33"/>
        <v>0</v>
      </c>
      <c r="O323" t="str">
        <f>IF($N323&gt;0,MAX($O$1:$O322)+1,"")</f>
        <v/>
      </c>
      <c r="P323" t="str">
        <f>IF($C323="","",IFERROR(INDEX(Работы!$D$2:$D$6000,MATCH($C323,Работы!$A$2:$A$6000,0)),""))</f>
        <v/>
      </c>
      <c r="Q323" t="str">
        <f t="shared" si="34"/>
        <v/>
      </c>
      <c r="R323" t="str">
        <f t="shared" si="35"/>
        <v/>
      </c>
      <c r="S323" t="str">
        <f>IF($P323="","",$P323&amp;" · "&amp;IFERROR(INDEX(Работы!$E$2:$E$6000,MATCH($C323,Работы!$A$2:$A$6000,0)),""))</f>
        <v/>
      </c>
    </row>
    <row r="324" spans="1:19" x14ac:dyDescent="0.3">
      <c r="A324" s="4"/>
      <c r="B324" s="4"/>
      <c r="C324" t="str">
        <f t="shared" si="30"/>
        <v/>
      </c>
      <c r="D324" s="5" t="str">
        <f>IF($C324="","",IF(AND(LEFT($F324,3)="ДОК",$H324&lt;&gt;""),IFERROR(INDEX(Документация!$G$2:$G$57,MATCH($H324,Документация!$F$2:$F$57,0)),"— вариант не найден —"),IFERROR(INDEX(Работы!$B$2:$B$6000,MATCH($C324,Работы!$A$2:$A$6000,0)),"— нет такого кода —")))</f>
        <v/>
      </c>
      <c r="E324" t="str">
        <f>IF($C324="","",IF(AND(LEFT($F324,3)="ДОК",$H324&lt;&gt;""),IFERROR(INDEX(Документация!$D$2:$D$57,MATCH($H324,Документация!$F$2:$F$57,0)),""),IFERROR(INDEX(Работы!$C$2:$C$6000,MATCH($C324,Работы!$A$2:$A$6000,0)),"")))</f>
        <v/>
      </c>
      <c r="F324" t="str">
        <f>IF($C324="","",IFERROR(INDEX(Работы!$G$2:$G$6000,MATCH($C324,Работы!$A$2:$A$6000,0))&amp;"",""))</f>
        <v/>
      </c>
      <c r="G324" s="4"/>
      <c r="H324" s="4"/>
      <c r="I324" s="5" t="str">
        <f>IF((LEFT($F324,3)="ДОК"),"",IF($H324="","",IFERROR(INDEX(Материалы!$B$2:$B$9000,MATCH($H324,Материалы!$M$2:$M$9000,0)),"")))</f>
        <v/>
      </c>
      <c r="J324" s="6">
        <f>IF(AND(LEFT($F324,3)="ДОК",$H324&lt;&gt;""),IFERROR(INDEX(Документация!$E$2:$E$57,MATCH($H324,Документация!$F$2:$F$57,0)),0),IFERROR(INDEX(Работы!$H$2:$H$6000,MATCH($C324,Работы!$A$2:$A$6000,0)),0))*(1-MEDIAN(0,N(ДисконтТендер),1))</f>
        <v>0</v>
      </c>
      <c r="K324" s="6">
        <f>IF(OR((LEFT($F324,3)="ДОК"),$H324=""),0,IFERROR(INDEX(Материалы!$H$2:$H$9000,MATCH($H324,Материалы!$M$2:$M$9000,0))*IF(INDEX(Материалы!$I$2:$I$9000,MATCH($H324,Материалы!$M$2:$M$9000,0))="USD",КурсUSD,IF(INDEX(Материалы!$I$2:$I$9000,MATCH($H324,Материалы!$M$2:$M$9000,0))="EUR",КурсEUR,1))*(1+IFERROR(INDEX(Работы!$I$2:$I$6000,MATCH($C324,Работы!$A$2:$A$6000,0))/100,0))*(1-MEDIAN(0,N(ДисконтТендер),1)),0))</f>
        <v>0</v>
      </c>
      <c r="L324" s="6">
        <f t="shared" si="31"/>
        <v>0</v>
      </c>
      <c r="M324" s="6">
        <f t="shared" si="32"/>
        <v>0</v>
      </c>
      <c r="N324" s="6">
        <f t="shared" si="33"/>
        <v>0</v>
      </c>
      <c r="O324" t="str">
        <f>IF($N324&gt;0,MAX($O$1:$O323)+1,"")</f>
        <v/>
      </c>
      <c r="P324" t="str">
        <f>IF($C324="","",IFERROR(INDEX(Работы!$D$2:$D$6000,MATCH($C324,Работы!$A$2:$A$6000,0)),""))</f>
        <v/>
      </c>
      <c r="Q324" t="str">
        <f t="shared" si="34"/>
        <v/>
      </c>
      <c r="R324" t="str">
        <f t="shared" si="35"/>
        <v/>
      </c>
      <c r="S324" t="str">
        <f>IF($P324="","",$P324&amp;" · "&amp;IFERROR(INDEX(Работы!$E$2:$E$6000,MATCH($C324,Работы!$A$2:$A$6000,0)),""))</f>
        <v/>
      </c>
    </row>
    <row r="325" spans="1:19" x14ac:dyDescent="0.3">
      <c r="A325" s="4"/>
      <c r="B325" s="4"/>
      <c r="C325" t="str">
        <f t="shared" si="30"/>
        <v/>
      </c>
      <c r="D325" s="5" t="str">
        <f>IF($C325="","",IF(AND(LEFT($F325,3)="ДОК",$H325&lt;&gt;""),IFERROR(INDEX(Документация!$G$2:$G$57,MATCH($H325,Документация!$F$2:$F$57,0)),"— вариант не найден —"),IFERROR(INDEX(Работы!$B$2:$B$6000,MATCH($C325,Работы!$A$2:$A$6000,0)),"— нет такого кода —")))</f>
        <v/>
      </c>
      <c r="E325" t="str">
        <f>IF($C325="","",IF(AND(LEFT($F325,3)="ДОК",$H325&lt;&gt;""),IFERROR(INDEX(Документация!$D$2:$D$57,MATCH($H325,Документация!$F$2:$F$57,0)),""),IFERROR(INDEX(Работы!$C$2:$C$6000,MATCH($C325,Работы!$A$2:$A$6000,0)),"")))</f>
        <v/>
      </c>
      <c r="F325" t="str">
        <f>IF($C325="","",IFERROR(INDEX(Работы!$G$2:$G$6000,MATCH($C325,Работы!$A$2:$A$6000,0))&amp;"",""))</f>
        <v/>
      </c>
      <c r="G325" s="4"/>
      <c r="H325" s="4"/>
      <c r="I325" s="5" t="str">
        <f>IF((LEFT($F325,3)="ДОК"),"",IF($H325="","",IFERROR(INDEX(Материалы!$B$2:$B$9000,MATCH($H325,Материалы!$M$2:$M$9000,0)),"")))</f>
        <v/>
      </c>
      <c r="J325" s="6">
        <f>IF(AND(LEFT($F325,3)="ДОК",$H325&lt;&gt;""),IFERROR(INDEX(Документация!$E$2:$E$57,MATCH($H325,Документация!$F$2:$F$57,0)),0),IFERROR(INDEX(Работы!$H$2:$H$6000,MATCH($C325,Работы!$A$2:$A$6000,0)),0))*(1-MEDIAN(0,N(ДисконтТендер),1))</f>
        <v>0</v>
      </c>
      <c r="K325" s="6">
        <f>IF(OR((LEFT($F325,3)="ДОК"),$H325=""),0,IFERROR(INDEX(Материалы!$H$2:$H$9000,MATCH($H325,Материалы!$M$2:$M$9000,0))*IF(INDEX(Материалы!$I$2:$I$9000,MATCH($H325,Материалы!$M$2:$M$9000,0))="USD",КурсUSD,IF(INDEX(Материалы!$I$2:$I$9000,MATCH($H325,Материалы!$M$2:$M$9000,0))="EUR",КурсEUR,1))*(1+IFERROR(INDEX(Работы!$I$2:$I$6000,MATCH($C325,Работы!$A$2:$A$6000,0))/100,0))*(1-MEDIAN(0,N(ДисконтТендер),1)),0))</f>
        <v>0</v>
      </c>
      <c r="L325" s="6">
        <f t="shared" si="31"/>
        <v>0</v>
      </c>
      <c r="M325" s="6">
        <f t="shared" si="32"/>
        <v>0</v>
      </c>
      <c r="N325" s="6">
        <f t="shared" si="33"/>
        <v>0</v>
      </c>
      <c r="O325" t="str">
        <f>IF($N325&gt;0,MAX($O$1:$O324)+1,"")</f>
        <v/>
      </c>
      <c r="P325" t="str">
        <f>IF($C325="","",IFERROR(INDEX(Работы!$D$2:$D$6000,MATCH($C325,Работы!$A$2:$A$6000,0)),""))</f>
        <v/>
      </c>
      <c r="Q325" t="str">
        <f t="shared" si="34"/>
        <v/>
      </c>
      <c r="R325" t="str">
        <f t="shared" si="35"/>
        <v/>
      </c>
      <c r="S325" t="str">
        <f>IF($P325="","",$P325&amp;" · "&amp;IFERROR(INDEX(Работы!$E$2:$E$6000,MATCH($C325,Работы!$A$2:$A$6000,0)),""))</f>
        <v/>
      </c>
    </row>
    <row r="326" spans="1:19" x14ac:dyDescent="0.3">
      <c r="A326" s="4"/>
      <c r="B326" s="4"/>
      <c r="C326" t="str">
        <f t="shared" si="30"/>
        <v/>
      </c>
      <c r="D326" s="5" t="str">
        <f>IF($C326="","",IF(AND(LEFT($F326,3)="ДОК",$H326&lt;&gt;""),IFERROR(INDEX(Документация!$G$2:$G$57,MATCH($H326,Документация!$F$2:$F$57,0)),"— вариант не найден —"),IFERROR(INDEX(Работы!$B$2:$B$6000,MATCH($C326,Работы!$A$2:$A$6000,0)),"— нет такого кода —")))</f>
        <v/>
      </c>
      <c r="E326" t="str">
        <f>IF($C326="","",IF(AND(LEFT($F326,3)="ДОК",$H326&lt;&gt;""),IFERROR(INDEX(Документация!$D$2:$D$57,MATCH($H326,Документация!$F$2:$F$57,0)),""),IFERROR(INDEX(Работы!$C$2:$C$6000,MATCH($C326,Работы!$A$2:$A$6000,0)),"")))</f>
        <v/>
      </c>
      <c r="F326" t="str">
        <f>IF($C326="","",IFERROR(INDEX(Работы!$G$2:$G$6000,MATCH($C326,Работы!$A$2:$A$6000,0))&amp;"",""))</f>
        <v/>
      </c>
      <c r="G326" s="4"/>
      <c r="H326" s="4"/>
      <c r="I326" s="5" t="str">
        <f>IF((LEFT($F326,3)="ДОК"),"",IF($H326="","",IFERROR(INDEX(Материалы!$B$2:$B$9000,MATCH($H326,Материалы!$M$2:$M$9000,0)),"")))</f>
        <v/>
      </c>
      <c r="J326" s="6">
        <f>IF(AND(LEFT($F326,3)="ДОК",$H326&lt;&gt;""),IFERROR(INDEX(Документация!$E$2:$E$57,MATCH($H326,Документация!$F$2:$F$57,0)),0),IFERROR(INDEX(Работы!$H$2:$H$6000,MATCH($C326,Работы!$A$2:$A$6000,0)),0))*(1-MEDIAN(0,N(ДисконтТендер),1))</f>
        <v>0</v>
      </c>
      <c r="K326" s="6">
        <f>IF(OR((LEFT($F326,3)="ДОК"),$H326=""),0,IFERROR(INDEX(Материалы!$H$2:$H$9000,MATCH($H326,Материалы!$M$2:$M$9000,0))*IF(INDEX(Материалы!$I$2:$I$9000,MATCH($H326,Материалы!$M$2:$M$9000,0))="USD",КурсUSD,IF(INDEX(Материалы!$I$2:$I$9000,MATCH($H326,Материалы!$M$2:$M$9000,0))="EUR",КурсEUR,1))*(1+IFERROR(INDEX(Работы!$I$2:$I$6000,MATCH($C326,Работы!$A$2:$A$6000,0))/100,0))*(1-MEDIAN(0,N(ДисконтТендер),1)),0))</f>
        <v>0</v>
      </c>
      <c r="L326" s="6">
        <f t="shared" si="31"/>
        <v>0</v>
      </c>
      <c r="M326" s="6">
        <f t="shared" si="32"/>
        <v>0</v>
      </c>
      <c r="N326" s="6">
        <f t="shared" si="33"/>
        <v>0</v>
      </c>
      <c r="O326" t="str">
        <f>IF($N326&gt;0,MAX($O$1:$O325)+1,"")</f>
        <v/>
      </c>
      <c r="P326" t="str">
        <f>IF($C326="","",IFERROR(INDEX(Работы!$D$2:$D$6000,MATCH($C326,Работы!$A$2:$A$6000,0)),""))</f>
        <v/>
      </c>
      <c r="Q326" t="str">
        <f t="shared" si="34"/>
        <v/>
      </c>
      <c r="R326" t="str">
        <f t="shared" si="35"/>
        <v/>
      </c>
      <c r="S326" t="str">
        <f>IF($P326="","",$P326&amp;" · "&amp;IFERROR(INDEX(Работы!$E$2:$E$6000,MATCH($C326,Работы!$A$2:$A$6000,0)),""))</f>
        <v/>
      </c>
    </row>
    <row r="327" spans="1:19" x14ac:dyDescent="0.3">
      <c r="A327" s="4"/>
      <c r="B327" s="4"/>
      <c r="C327" t="str">
        <f t="shared" si="30"/>
        <v/>
      </c>
      <c r="D327" s="5" t="str">
        <f>IF($C327="","",IF(AND(LEFT($F327,3)="ДОК",$H327&lt;&gt;""),IFERROR(INDEX(Документация!$G$2:$G$57,MATCH($H327,Документация!$F$2:$F$57,0)),"— вариант не найден —"),IFERROR(INDEX(Работы!$B$2:$B$6000,MATCH($C327,Работы!$A$2:$A$6000,0)),"— нет такого кода —")))</f>
        <v/>
      </c>
      <c r="E327" t="str">
        <f>IF($C327="","",IF(AND(LEFT($F327,3)="ДОК",$H327&lt;&gt;""),IFERROR(INDEX(Документация!$D$2:$D$57,MATCH($H327,Документация!$F$2:$F$57,0)),""),IFERROR(INDEX(Работы!$C$2:$C$6000,MATCH($C327,Работы!$A$2:$A$6000,0)),"")))</f>
        <v/>
      </c>
      <c r="F327" t="str">
        <f>IF($C327="","",IFERROR(INDEX(Работы!$G$2:$G$6000,MATCH($C327,Работы!$A$2:$A$6000,0))&amp;"",""))</f>
        <v/>
      </c>
      <c r="G327" s="4"/>
      <c r="H327" s="4"/>
      <c r="I327" s="5" t="str">
        <f>IF((LEFT($F327,3)="ДОК"),"",IF($H327="","",IFERROR(INDEX(Материалы!$B$2:$B$9000,MATCH($H327,Материалы!$M$2:$M$9000,0)),"")))</f>
        <v/>
      </c>
      <c r="J327" s="6">
        <f>IF(AND(LEFT($F327,3)="ДОК",$H327&lt;&gt;""),IFERROR(INDEX(Документация!$E$2:$E$57,MATCH($H327,Документация!$F$2:$F$57,0)),0),IFERROR(INDEX(Работы!$H$2:$H$6000,MATCH($C327,Работы!$A$2:$A$6000,0)),0))*(1-MEDIAN(0,N(ДисконтТендер),1))</f>
        <v>0</v>
      </c>
      <c r="K327" s="6">
        <f>IF(OR((LEFT($F327,3)="ДОК"),$H327=""),0,IFERROR(INDEX(Материалы!$H$2:$H$9000,MATCH($H327,Материалы!$M$2:$M$9000,0))*IF(INDEX(Материалы!$I$2:$I$9000,MATCH($H327,Материалы!$M$2:$M$9000,0))="USD",КурсUSD,IF(INDEX(Материалы!$I$2:$I$9000,MATCH($H327,Материалы!$M$2:$M$9000,0))="EUR",КурсEUR,1))*(1+IFERROR(INDEX(Работы!$I$2:$I$6000,MATCH($C327,Работы!$A$2:$A$6000,0))/100,0))*(1-MEDIAN(0,N(ДисконтТендер),1)),0))</f>
        <v>0</v>
      </c>
      <c r="L327" s="6">
        <f t="shared" si="31"/>
        <v>0</v>
      </c>
      <c r="M327" s="6">
        <f t="shared" si="32"/>
        <v>0</v>
      </c>
      <c r="N327" s="6">
        <f t="shared" si="33"/>
        <v>0</v>
      </c>
      <c r="O327" t="str">
        <f>IF($N327&gt;0,MAX($O$1:$O326)+1,"")</f>
        <v/>
      </c>
      <c r="P327" t="str">
        <f>IF($C327="","",IFERROR(INDEX(Работы!$D$2:$D$6000,MATCH($C327,Работы!$A$2:$A$6000,0)),""))</f>
        <v/>
      </c>
      <c r="Q327" t="str">
        <f t="shared" si="34"/>
        <v/>
      </c>
      <c r="R327" t="str">
        <f t="shared" si="35"/>
        <v/>
      </c>
      <c r="S327" t="str">
        <f>IF($P327="","",$P327&amp;" · "&amp;IFERROR(INDEX(Работы!$E$2:$E$6000,MATCH($C327,Работы!$A$2:$A$6000,0)),""))</f>
        <v/>
      </c>
    </row>
    <row r="328" spans="1:19" x14ac:dyDescent="0.3">
      <c r="A328" s="4"/>
      <c r="B328" s="4"/>
      <c r="C328" t="str">
        <f t="shared" si="30"/>
        <v/>
      </c>
      <c r="D328" s="5" t="str">
        <f>IF($C328="","",IF(AND(LEFT($F328,3)="ДОК",$H328&lt;&gt;""),IFERROR(INDEX(Документация!$G$2:$G$57,MATCH($H328,Документация!$F$2:$F$57,0)),"— вариант не найден —"),IFERROR(INDEX(Работы!$B$2:$B$6000,MATCH($C328,Работы!$A$2:$A$6000,0)),"— нет такого кода —")))</f>
        <v/>
      </c>
      <c r="E328" t="str">
        <f>IF($C328="","",IF(AND(LEFT($F328,3)="ДОК",$H328&lt;&gt;""),IFERROR(INDEX(Документация!$D$2:$D$57,MATCH($H328,Документация!$F$2:$F$57,0)),""),IFERROR(INDEX(Работы!$C$2:$C$6000,MATCH($C328,Работы!$A$2:$A$6000,0)),"")))</f>
        <v/>
      </c>
      <c r="F328" t="str">
        <f>IF($C328="","",IFERROR(INDEX(Работы!$G$2:$G$6000,MATCH($C328,Работы!$A$2:$A$6000,0))&amp;"",""))</f>
        <v/>
      </c>
      <c r="G328" s="4"/>
      <c r="H328" s="4"/>
      <c r="I328" s="5" t="str">
        <f>IF((LEFT($F328,3)="ДОК"),"",IF($H328="","",IFERROR(INDEX(Материалы!$B$2:$B$9000,MATCH($H328,Материалы!$M$2:$M$9000,0)),"")))</f>
        <v/>
      </c>
      <c r="J328" s="6">
        <f>IF(AND(LEFT($F328,3)="ДОК",$H328&lt;&gt;""),IFERROR(INDEX(Документация!$E$2:$E$57,MATCH($H328,Документация!$F$2:$F$57,0)),0),IFERROR(INDEX(Работы!$H$2:$H$6000,MATCH($C328,Работы!$A$2:$A$6000,0)),0))*(1-MEDIAN(0,N(ДисконтТендер),1))</f>
        <v>0</v>
      </c>
      <c r="K328" s="6">
        <f>IF(OR((LEFT($F328,3)="ДОК"),$H328=""),0,IFERROR(INDEX(Материалы!$H$2:$H$9000,MATCH($H328,Материалы!$M$2:$M$9000,0))*IF(INDEX(Материалы!$I$2:$I$9000,MATCH($H328,Материалы!$M$2:$M$9000,0))="USD",КурсUSD,IF(INDEX(Материалы!$I$2:$I$9000,MATCH($H328,Материалы!$M$2:$M$9000,0))="EUR",КурсEUR,1))*(1+IFERROR(INDEX(Работы!$I$2:$I$6000,MATCH($C328,Работы!$A$2:$A$6000,0))/100,0))*(1-MEDIAN(0,N(ДисконтТендер),1)),0))</f>
        <v>0</v>
      </c>
      <c r="L328" s="6">
        <f t="shared" si="31"/>
        <v>0</v>
      </c>
      <c r="M328" s="6">
        <f t="shared" si="32"/>
        <v>0</v>
      </c>
      <c r="N328" s="6">
        <f t="shared" si="33"/>
        <v>0</v>
      </c>
      <c r="O328" t="str">
        <f>IF($N328&gt;0,MAX($O$1:$O327)+1,"")</f>
        <v/>
      </c>
      <c r="P328" t="str">
        <f>IF($C328="","",IFERROR(INDEX(Работы!$D$2:$D$6000,MATCH($C328,Работы!$A$2:$A$6000,0)),""))</f>
        <v/>
      </c>
      <c r="Q328" t="str">
        <f t="shared" si="34"/>
        <v/>
      </c>
      <c r="R328" t="str">
        <f t="shared" si="35"/>
        <v/>
      </c>
      <c r="S328" t="str">
        <f>IF($P328="","",$P328&amp;" · "&amp;IFERROR(INDEX(Работы!$E$2:$E$6000,MATCH($C328,Работы!$A$2:$A$6000,0)),""))</f>
        <v/>
      </c>
    </row>
    <row r="329" spans="1:19" x14ac:dyDescent="0.3">
      <c r="A329" s="4"/>
      <c r="B329" s="4"/>
      <c r="C329" t="str">
        <f t="shared" si="30"/>
        <v/>
      </c>
      <c r="D329" s="5" t="str">
        <f>IF($C329="","",IF(AND(LEFT($F329,3)="ДОК",$H329&lt;&gt;""),IFERROR(INDEX(Документация!$G$2:$G$57,MATCH($H329,Документация!$F$2:$F$57,0)),"— вариант не найден —"),IFERROR(INDEX(Работы!$B$2:$B$6000,MATCH($C329,Работы!$A$2:$A$6000,0)),"— нет такого кода —")))</f>
        <v/>
      </c>
      <c r="E329" t="str">
        <f>IF($C329="","",IF(AND(LEFT($F329,3)="ДОК",$H329&lt;&gt;""),IFERROR(INDEX(Документация!$D$2:$D$57,MATCH($H329,Документация!$F$2:$F$57,0)),""),IFERROR(INDEX(Работы!$C$2:$C$6000,MATCH($C329,Работы!$A$2:$A$6000,0)),"")))</f>
        <v/>
      </c>
      <c r="F329" t="str">
        <f>IF($C329="","",IFERROR(INDEX(Работы!$G$2:$G$6000,MATCH($C329,Работы!$A$2:$A$6000,0))&amp;"",""))</f>
        <v/>
      </c>
      <c r="G329" s="4"/>
      <c r="H329" s="4"/>
      <c r="I329" s="5" t="str">
        <f>IF((LEFT($F329,3)="ДОК"),"",IF($H329="","",IFERROR(INDEX(Материалы!$B$2:$B$9000,MATCH($H329,Материалы!$M$2:$M$9000,0)),"")))</f>
        <v/>
      </c>
      <c r="J329" s="6">
        <f>IF(AND(LEFT($F329,3)="ДОК",$H329&lt;&gt;""),IFERROR(INDEX(Документация!$E$2:$E$57,MATCH($H329,Документация!$F$2:$F$57,0)),0),IFERROR(INDEX(Работы!$H$2:$H$6000,MATCH($C329,Работы!$A$2:$A$6000,0)),0))*(1-MEDIAN(0,N(ДисконтТендер),1))</f>
        <v>0</v>
      </c>
      <c r="K329" s="6">
        <f>IF(OR((LEFT($F329,3)="ДОК"),$H329=""),0,IFERROR(INDEX(Материалы!$H$2:$H$9000,MATCH($H329,Материалы!$M$2:$M$9000,0))*IF(INDEX(Материалы!$I$2:$I$9000,MATCH($H329,Материалы!$M$2:$M$9000,0))="USD",КурсUSD,IF(INDEX(Материалы!$I$2:$I$9000,MATCH($H329,Материалы!$M$2:$M$9000,0))="EUR",КурсEUR,1))*(1+IFERROR(INDEX(Работы!$I$2:$I$6000,MATCH($C329,Работы!$A$2:$A$6000,0))/100,0))*(1-MEDIAN(0,N(ДисконтТендер),1)),0))</f>
        <v>0</v>
      </c>
      <c r="L329" s="6">
        <f t="shared" si="31"/>
        <v>0</v>
      </c>
      <c r="M329" s="6">
        <f t="shared" si="32"/>
        <v>0</v>
      </c>
      <c r="N329" s="6">
        <f t="shared" si="33"/>
        <v>0</v>
      </c>
      <c r="O329" t="str">
        <f>IF($N329&gt;0,MAX($O$1:$O328)+1,"")</f>
        <v/>
      </c>
      <c r="P329" t="str">
        <f>IF($C329="","",IFERROR(INDEX(Работы!$D$2:$D$6000,MATCH($C329,Работы!$A$2:$A$6000,0)),""))</f>
        <v/>
      </c>
      <c r="Q329" t="str">
        <f t="shared" si="34"/>
        <v/>
      </c>
      <c r="R329" t="str">
        <f t="shared" si="35"/>
        <v/>
      </c>
      <c r="S329" t="str">
        <f>IF($P329="","",$P329&amp;" · "&amp;IFERROR(INDEX(Работы!$E$2:$E$6000,MATCH($C329,Работы!$A$2:$A$6000,0)),""))</f>
        <v/>
      </c>
    </row>
    <row r="330" spans="1:19" x14ac:dyDescent="0.3">
      <c r="A330" s="4"/>
      <c r="B330" s="4"/>
      <c r="C330" t="str">
        <f t="shared" si="30"/>
        <v/>
      </c>
      <c r="D330" s="5" t="str">
        <f>IF($C330="","",IF(AND(LEFT($F330,3)="ДОК",$H330&lt;&gt;""),IFERROR(INDEX(Документация!$G$2:$G$57,MATCH($H330,Документация!$F$2:$F$57,0)),"— вариант не найден —"),IFERROR(INDEX(Работы!$B$2:$B$6000,MATCH($C330,Работы!$A$2:$A$6000,0)),"— нет такого кода —")))</f>
        <v/>
      </c>
      <c r="E330" t="str">
        <f>IF($C330="","",IF(AND(LEFT($F330,3)="ДОК",$H330&lt;&gt;""),IFERROR(INDEX(Документация!$D$2:$D$57,MATCH($H330,Документация!$F$2:$F$57,0)),""),IFERROR(INDEX(Работы!$C$2:$C$6000,MATCH($C330,Работы!$A$2:$A$6000,0)),"")))</f>
        <v/>
      </c>
      <c r="F330" t="str">
        <f>IF($C330="","",IFERROR(INDEX(Работы!$G$2:$G$6000,MATCH($C330,Работы!$A$2:$A$6000,0))&amp;"",""))</f>
        <v/>
      </c>
      <c r="G330" s="4"/>
      <c r="H330" s="4"/>
      <c r="I330" s="5" t="str">
        <f>IF((LEFT($F330,3)="ДОК"),"",IF($H330="","",IFERROR(INDEX(Материалы!$B$2:$B$9000,MATCH($H330,Материалы!$M$2:$M$9000,0)),"")))</f>
        <v/>
      </c>
      <c r="J330" s="6">
        <f>IF(AND(LEFT($F330,3)="ДОК",$H330&lt;&gt;""),IFERROR(INDEX(Документация!$E$2:$E$57,MATCH($H330,Документация!$F$2:$F$57,0)),0),IFERROR(INDEX(Работы!$H$2:$H$6000,MATCH($C330,Работы!$A$2:$A$6000,0)),0))*(1-MEDIAN(0,N(ДисконтТендер),1))</f>
        <v>0</v>
      </c>
      <c r="K330" s="6">
        <f>IF(OR((LEFT($F330,3)="ДОК"),$H330=""),0,IFERROR(INDEX(Материалы!$H$2:$H$9000,MATCH($H330,Материалы!$M$2:$M$9000,0))*IF(INDEX(Материалы!$I$2:$I$9000,MATCH($H330,Материалы!$M$2:$M$9000,0))="USD",КурсUSD,IF(INDEX(Материалы!$I$2:$I$9000,MATCH($H330,Материалы!$M$2:$M$9000,0))="EUR",КурсEUR,1))*(1+IFERROR(INDEX(Работы!$I$2:$I$6000,MATCH($C330,Работы!$A$2:$A$6000,0))/100,0))*(1-MEDIAN(0,N(ДисконтТендер),1)),0))</f>
        <v>0</v>
      </c>
      <c r="L330" s="6">
        <f t="shared" si="31"/>
        <v>0</v>
      </c>
      <c r="M330" s="6">
        <f t="shared" si="32"/>
        <v>0</v>
      </c>
      <c r="N330" s="6">
        <f t="shared" si="33"/>
        <v>0</v>
      </c>
      <c r="O330" t="str">
        <f>IF($N330&gt;0,MAX($O$1:$O329)+1,"")</f>
        <v/>
      </c>
      <c r="P330" t="str">
        <f>IF($C330="","",IFERROR(INDEX(Работы!$D$2:$D$6000,MATCH($C330,Работы!$A$2:$A$6000,0)),""))</f>
        <v/>
      </c>
      <c r="Q330" t="str">
        <f t="shared" si="34"/>
        <v/>
      </c>
      <c r="R330" t="str">
        <f t="shared" si="35"/>
        <v/>
      </c>
      <c r="S330" t="str">
        <f>IF($P330="","",$P330&amp;" · "&amp;IFERROR(INDEX(Работы!$E$2:$E$6000,MATCH($C330,Работы!$A$2:$A$6000,0)),""))</f>
        <v/>
      </c>
    </row>
    <row r="331" spans="1:19" x14ac:dyDescent="0.3">
      <c r="A331" s="4"/>
      <c r="B331" s="4"/>
      <c r="C331" t="str">
        <f t="shared" si="30"/>
        <v/>
      </c>
      <c r="D331" s="5" t="str">
        <f>IF($C331="","",IF(AND(LEFT($F331,3)="ДОК",$H331&lt;&gt;""),IFERROR(INDEX(Документация!$G$2:$G$57,MATCH($H331,Документация!$F$2:$F$57,0)),"— вариант не найден —"),IFERROR(INDEX(Работы!$B$2:$B$6000,MATCH($C331,Работы!$A$2:$A$6000,0)),"— нет такого кода —")))</f>
        <v/>
      </c>
      <c r="E331" t="str">
        <f>IF($C331="","",IF(AND(LEFT($F331,3)="ДОК",$H331&lt;&gt;""),IFERROR(INDEX(Документация!$D$2:$D$57,MATCH($H331,Документация!$F$2:$F$57,0)),""),IFERROR(INDEX(Работы!$C$2:$C$6000,MATCH($C331,Работы!$A$2:$A$6000,0)),"")))</f>
        <v/>
      </c>
      <c r="F331" t="str">
        <f>IF($C331="","",IFERROR(INDEX(Работы!$G$2:$G$6000,MATCH($C331,Работы!$A$2:$A$6000,0))&amp;"",""))</f>
        <v/>
      </c>
      <c r="G331" s="4"/>
      <c r="H331" s="4"/>
      <c r="I331" s="5" t="str">
        <f>IF((LEFT($F331,3)="ДОК"),"",IF($H331="","",IFERROR(INDEX(Материалы!$B$2:$B$9000,MATCH($H331,Материалы!$M$2:$M$9000,0)),"")))</f>
        <v/>
      </c>
      <c r="J331" s="6">
        <f>IF(AND(LEFT($F331,3)="ДОК",$H331&lt;&gt;""),IFERROR(INDEX(Документация!$E$2:$E$57,MATCH($H331,Документация!$F$2:$F$57,0)),0),IFERROR(INDEX(Работы!$H$2:$H$6000,MATCH($C331,Работы!$A$2:$A$6000,0)),0))*(1-MEDIAN(0,N(ДисконтТендер),1))</f>
        <v>0</v>
      </c>
      <c r="K331" s="6">
        <f>IF(OR((LEFT($F331,3)="ДОК"),$H331=""),0,IFERROR(INDEX(Материалы!$H$2:$H$9000,MATCH($H331,Материалы!$M$2:$M$9000,0))*IF(INDEX(Материалы!$I$2:$I$9000,MATCH($H331,Материалы!$M$2:$M$9000,0))="USD",КурсUSD,IF(INDEX(Материалы!$I$2:$I$9000,MATCH($H331,Материалы!$M$2:$M$9000,0))="EUR",КурсEUR,1))*(1+IFERROR(INDEX(Работы!$I$2:$I$6000,MATCH($C331,Работы!$A$2:$A$6000,0))/100,0))*(1-MEDIAN(0,N(ДисконтТендер),1)),0))</f>
        <v>0</v>
      </c>
      <c r="L331" s="6">
        <f t="shared" si="31"/>
        <v>0</v>
      </c>
      <c r="M331" s="6">
        <f t="shared" si="32"/>
        <v>0</v>
      </c>
      <c r="N331" s="6">
        <f t="shared" si="33"/>
        <v>0</v>
      </c>
      <c r="O331" t="str">
        <f>IF($N331&gt;0,MAX($O$1:$O330)+1,"")</f>
        <v/>
      </c>
      <c r="P331" t="str">
        <f>IF($C331="","",IFERROR(INDEX(Работы!$D$2:$D$6000,MATCH($C331,Работы!$A$2:$A$6000,0)),""))</f>
        <v/>
      </c>
      <c r="Q331" t="str">
        <f t="shared" si="34"/>
        <v/>
      </c>
      <c r="R331" t="str">
        <f t="shared" si="35"/>
        <v/>
      </c>
      <c r="S331" t="str">
        <f>IF($P331="","",$P331&amp;" · "&amp;IFERROR(INDEX(Работы!$E$2:$E$6000,MATCH($C331,Работы!$A$2:$A$6000,0)),""))</f>
        <v/>
      </c>
    </row>
    <row r="332" spans="1:19" x14ac:dyDescent="0.3">
      <c r="A332" s="4"/>
      <c r="B332" s="4"/>
      <c r="C332" t="str">
        <f t="shared" si="30"/>
        <v/>
      </c>
      <c r="D332" s="5" t="str">
        <f>IF($C332="","",IF(AND(LEFT($F332,3)="ДОК",$H332&lt;&gt;""),IFERROR(INDEX(Документация!$G$2:$G$57,MATCH($H332,Документация!$F$2:$F$57,0)),"— вариант не найден —"),IFERROR(INDEX(Работы!$B$2:$B$6000,MATCH($C332,Работы!$A$2:$A$6000,0)),"— нет такого кода —")))</f>
        <v/>
      </c>
      <c r="E332" t="str">
        <f>IF($C332="","",IF(AND(LEFT($F332,3)="ДОК",$H332&lt;&gt;""),IFERROR(INDEX(Документация!$D$2:$D$57,MATCH($H332,Документация!$F$2:$F$57,0)),""),IFERROR(INDEX(Работы!$C$2:$C$6000,MATCH($C332,Работы!$A$2:$A$6000,0)),"")))</f>
        <v/>
      </c>
      <c r="F332" t="str">
        <f>IF($C332="","",IFERROR(INDEX(Работы!$G$2:$G$6000,MATCH($C332,Работы!$A$2:$A$6000,0))&amp;"",""))</f>
        <v/>
      </c>
      <c r="G332" s="4"/>
      <c r="H332" s="4"/>
      <c r="I332" s="5" t="str">
        <f>IF((LEFT($F332,3)="ДОК"),"",IF($H332="","",IFERROR(INDEX(Материалы!$B$2:$B$9000,MATCH($H332,Материалы!$M$2:$M$9000,0)),"")))</f>
        <v/>
      </c>
      <c r="J332" s="6">
        <f>IF(AND(LEFT($F332,3)="ДОК",$H332&lt;&gt;""),IFERROR(INDEX(Документация!$E$2:$E$57,MATCH($H332,Документация!$F$2:$F$57,0)),0),IFERROR(INDEX(Работы!$H$2:$H$6000,MATCH($C332,Работы!$A$2:$A$6000,0)),0))*(1-MEDIAN(0,N(ДисконтТендер),1))</f>
        <v>0</v>
      </c>
      <c r="K332" s="6">
        <f>IF(OR((LEFT($F332,3)="ДОК"),$H332=""),0,IFERROR(INDEX(Материалы!$H$2:$H$9000,MATCH($H332,Материалы!$M$2:$M$9000,0))*IF(INDEX(Материалы!$I$2:$I$9000,MATCH($H332,Материалы!$M$2:$M$9000,0))="USD",КурсUSD,IF(INDEX(Материалы!$I$2:$I$9000,MATCH($H332,Материалы!$M$2:$M$9000,0))="EUR",КурсEUR,1))*(1+IFERROR(INDEX(Работы!$I$2:$I$6000,MATCH($C332,Работы!$A$2:$A$6000,0))/100,0))*(1-MEDIAN(0,N(ДисконтТендер),1)),0))</f>
        <v>0</v>
      </c>
      <c r="L332" s="6">
        <f t="shared" si="31"/>
        <v>0</v>
      </c>
      <c r="M332" s="6">
        <f t="shared" si="32"/>
        <v>0</v>
      </c>
      <c r="N332" s="6">
        <f t="shared" si="33"/>
        <v>0</v>
      </c>
      <c r="O332" t="str">
        <f>IF($N332&gt;0,MAX($O$1:$O331)+1,"")</f>
        <v/>
      </c>
      <c r="P332" t="str">
        <f>IF($C332="","",IFERROR(INDEX(Работы!$D$2:$D$6000,MATCH($C332,Работы!$A$2:$A$6000,0)),""))</f>
        <v/>
      </c>
      <c r="Q332" t="str">
        <f t="shared" si="34"/>
        <v/>
      </c>
      <c r="R332" t="str">
        <f t="shared" si="35"/>
        <v/>
      </c>
      <c r="S332" t="str">
        <f>IF($P332="","",$P332&amp;" · "&amp;IFERROR(INDEX(Работы!$E$2:$E$6000,MATCH($C332,Работы!$A$2:$A$6000,0)),""))</f>
        <v/>
      </c>
    </row>
    <row r="333" spans="1:19" x14ac:dyDescent="0.3">
      <c r="A333" s="4"/>
      <c r="B333" s="4"/>
      <c r="C333" t="str">
        <f t="shared" si="30"/>
        <v/>
      </c>
      <c r="D333" s="5" t="str">
        <f>IF($C333="","",IF(AND(LEFT($F333,3)="ДОК",$H333&lt;&gt;""),IFERROR(INDEX(Документация!$G$2:$G$57,MATCH($H333,Документация!$F$2:$F$57,0)),"— вариант не найден —"),IFERROR(INDEX(Работы!$B$2:$B$6000,MATCH($C333,Работы!$A$2:$A$6000,0)),"— нет такого кода —")))</f>
        <v/>
      </c>
      <c r="E333" t="str">
        <f>IF($C333="","",IF(AND(LEFT($F333,3)="ДОК",$H333&lt;&gt;""),IFERROR(INDEX(Документация!$D$2:$D$57,MATCH($H333,Документация!$F$2:$F$57,0)),""),IFERROR(INDEX(Работы!$C$2:$C$6000,MATCH($C333,Работы!$A$2:$A$6000,0)),"")))</f>
        <v/>
      </c>
      <c r="F333" t="str">
        <f>IF($C333="","",IFERROR(INDEX(Работы!$G$2:$G$6000,MATCH($C333,Работы!$A$2:$A$6000,0))&amp;"",""))</f>
        <v/>
      </c>
      <c r="G333" s="4"/>
      <c r="H333" s="4"/>
      <c r="I333" s="5" t="str">
        <f>IF((LEFT($F333,3)="ДОК"),"",IF($H333="","",IFERROR(INDEX(Материалы!$B$2:$B$9000,MATCH($H333,Материалы!$M$2:$M$9000,0)),"")))</f>
        <v/>
      </c>
      <c r="J333" s="6">
        <f>IF(AND(LEFT($F333,3)="ДОК",$H333&lt;&gt;""),IFERROR(INDEX(Документация!$E$2:$E$57,MATCH($H333,Документация!$F$2:$F$57,0)),0),IFERROR(INDEX(Работы!$H$2:$H$6000,MATCH($C333,Работы!$A$2:$A$6000,0)),0))*(1-MEDIAN(0,N(ДисконтТендер),1))</f>
        <v>0</v>
      </c>
      <c r="K333" s="6">
        <f>IF(OR((LEFT($F333,3)="ДОК"),$H333=""),0,IFERROR(INDEX(Материалы!$H$2:$H$9000,MATCH($H333,Материалы!$M$2:$M$9000,0))*IF(INDEX(Материалы!$I$2:$I$9000,MATCH($H333,Материалы!$M$2:$M$9000,0))="USD",КурсUSD,IF(INDEX(Материалы!$I$2:$I$9000,MATCH($H333,Материалы!$M$2:$M$9000,0))="EUR",КурсEUR,1))*(1+IFERROR(INDEX(Работы!$I$2:$I$6000,MATCH($C333,Работы!$A$2:$A$6000,0))/100,0))*(1-MEDIAN(0,N(ДисконтТендер),1)),0))</f>
        <v>0</v>
      </c>
      <c r="L333" s="6">
        <f t="shared" si="31"/>
        <v>0</v>
      </c>
      <c r="M333" s="6">
        <f t="shared" si="32"/>
        <v>0</v>
      </c>
      <c r="N333" s="6">
        <f t="shared" si="33"/>
        <v>0</v>
      </c>
      <c r="O333" t="str">
        <f>IF($N333&gt;0,MAX($O$1:$O332)+1,"")</f>
        <v/>
      </c>
      <c r="P333" t="str">
        <f>IF($C333="","",IFERROR(INDEX(Работы!$D$2:$D$6000,MATCH($C333,Работы!$A$2:$A$6000,0)),""))</f>
        <v/>
      </c>
      <c r="Q333" t="str">
        <f t="shared" si="34"/>
        <v/>
      </c>
      <c r="R333" t="str">
        <f t="shared" si="35"/>
        <v/>
      </c>
      <c r="S333" t="str">
        <f>IF($P333="","",$P333&amp;" · "&amp;IFERROR(INDEX(Работы!$E$2:$E$6000,MATCH($C333,Работы!$A$2:$A$6000,0)),""))</f>
        <v/>
      </c>
    </row>
    <row r="334" spans="1:19" x14ac:dyDescent="0.3">
      <c r="A334" s="4"/>
      <c r="B334" s="4"/>
      <c r="C334" t="str">
        <f t="shared" si="30"/>
        <v/>
      </c>
      <c r="D334" s="5" t="str">
        <f>IF($C334="","",IF(AND(LEFT($F334,3)="ДОК",$H334&lt;&gt;""),IFERROR(INDEX(Документация!$G$2:$G$57,MATCH($H334,Документация!$F$2:$F$57,0)),"— вариант не найден —"),IFERROR(INDEX(Работы!$B$2:$B$6000,MATCH($C334,Работы!$A$2:$A$6000,0)),"— нет такого кода —")))</f>
        <v/>
      </c>
      <c r="E334" t="str">
        <f>IF($C334="","",IF(AND(LEFT($F334,3)="ДОК",$H334&lt;&gt;""),IFERROR(INDEX(Документация!$D$2:$D$57,MATCH($H334,Документация!$F$2:$F$57,0)),""),IFERROR(INDEX(Работы!$C$2:$C$6000,MATCH($C334,Работы!$A$2:$A$6000,0)),"")))</f>
        <v/>
      </c>
      <c r="F334" t="str">
        <f>IF($C334="","",IFERROR(INDEX(Работы!$G$2:$G$6000,MATCH($C334,Работы!$A$2:$A$6000,0))&amp;"",""))</f>
        <v/>
      </c>
      <c r="G334" s="4"/>
      <c r="H334" s="4"/>
      <c r="I334" s="5" t="str">
        <f>IF((LEFT($F334,3)="ДОК"),"",IF($H334="","",IFERROR(INDEX(Материалы!$B$2:$B$9000,MATCH($H334,Материалы!$M$2:$M$9000,0)),"")))</f>
        <v/>
      </c>
      <c r="J334" s="6">
        <f>IF(AND(LEFT($F334,3)="ДОК",$H334&lt;&gt;""),IFERROR(INDEX(Документация!$E$2:$E$57,MATCH($H334,Документация!$F$2:$F$57,0)),0),IFERROR(INDEX(Работы!$H$2:$H$6000,MATCH($C334,Работы!$A$2:$A$6000,0)),0))*(1-MEDIAN(0,N(ДисконтТендер),1))</f>
        <v>0</v>
      </c>
      <c r="K334" s="6">
        <f>IF(OR((LEFT($F334,3)="ДОК"),$H334=""),0,IFERROR(INDEX(Материалы!$H$2:$H$9000,MATCH($H334,Материалы!$M$2:$M$9000,0))*IF(INDEX(Материалы!$I$2:$I$9000,MATCH($H334,Материалы!$M$2:$M$9000,0))="USD",КурсUSD,IF(INDEX(Материалы!$I$2:$I$9000,MATCH($H334,Материалы!$M$2:$M$9000,0))="EUR",КурсEUR,1))*(1+IFERROR(INDEX(Работы!$I$2:$I$6000,MATCH($C334,Работы!$A$2:$A$6000,0))/100,0))*(1-MEDIAN(0,N(ДисконтТендер),1)),0))</f>
        <v>0</v>
      </c>
      <c r="L334" s="6">
        <f t="shared" si="31"/>
        <v>0</v>
      </c>
      <c r="M334" s="6">
        <f t="shared" si="32"/>
        <v>0</v>
      </c>
      <c r="N334" s="6">
        <f t="shared" si="33"/>
        <v>0</v>
      </c>
      <c r="O334" t="str">
        <f>IF($N334&gt;0,MAX($O$1:$O333)+1,"")</f>
        <v/>
      </c>
      <c r="P334" t="str">
        <f>IF($C334="","",IFERROR(INDEX(Работы!$D$2:$D$6000,MATCH($C334,Работы!$A$2:$A$6000,0)),""))</f>
        <v/>
      </c>
      <c r="Q334" t="str">
        <f t="shared" si="34"/>
        <v/>
      </c>
      <c r="R334" t="str">
        <f t="shared" si="35"/>
        <v/>
      </c>
      <c r="S334" t="str">
        <f>IF($P334="","",$P334&amp;" · "&amp;IFERROR(INDEX(Работы!$E$2:$E$6000,MATCH($C334,Работы!$A$2:$A$6000,0)),""))</f>
        <v/>
      </c>
    </row>
    <row r="335" spans="1:19" x14ac:dyDescent="0.3">
      <c r="A335" s="4"/>
      <c r="B335" s="4"/>
      <c r="C335" t="str">
        <f t="shared" si="30"/>
        <v/>
      </c>
      <c r="D335" s="5" t="str">
        <f>IF($C335="","",IF(AND(LEFT($F335,3)="ДОК",$H335&lt;&gt;""),IFERROR(INDEX(Документация!$G$2:$G$57,MATCH($H335,Документация!$F$2:$F$57,0)),"— вариант не найден —"),IFERROR(INDEX(Работы!$B$2:$B$6000,MATCH($C335,Работы!$A$2:$A$6000,0)),"— нет такого кода —")))</f>
        <v/>
      </c>
      <c r="E335" t="str">
        <f>IF($C335="","",IF(AND(LEFT($F335,3)="ДОК",$H335&lt;&gt;""),IFERROR(INDEX(Документация!$D$2:$D$57,MATCH($H335,Документация!$F$2:$F$57,0)),""),IFERROR(INDEX(Работы!$C$2:$C$6000,MATCH($C335,Работы!$A$2:$A$6000,0)),"")))</f>
        <v/>
      </c>
      <c r="F335" t="str">
        <f>IF($C335="","",IFERROR(INDEX(Работы!$G$2:$G$6000,MATCH($C335,Работы!$A$2:$A$6000,0))&amp;"",""))</f>
        <v/>
      </c>
      <c r="G335" s="4"/>
      <c r="H335" s="4"/>
      <c r="I335" s="5" t="str">
        <f>IF((LEFT($F335,3)="ДОК"),"",IF($H335="","",IFERROR(INDEX(Материалы!$B$2:$B$9000,MATCH($H335,Материалы!$M$2:$M$9000,0)),"")))</f>
        <v/>
      </c>
      <c r="J335" s="6">
        <f>IF(AND(LEFT($F335,3)="ДОК",$H335&lt;&gt;""),IFERROR(INDEX(Документация!$E$2:$E$57,MATCH($H335,Документация!$F$2:$F$57,0)),0),IFERROR(INDEX(Работы!$H$2:$H$6000,MATCH($C335,Работы!$A$2:$A$6000,0)),0))*(1-MEDIAN(0,N(ДисконтТендер),1))</f>
        <v>0</v>
      </c>
      <c r="K335" s="6">
        <f>IF(OR((LEFT($F335,3)="ДОК"),$H335=""),0,IFERROR(INDEX(Материалы!$H$2:$H$9000,MATCH($H335,Материалы!$M$2:$M$9000,0))*IF(INDEX(Материалы!$I$2:$I$9000,MATCH($H335,Материалы!$M$2:$M$9000,0))="USD",КурсUSD,IF(INDEX(Материалы!$I$2:$I$9000,MATCH($H335,Материалы!$M$2:$M$9000,0))="EUR",КурсEUR,1))*(1+IFERROR(INDEX(Работы!$I$2:$I$6000,MATCH($C335,Работы!$A$2:$A$6000,0))/100,0))*(1-MEDIAN(0,N(ДисконтТендер),1)),0))</f>
        <v>0</v>
      </c>
      <c r="L335" s="6">
        <f t="shared" si="31"/>
        <v>0</v>
      </c>
      <c r="M335" s="6">
        <f t="shared" si="32"/>
        <v>0</v>
      </c>
      <c r="N335" s="6">
        <f t="shared" si="33"/>
        <v>0</v>
      </c>
      <c r="O335" t="str">
        <f>IF($N335&gt;0,MAX($O$1:$O334)+1,"")</f>
        <v/>
      </c>
      <c r="P335" t="str">
        <f>IF($C335="","",IFERROR(INDEX(Работы!$D$2:$D$6000,MATCH($C335,Работы!$A$2:$A$6000,0)),""))</f>
        <v/>
      </c>
      <c r="Q335" t="str">
        <f t="shared" si="34"/>
        <v/>
      </c>
      <c r="R335" t="str">
        <f t="shared" si="35"/>
        <v/>
      </c>
      <c r="S335" t="str">
        <f>IF($P335="","",$P335&amp;" · "&amp;IFERROR(INDEX(Работы!$E$2:$E$6000,MATCH($C335,Работы!$A$2:$A$6000,0)),""))</f>
        <v/>
      </c>
    </row>
    <row r="336" spans="1:19" x14ac:dyDescent="0.3">
      <c r="A336" s="4"/>
      <c r="B336" s="4"/>
      <c r="C336" t="str">
        <f t="shared" si="30"/>
        <v/>
      </c>
      <c r="D336" s="5" t="str">
        <f>IF($C336="","",IF(AND(LEFT($F336,3)="ДОК",$H336&lt;&gt;""),IFERROR(INDEX(Документация!$G$2:$G$57,MATCH($H336,Документация!$F$2:$F$57,0)),"— вариант не найден —"),IFERROR(INDEX(Работы!$B$2:$B$6000,MATCH($C336,Работы!$A$2:$A$6000,0)),"— нет такого кода —")))</f>
        <v/>
      </c>
      <c r="E336" t="str">
        <f>IF($C336="","",IF(AND(LEFT($F336,3)="ДОК",$H336&lt;&gt;""),IFERROR(INDEX(Документация!$D$2:$D$57,MATCH($H336,Документация!$F$2:$F$57,0)),""),IFERROR(INDEX(Работы!$C$2:$C$6000,MATCH($C336,Работы!$A$2:$A$6000,0)),"")))</f>
        <v/>
      </c>
      <c r="F336" t="str">
        <f>IF($C336="","",IFERROR(INDEX(Работы!$G$2:$G$6000,MATCH($C336,Работы!$A$2:$A$6000,0))&amp;"",""))</f>
        <v/>
      </c>
      <c r="G336" s="4"/>
      <c r="H336" s="4"/>
      <c r="I336" s="5" t="str">
        <f>IF((LEFT($F336,3)="ДОК"),"",IF($H336="","",IFERROR(INDEX(Материалы!$B$2:$B$9000,MATCH($H336,Материалы!$M$2:$M$9000,0)),"")))</f>
        <v/>
      </c>
      <c r="J336" s="6">
        <f>IF(AND(LEFT($F336,3)="ДОК",$H336&lt;&gt;""),IFERROR(INDEX(Документация!$E$2:$E$57,MATCH($H336,Документация!$F$2:$F$57,0)),0),IFERROR(INDEX(Работы!$H$2:$H$6000,MATCH($C336,Работы!$A$2:$A$6000,0)),0))*(1-MEDIAN(0,N(ДисконтТендер),1))</f>
        <v>0</v>
      </c>
      <c r="K336" s="6">
        <f>IF(OR((LEFT($F336,3)="ДОК"),$H336=""),0,IFERROR(INDEX(Материалы!$H$2:$H$9000,MATCH($H336,Материалы!$M$2:$M$9000,0))*IF(INDEX(Материалы!$I$2:$I$9000,MATCH($H336,Материалы!$M$2:$M$9000,0))="USD",КурсUSD,IF(INDEX(Материалы!$I$2:$I$9000,MATCH($H336,Материалы!$M$2:$M$9000,0))="EUR",КурсEUR,1))*(1+IFERROR(INDEX(Работы!$I$2:$I$6000,MATCH($C336,Работы!$A$2:$A$6000,0))/100,0))*(1-MEDIAN(0,N(ДисконтТендер),1)),0))</f>
        <v>0</v>
      </c>
      <c r="L336" s="6">
        <f t="shared" si="31"/>
        <v>0</v>
      </c>
      <c r="M336" s="6">
        <f t="shared" si="32"/>
        <v>0</v>
      </c>
      <c r="N336" s="6">
        <f t="shared" si="33"/>
        <v>0</v>
      </c>
      <c r="O336" t="str">
        <f>IF($N336&gt;0,MAX($O$1:$O335)+1,"")</f>
        <v/>
      </c>
      <c r="P336" t="str">
        <f>IF($C336="","",IFERROR(INDEX(Работы!$D$2:$D$6000,MATCH($C336,Работы!$A$2:$A$6000,0)),""))</f>
        <v/>
      </c>
      <c r="Q336" t="str">
        <f t="shared" si="34"/>
        <v/>
      </c>
      <c r="R336" t="str">
        <f t="shared" si="35"/>
        <v/>
      </c>
      <c r="S336" t="str">
        <f>IF($P336="","",$P336&amp;" · "&amp;IFERROR(INDEX(Работы!$E$2:$E$6000,MATCH($C336,Работы!$A$2:$A$6000,0)),""))</f>
        <v/>
      </c>
    </row>
    <row r="337" spans="1:19" x14ac:dyDescent="0.3">
      <c r="A337" s="4"/>
      <c r="B337" s="4"/>
      <c r="C337" t="str">
        <f t="shared" si="30"/>
        <v/>
      </c>
      <c r="D337" s="5" t="str">
        <f>IF($C337="","",IF(AND(LEFT($F337,3)="ДОК",$H337&lt;&gt;""),IFERROR(INDEX(Документация!$G$2:$G$57,MATCH($H337,Документация!$F$2:$F$57,0)),"— вариант не найден —"),IFERROR(INDEX(Работы!$B$2:$B$6000,MATCH($C337,Работы!$A$2:$A$6000,0)),"— нет такого кода —")))</f>
        <v/>
      </c>
      <c r="E337" t="str">
        <f>IF($C337="","",IF(AND(LEFT($F337,3)="ДОК",$H337&lt;&gt;""),IFERROR(INDEX(Документация!$D$2:$D$57,MATCH($H337,Документация!$F$2:$F$57,0)),""),IFERROR(INDEX(Работы!$C$2:$C$6000,MATCH($C337,Работы!$A$2:$A$6000,0)),"")))</f>
        <v/>
      </c>
      <c r="F337" t="str">
        <f>IF($C337="","",IFERROR(INDEX(Работы!$G$2:$G$6000,MATCH($C337,Работы!$A$2:$A$6000,0))&amp;"",""))</f>
        <v/>
      </c>
      <c r="G337" s="4"/>
      <c r="H337" s="4"/>
      <c r="I337" s="5" t="str">
        <f>IF((LEFT($F337,3)="ДОК"),"",IF($H337="","",IFERROR(INDEX(Материалы!$B$2:$B$9000,MATCH($H337,Материалы!$M$2:$M$9000,0)),"")))</f>
        <v/>
      </c>
      <c r="J337" s="6">
        <f>IF(AND(LEFT($F337,3)="ДОК",$H337&lt;&gt;""),IFERROR(INDEX(Документация!$E$2:$E$57,MATCH($H337,Документация!$F$2:$F$57,0)),0),IFERROR(INDEX(Работы!$H$2:$H$6000,MATCH($C337,Работы!$A$2:$A$6000,0)),0))*(1-MEDIAN(0,N(ДисконтТендер),1))</f>
        <v>0</v>
      </c>
      <c r="K337" s="6">
        <f>IF(OR((LEFT($F337,3)="ДОК"),$H337=""),0,IFERROR(INDEX(Материалы!$H$2:$H$9000,MATCH($H337,Материалы!$M$2:$M$9000,0))*IF(INDEX(Материалы!$I$2:$I$9000,MATCH($H337,Материалы!$M$2:$M$9000,0))="USD",КурсUSD,IF(INDEX(Материалы!$I$2:$I$9000,MATCH($H337,Материалы!$M$2:$M$9000,0))="EUR",КурсEUR,1))*(1+IFERROR(INDEX(Работы!$I$2:$I$6000,MATCH($C337,Работы!$A$2:$A$6000,0))/100,0))*(1-MEDIAN(0,N(ДисконтТендер),1)),0))</f>
        <v>0</v>
      </c>
      <c r="L337" s="6">
        <f t="shared" si="31"/>
        <v>0</v>
      </c>
      <c r="M337" s="6">
        <f t="shared" si="32"/>
        <v>0</v>
      </c>
      <c r="N337" s="6">
        <f t="shared" si="33"/>
        <v>0</v>
      </c>
      <c r="O337" t="str">
        <f>IF($N337&gt;0,MAX($O$1:$O336)+1,"")</f>
        <v/>
      </c>
      <c r="P337" t="str">
        <f>IF($C337="","",IFERROR(INDEX(Работы!$D$2:$D$6000,MATCH($C337,Работы!$A$2:$A$6000,0)),""))</f>
        <v/>
      </c>
      <c r="Q337" t="str">
        <f t="shared" si="34"/>
        <v/>
      </c>
      <c r="R337" t="str">
        <f t="shared" si="35"/>
        <v/>
      </c>
      <c r="S337" t="str">
        <f>IF($P337="","",$P337&amp;" · "&amp;IFERROR(INDEX(Работы!$E$2:$E$6000,MATCH($C337,Работы!$A$2:$A$6000,0)),""))</f>
        <v/>
      </c>
    </row>
    <row r="338" spans="1:19" x14ac:dyDescent="0.3">
      <c r="A338" s="4"/>
      <c r="B338" s="4"/>
      <c r="C338" t="str">
        <f t="shared" si="30"/>
        <v/>
      </c>
      <c r="D338" s="5" t="str">
        <f>IF($C338="","",IF(AND(LEFT($F338,3)="ДОК",$H338&lt;&gt;""),IFERROR(INDEX(Документация!$G$2:$G$57,MATCH($H338,Документация!$F$2:$F$57,0)),"— вариант не найден —"),IFERROR(INDEX(Работы!$B$2:$B$6000,MATCH($C338,Работы!$A$2:$A$6000,0)),"— нет такого кода —")))</f>
        <v/>
      </c>
      <c r="E338" t="str">
        <f>IF($C338="","",IF(AND(LEFT($F338,3)="ДОК",$H338&lt;&gt;""),IFERROR(INDEX(Документация!$D$2:$D$57,MATCH($H338,Документация!$F$2:$F$57,0)),""),IFERROR(INDEX(Работы!$C$2:$C$6000,MATCH($C338,Работы!$A$2:$A$6000,0)),"")))</f>
        <v/>
      </c>
      <c r="F338" t="str">
        <f>IF($C338="","",IFERROR(INDEX(Работы!$G$2:$G$6000,MATCH($C338,Работы!$A$2:$A$6000,0))&amp;"",""))</f>
        <v/>
      </c>
      <c r="G338" s="4"/>
      <c r="H338" s="4"/>
      <c r="I338" s="5" t="str">
        <f>IF((LEFT($F338,3)="ДОК"),"",IF($H338="","",IFERROR(INDEX(Материалы!$B$2:$B$9000,MATCH($H338,Материалы!$M$2:$M$9000,0)),"")))</f>
        <v/>
      </c>
      <c r="J338" s="6">
        <f>IF(AND(LEFT($F338,3)="ДОК",$H338&lt;&gt;""),IFERROR(INDEX(Документация!$E$2:$E$57,MATCH($H338,Документация!$F$2:$F$57,0)),0),IFERROR(INDEX(Работы!$H$2:$H$6000,MATCH($C338,Работы!$A$2:$A$6000,0)),0))*(1-MEDIAN(0,N(ДисконтТендер),1))</f>
        <v>0</v>
      </c>
      <c r="K338" s="6">
        <f>IF(OR((LEFT($F338,3)="ДОК"),$H338=""),0,IFERROR(INDEX(Материалы!$H$2:$H$9000,MATCH($H338,Материалы!$M$2:$M$9000,0))*IF(INDEX(Материалы!$I$2:$I$9000,MATCH($H338,Материалы!$M$2:$M$9000,0))="USD",КурсUSD,IF(INDEX(Материалы!$I$2:$I$9000,MATCH($H338,Материалы!$M$2:$M$9000,0))="EUR",КурсEUR,1))*(1+IFERROR(INDEX(Работы!$I$2:$I$6000,MATCH($C338,Работы!$A$2:$A$6000,0))/100,0))*(1-MEDIAN(0,N(ДисконтТендер),1)),0))</f>
        <v>0</v>
      </c>
      <c r="L338" s="6">
        <f t="shared" si="31"/>
        <v>0</v>
      </c>
      <c r="M338" s="6">
        <f t="shared" si="32"/>
        <v>0</v>
      </c>
      <c r="N338" s="6">
        <f t="shared" si="33"/>
        <v>0</v>
      </c>
      <c r="O338" t="str">
        <f>IF($N338&gt;0,MAX($O$1:$O337)+1,"")</f>
        <v/>
      </c>
      <c r="P338" t="str">
        <f>IF($C338="","",IFERROR(INDEX(Работы!$D$2:$D$6000,MATCH($C338,Работы!$A$2:$A$6000,0)),""))</f>
        <v/>
      </c>
      <c r="Q338" t="str">
        <f t="shared" si="34"/>
        <v/>
      </c>
      <c r="R338" t="str">
        <f t="shared" si="35"/>
        <v/>
      </c>
      <c r="S338" t="str">
        <f>IF($P338="","",$P338&amp;" · "&amp;IFERROR(INDEX(Работы!$E$2:$E$6000,MATCH($C338,Работы!$A$2:$A$6000,0)),""))</f>
        <v/>
      </c>
    </row>
    <row r="339" spans="1:19" x14ac:dyDescent="0.3">
      <c r="A339" s="4"/>
      <c r="B339" s="4"/>
      <c r="C339" t="str">
        <f t="shared" si="30"/>
        <v/>
      </c>
      <c r="D339" s="5" t="str">
        <f>IF($C339="","",IF(AND(LEFT($F339,3)="ДОК",$H339&lt;&gt;""),IFERROR(INDEX(Документация!$G$2:$G$57,MATCH($H339,Документация!$F$2:$F$57,0)),"— вариант не найден —"),IFERROR(INDEX(Работы!$B$2:$B$6000,MATCH($C339,Работы!$A$2:$A$6000,0)),"— нет такого кода —")))</f>
        <v/>
      </c>
      <c r="E339" t="str">
        <f>IF($C339="","",IF(AND(LEFT($F339,3)="ДОК",$H339&lt;&gt;""),IFERROR(INDEX(Документация!$D$2:$D$57,MATCH($H339,Документация!$F$2:$F$57,0)),""),IFERROR(INDEX(Работы!$C$2:$C$6000,MATCH($C339,Работы!$A$2:$A$6000,0)),"")))</f>
        <v/>
      </c>
      <c r="F339" t="str">
        <f>IF($C339="","",IFERROR(INDEX(Работы!$G$2:$G$6000,MATCH($C339,Работы!$A$2:$A$6000,0))&amp;"",""))</f>
        <v/>
      </c>
      <c r="G339" s="4"/>
      <c r="H339" s="4"/>
      <c r="I339" s="5" t="str">
        <f>IF((LEFT($F339,3)="ДОК"),"",IF($H339="","",IFERROR(INDEX(Материалы!$B$2:$B$9000,MATCH($H339,Материалы!$M$2:$M$9000,0)),"")))</f>
        <v/>
      </c>
      <c r="J339" s="6">
        <f>IF(AND(LEFT($F339,3)="ДОК",$H339&lt;&gt;""),IFERROR(INDEX(Документация!$E$2:$E$57,MATCH($H339,Документация!$F$2:$F$57,0)),0),IFERROR(INDEX(Работы!$H$2:$H$6000,MATCH($C339,Работы!$A$2:$A$6000,0)),0))*(1-MEDIAN(0,N(ДисконтТендер),1))</f>
        <v>0</v>
      </c>
      <c r="K339" s="6">
        <f>IF(OR((LEFT($F339,3)="ДОК"),$H339=""),0,IFERROR(INDEX(Материалы!$H$2:$H$9000,MATCH($H339,Материалы!$M$2:$M$9000,0))*IF(INDEX(Материалы!$I$2:$I$9000,MATCH($H339,Материалы!$M$2:$M$9000,0))="USD",КурсUSD,IF(INDEX(Материалы!$I$2:$I$9000,MATCH($H339,Материалы!$M$2:$M$9000,0))="EUR",КурсEUR,1))*(1+IFERROR(INDEX(Работы!$I$2:$I$6000,MATCH($C339,Работы!$A$2:$A$6000,0))/100,0))*(1-MEDIAN(0,N(ДисконтТендер),1)),0))</f>
        <v>0</v>
      </c>
      <c r="L339" s="6">
        <f t="shared" si="31"/>
        <v>0</v>
      </c>
      <c r="M339" s="6">
        <f t="shared" si="32"/>
        <v>0</v>
      </c>
      <c r="N339" s="6">
        <f t="shared" si="33"/>
        <v>0</v>
      </c>
      <c r="O339" t="str">
        <f>IF($N339&gt;0,MAX($O$1:$O338)+1,"")</f>
        <v/>
      </c>
      <c r="P339" t="str">
        <f>IF($C339="","",IFERROR(INDEX(Работы!$D$2:$D$6000,MATCH($C339,Работы!$A$2:$A$6000,0)),""))</f>
        <v/>
      </c>
      <c r="Q339" t="str">
        <f t="shared" si="34"/>
        <v/>
      </c>
      <c r="R339" t="str">
        <f t="shared" si="35"/>
        <v/>
      </c>
      <c r="S339" t="str">
        <f>IF($P339="","",$P339&amp;" · "&amp;IFERROR(INDEX(Работы!$E$2:$E$6000,MATCH($C339,Работы!$A$2:$A$6000,0)),""))</f>
        <v/>
      </c>
    </row>
    <row r="340" spans="1:19" x14ac:dyDescent="0.3">
      <c r="A340" s="4"/>
      <c r="B340" s="4"/>
      <c r="C340" t="str">
        <f t="shared" si="30"/>
        <v/>
      </c>
      <c r="D340" s="5" t="str">
        <f>IF($C340="","",IF(AND(LEFT($F340,3)="ДОК",$H340&lt;&gt;""),IFERROR(INDEX(Документация!$G$2:$G$57,MATCH($H340,Документация!$F$2:$F$57,0)),"— вариант не найден —"),IFERROR(INDEX(Работы!$B$2:$B$6000,MATCH($C340,Работы!$A$2:$A$6000,0)),"— нет такого кода —")))</f>
        <v/>
      </c>
      <c r="E340" t="str">
        <f>IF($C340="","",IF(AND(LEFT($F340,3)="ДОК",$H340&lt;&gt;""),IFERROR(INDEX(Документация!$D$2:$D$57,MATCH($H340,Документация!$F$2:$F$57,0)),""),IFERROR(INDEX(Работы!$C$2:$C$6000,MATCH($C340,Работы!$A$2:$A$6000,0)),"")))</f>
        <v/>
      </c>
      <c r="F340" t="str">
        <f>IF($C340="","",IFERROR(INDEX(Работы!$G$2:$G$6000,MATCH($C340,Работы!$A$2:$A$6000,0))&amp;"",""))</f>
        <v/>
      </c>
      <c r="G340" s="4"/>
      <c r="H340" s="4"/>
      <c r="I340" s="5" t="str">
        <f>IF((LEFT($F340,3)="ДОК"),"",IF($H340="","",IFERROR(INDEX(Материалы!$B$2:$B$9000,MATCH($H340,Материалы!$M$2:$M$9000,0)),"")))</f>
        <v/>
      </c>
      <c r="J340" s="6">
        <f>IF(AND(LEFT($F340,3)="ДОК",$H340&lt;&gt;""),IFERROR(INDEX(Документация!$E$2:$E$57,MATCH($H340,Документация!$F$2:$F$57,0)),0),IFERROR(INDEX(Работы!$H$2:$H$6000,MATCH($C340,Работы!$A$2:$A$6000,0)),0))*(1-MEDIAN(0,N(ДисконтТендер),1))</f>
        <v>0</v>
      </c>
      <c r="K340" s="6">
        <f>IF(OR((LEFT($F340,3)="ДОК"),$H340=""),0,IFERROR(INDEX(Материалы!$H$2:$H$9000,MATCH($H340,Материалы!$M$2:$M$9000,0))*IF(INDEX(Материалы!$I$2:$I$9000,MATCH($H340,Материалы!$M$2:$M$9000,0))="USD",КурсUSD,IF(INDEX(Материалы!$I$2:$I$9000,MATCH($H340,Материалы!$M$2:$M$9000,0))="EUR",КурсEUR,1))*(1+IFERROR(INDEX(Работы!$I$2:$I$6000,MATCH($C340,Работы!$A$2:$A$6000,0))/100,0))*(1-MEDIAN(0,N(ДисконтТендер),1)),0))</f>
        <v>0</v>
      </c>
      <c r="L340" s="6">
        <f t="shared" si="31"/>
        <v>0</v>
      </c>
      <c r="M340" s="6">
        <f t="shared" si="32"/>
        <v>0</v>
      </c>
      <c r="N340" s="6">
        <f t="shared" si="33"/>
        <v>0</v>
      </c>
      <c r="O340" t="str">
        <f>IF($N340&gt;0,MAX($O$1:$O339)+1,"")</f>
        <v/>
      </c>
      <c r="P340" t="str">
        <f>IF($C340="","",IFERROR(INDEX(Работы!$D$2:$D$6000,MATCH($C340,Работы!$A$2:$A$6000,0)),""))</f>
        <v/>
      </c>
      <c r="Q340" t="str">
        <f t="shared" si="34"/>
        <v/>
      </c>
      <c r="R340" t="str">
        <f t="shared" si="35"/>
        <v/>
      </c>
      <c r="S340" t="str">
        <f>IF($P340="","",$P340&amp;" · "&amp;IFERROR(INDEX(Работы!$E$2:$E$6000,MATCH($C340,Работы!$A$2:$A$6000,0)),""))</f>
        <v/>
      </c>
    </row>
    <row r="341" spans="1:19" x14ac:dyDescent="0.3">
      <c r="A341" s="4"/>
      <c r="B341" s="4"/>
      <c r="C341" t="str">
        <f t="shared" si="30"/>
        <v/>
      </c>
      <c r="D341" s="5" t="str">
        <f>IF($C341="","",IF(AND(LEFT($F341,3)="ДОК",$H341&lt;&gt;""),IFERROR(INDEX(Документация!$G$2:$G$57,MATCH($H341,Документация!$F$2:$F$57,0)),"— вариант не найден —"),IFERROR(INDEX(Работы!$B$2:$B$6000,MATCH($C341,Работы!$A$2:$A$6000,0)),"— нет такого кода —")))</f>
        <v/>
      </c>
      <c r="E341" t="str">
        <f>IF($C341="","",IF(AND(LEFT($F341,3)="ДОК",$H341&lt;&gt;""),IFERROR(INDEX(Документация!$D$2:$D$57,MATCH($H341,Документация!$F$2:$F$57,0)),""),IFERROR(INDEX(Работы!$C$2:$C$6000,MATCH($C341,Работы!$A$2:$A$6000,0)),"")))</f>
        <v/>
      </c>
      <c r="F341" t="str">
        <f>IF($C341="","",IFERROR(INDEX(Работы!$G$2:$G$6000,MATCH($C341,Работы!$A$2:$A$6000,0))&amp;"",""))</f>
        <v/>
      </c>
      <c r="G341" s="4"/>
      <c r="H341" s="4"/>
      <c r="I341" s="5" t="str">
        <f>IF((LEFT($F341,3)="ДОК"),"",IF($H341="","",IFERROR(INDEX(Материалы!$B$2:$B$9000,MATCH($H341,Материалы!$M$2:$M$9000,0)),"")))</f>
        <v/>
      </c>
      <c r="J341" s="6">
        <f>IF(AND(LEFT($F341,3)="ДОК",$H341&lt;&gt;""),IFERROR(INDEX(Документация!$E$2:$E$57,MATCH($H341,Документация!$F$2:$F$57,0)),0),IFERROR(INDEX(Работы!$H$2:$H$6000,MATCH($C341,Работы!$A$2:$A$6000,0)),0))*(1-MEDIAN(0,N(ДисконтТендер),1))</f>
        <v>0</v>
      </c>
      <c r="K341" s="6">
        <f>IF(OR((LEFT($F341,3)="ДОК"),$H341=""),0,IFERROR(INDEX(Материалы!$H$2:$H$9000,MATCH($H341,Материалы!$M$2:$M$9000,0))*IF(INDEX(Материалы!$I$2:$I$9000,MATCH($H341,Материалы!$M$2:$M$9000,0))="USD",КурсUSD,IF(INDEX(Материалы!$I$2:$I$9000,MATCH($H341,Материалы!$M$2:$M$9000,0))="EUR",КурсEUR,1))*(1+IFERROR(INDEX(Работы!$I$2:$I$6000,MATCH($C341,Работы!$A$2:$A$6000,0))/100,0))*(1-MEDIAN(0,N(ДисконтТендер),1)),0))</f>
        <v>0</v>
      </c>
      <c r="L341" s="6">
        <f t="shared" si="31"/>
        <v>0</v>
      </c>
      <c r="M341" s="6">
        <f t="shared" si="32"/>
        <v>0</v>
      </c>
      <c r="N341" s="6">
        <f t="shared" si="33"/>
        <v>0</v>
      </c>
      <c r="O341" t="str">
        <f>IF($N341&gt;0,MAX($O$1:$O340)+1,"")</f>
        <v/>
      </c>
      <c r="P341" t="str">
        <f>IF($C341="","",IFERROR(INDEX(Работы!$D$2:$D$6000,MATCH($C341,Работы!$A$2:$A$6000,0)),""))</f>
        <v/>
      </c>
      <c r="Q341" t="str">
        <f t="shared" si="34"/>
        <v/>
      </c>
      <c r="R341" t="str">
        <f t="shared" si="35"/>
        <v/>
      </c>
      <c r="S341" t="str">
        <f>IF($P341="","",$P341&amp;" · "&amp;IFERROR(INDEX(Работы!$E$2:$E$6000,MATCH($C341,Работы!$A$2:$A$6000,0)),""))</f>
        <v/>
      </c>
    </row>
    <row r="342" spans="1:19" x14ac:dyDescent="0.3">
      <c r="A342" s="4"/>
      <c r="B342" s="4"/>
      <c r="C342" t="str">
        <f t="shared" si="30"/>
        <v/>
      </c>
      <c r="D342" s="5" t="str">
        <f>IF($C342="","",IF(AND(LEFT($F342,3)="ДОК",$H342&lt;&gt;""),IFERROR(INDEX(Документация!$G$2:$G$57,MATCH($H342,Документация!$F$2:$F$57,0)),"— вариант не найден —"),IFERROR(INDEX(Работы!$B$2:$B$6000,MATCH($C342,Работы!$A$2:$A$6000,0)),"— нет такого кода —")))</f>
        <v/>
      </c>
      <c r="E342" t="str">
        <f>IF($C342="","",IF(AND(LEFT($F342,3)="ДОК",$H342&lt;&gt;""),IFERROR(INDEX(Документация!$D$2:$D$57,MATCH($H342,Документация!$F$2:$F$57,0)),""),IFERROR(INDEX(Работы!$C$2:$C$6000,MATCH($C342,Работы!$A$2:$A$6000,0)),"")))</f>
        <v/>
      </c>
      <c r="F342" t="str">
        <f>IF($C342="","",IFERROR(INDEX(Работы!$G$2:$G$6000,MATCH($C342,Работы!$A$2:$A$6000,0))&amp;"",""))</f>
        <v/>
      </c>
      <c r="G342" s="4"/>
      <c r="H342" s="4"/>
      <c r="I342" s="5" t="str">
        <f>IF((LEFT($F342,3)="ДОК"),"",IF($H342="","",IFERROR(INDEX(Материалы!$B$2:$B$9000,MATCH($H342,Материалы!$M$2:$M$9000,0)),"")))</f>
        <v/>
      </c>
      <c r="J342" s="6">
        <f>IF(AND(LEFT($F342,3)="ДОК",$H342&lt;&gt;""),IFERROR(INDEX(Документация!$E$2:$E$57,MATCH($H342,Документация!$F$2:$F$57,0)),0),IFERROR(INDEX(Работы!$H$2:$H$6000,MATCH($C342,Работы!$A$2:$A$6000,0)),0))*(1-MEDIAN(0,N(ДисконтТендер),1))</f>
        <v>0</v>
      </c>
      <c r="K342" s="6">
        <f>IF(OR((LEFT($F342,3)="ДОК"),$H342=""),0,IFERROR(INDEX(Материалы!$H$2:$H$9000,MATCH($H342,Материалы!$M$2:$M$9000,0))*IF(INDEX(Материалы!$I$2:$I$9000,MATCH($H342,Материалы!$M$2:$M$9000,0))="USD",КурсUSD,IF(INDEX(Материалы!$I$2:$I$9000,MATCH($H342,Материалы!$M$2:$M$9000,0))="EUR",КурсEUR,1))*(1+IFERROR(INDEX(Работы!$I$2:$I$6000,MATCH($C342,Работы!$A$2:$A$6000,0))/100,0))*(1-MEDIAN(0,N(ДисконтТендер),1)),0))</f>
        <v>0</v>
      </c>
      <c r="L342" s="6">
        <f t="shared" si="31"/>
        <v>0</v>
      </c>
      <c r="M342" s="6">
        <f t="shared" si="32"/>
        <v>0</v>
      </c>
      <c r="N342" s="6">
        <f t="shared" si="33"/>
        <v>0</v>
      </c>
      <c r="O342" t="str">
        <f>IF($N342&gt;0,MAX($O$1:$O341)+1,"")</f>
        <v/>
      </c>
      <c r="P342" t="str">
        <f>IF($C342="","",IFERROR(INDEX(Работы!$D$2:$D$6000,MATCH($C342,Работы!$A$2:$A$6000,0)),""))</f>
        <v/>
      </c>
      <c r="Q342" t="str">
        <f t="shared" si="34"/>
        <v/>
      </c>
      <c r="R342" t="str">
        <f t="shared" si="35"/>
        <v/>
      </c>
      <c r="S342" t="str">
        <f>IF($P342="","",$P342&amp;" · "&amp;IFERROR(INDEX(Работы!$E$2:$E$6000,MATCH($C342,Работы!$A$2:$A$6000,0)),""))</f>
        <v/>
      </c>
    </row>
    <row r="343" spans="1:19" x14ac:dyDescent="0.3">
      <c r="A343" s="4"/>
      <c r="B343" s="4"/>
      <c r="C343" t="str">
        <f t="shared" si="30"/>
        <v/>
      </c>
      <c r="D343" s="5" t="str">
        <f>IF($C343="","",IF(AND(LEFT($F343,3)="ДОК",$H343&lt;&gt;""),IFERROR(INDEX(Документация!$G$2:$G$57,MATCH($H343,Документация!$F$2:$F$57,0)),"— вариант не найден —"),IFERROR(INDEX(Работы!$B$2:$B$6000,MATCH($C343,Работы!$A$2:$A$6000,0)),"— нет такого кода —")))</f>
        <v/>
      </c>
      <c r="E343" t="str">
        <f>IF($C343="","",IF(AND(LEFT($F343,3)="ДОК",$H343&lt;&gt;""),IFERROR(INDEX(Документация!$D$2:$D$57,MATCH($H343,Документация!$F$2:$F$57,0)),""),IFERROR(INDEX(Работы!$C$2:$C$6000,MATCH($C343,Работы!$A$2:$A$6000,0)),"")))</f>
        <v/>
      </c>
      <c r="F343" t="str">
        <f>IF($C343="","",IFERROR(INDEX(Работы!$G$2:$G$6000,MATCH($C343,Работы!$A$2:$A$6000,0))&amp;"",""))</f>
        <v/>
      </c>
      <c r="G343" s="4"/>
      <c r="H343" s="4"/>
      <c r="I343" s="5" t="str">
        <f>IF((LEFT($F343,3)="ДОК"),"",IF($H343="","",IFERROR(INDEX(Материалы!$B$2:$B$9000,MATCH($H343,Материалы!$M$2:$M$9000,0)),"")))</f>
        <v/>
      </c>
      <c r="J343" s="6">
        <f>IF(AND(LEFT($F343,3)="ДОК",$H343&lt;&gt;""),IFERROR(INDEX(Документация!$E$2:$E$57,MATCH($H343,Документация!$F$2:$F$57,0)),0),IFERROR(INDEX(Работы!$H$2:$H$6000,MATCH($C343,Работы!$A$2:$A$6000,0)),0))*(1-MEDIAN(0,N(ДисконтТендер),1))</f>
        <v>0</v>
      </c>
      <c r="K343" s="6">
        <f>IF(OR((LEFT($F343,3)="ДОК"),$H343=""),0,IFERROR(INDEX(Материалы!$H$2:$H$9000,MATCH($H343,Материалы!$M$2:$M$9000,0))*IF(INDEX(Материалы!$I$2:$I$9000,MATCH($H343,Материалы!$M$2:$M$9000,0))="USD",КурсUSD,IF(INDEX(Материалы!$I$2:$I$9000,MATCH($H343,Материалы!$M$2:$M$9000,0))="EUR",КурсEUR,1))*(1+IFERROR(INDEX(Работы!$I$2:$I$6000,MATCH($C343,Работы!$A$2:$A$6000,0))/100,0))*(1-MEDIAN(0,N(ДисконтТендер),1)),0))</f>
        <v>0</v>
      </c>
      <c r="L343" s="6">
        <f t="shared" si="31"/>
        <v>0</v>
      </c>
      <c r="M343" s="6">
        <f t="shared" si="32"/>
        <v>0</v>
      </c>
      <c r="N343" s="6">
        <f t="shared" si="33"/>
        <v>0</v>
      </c>
      <c r="O343" t="str">
        <f>IF($N343&gt;0,MAX($O$1:$O342)+1,"")</f>
        <v/>
      </c>
      <c r="P343" t="str">
        <f>IF($C343="","",IFERROR(INDEX(Работы!$D$2:$D$6000,MATCH($C343,Работы!$A$2:$A$6000,0)),""))</f>
        <v/>
      </c>
      <c r="Q343" t="str">
        <f t="shared" si="34"/>
        <v/>
      </c>
      <c r="R343" t="str">
        <f t="shared" si="35"/>
        <v/>
      </c>
      <c r="S343" t="str">
        <f>IF($P343="","",$P343&amp;" · "&amp;IFERROR(INDEX(Работы!$E$2:$E$6000,MATCH($C343,Работы!$A$2:$A$6000,0)),""))</f>
        <v/>
      </c>
    </row>
    <row r="344" spans="1:19" x14ac:dyDescent="0.3">
      <c r="A344" s="4"/>
      <c r="B344" s="4"/>
      <c r="C344" t="str">
        <f t="shared" si="30"/>
        <v/>
      </c>
      <c r="D344" s="5" t="str">
        <f>IF($C344="","",IF(AND(LEFT($F344,3)="ДОК",$H344&lt;&gt;""),IFERROR(INDEX(Документация!$G$2:$G$57,MATCH($H344,Документация!$F$2:$F$57,0)),"— вариант не найден —"),IFERROR(INDEX(Работы!$B$2:$B$6000,MATCH($C344,Работы!$A$2:$A$6000,0)),"— нет такого кода —")))</f>
        <v/>
      </c>
      <c r="E344" t="str">
        <f>IF($C344="","",IF(AND(LEFT($F344,3)="ДОК",$H344&lt;&gt;""),IFERROR(INDEX(Документация!$D$2:$D$57,MATCH($H344,Документация!$F$2:$F$57,0)),""),IFERROR(INDEX(Работы!$C$2:$C$6000,MATCH($C344,Работы!$A$2:$A$6000,0)),"")))</f>
        <v/>
      </c>
      <c r="F344" t="str">
        <f>IF($C344="","",IFERROR(INDEX(Работы!$G$2:$G$6000,MATCH($C344,Работы!$A$2:$A$6000,0))&amp;"",""))</f>
        <v/>
      </c>
      <c r="G344" s="4"/>
      <c r="H344" s="4"/>
      <c r="I344" s="5" t="str">
        <f>IF((LEFT($F344,3)="ДОК"),"",IF($H344="","",IFERROR(INDEX(Материалы!$B$2:$B$9000,MATCH($H344,Материалы!$M$2:$M$9000,0)),"")))</f>
        <v/>
      </c>
      <c r="J344" s="6">
        <f>IF(AND(LEFT($F344,3)="ДОК",$H344&lt;&gt;""),IFERROR(INDEX(Документация!$E$2:$E$57,MATCH($H344,Документация!$F$2:$F$57,0)),0),IFERROR(INDEX(Работы!$H$2:$H$6000,MATCH($C344,Работы!$A$2:$A$6000,0)),0))*(1-MEDIAN(0,N(ДисконтТендер),1))</f>
        <v>0</v>
      </c>
      <c r="K344" s="6">
        <f>IF(OR((LEFT($F344,3)="ДОК"),$H344=""),0,IFERROR(INDEX(Материалы!$H$2:$H$9000,MATCH($H344,Материалы!$M$2:$M$9000,0))*IF(INDEX(Материалы!$I$2:$I$9000,MATCH($H344,Материалы!$M$2:$M$9000,0))="USD",КурсUSD,IF(INDEX(Материалы!$I$2:$I$9000,MATCH($H344,Материалы!$M$2:$M$9000,0))="EUR",КурсEUR,1))*(1+IFERROR(INDEX(Работы!$I$2:$I$6000,MATCH($C344,Работы!$A$2:$A$6000,0))/100,0))*(1-MEDIAN(0,N(ДисконтТендер),1)),0))</f>
        <v>0</v>
      </c>
      <c r="L344" s="6">
        <f t="shared" si="31"/>
        <v>0</v>
      </c>
      <c r="M344" s="6">
        <f t="shared" si="32"/>
        <v>0</v>
      </c>
      <c r="N344" s="6">
        <f t="shared" si="33"/>
        <v>0</v>
      </c>
      <c r="O344" t="str">
        <f>IF($N344&gt;0,MAX($O$1:$O343)+1,"")</f>
        <v/>
      </c>
      <c r="P344" t="str">
        <f>IF($C344="","",IFERROR(INDEX(Работы!$D$2:$D$6000,MATCH($C344,Работы!$A$2:$A$6000,0)),""))</f>
        <v/>
      </c>
      <c r="Q344" t="str">
        <f t="shared" si="34"/>
        <v/>
      </c>
      <c r="R344" t="str">
        <f t="shared" si="35"/>
        <v/>
      </c>
      <c r="S344" t="str">
        <f>IF($P344="","",$P344&amp;" · "&amp;IFERROR(INDEX(Работы!$E$2:$E$6000,MATCH($C344,Работы!$A$2:$A$6000,0)),""))</f>
        <v/>
      </c>
    </row>
    <row r="345" spans="1:19" x14ac:dyDescent="0.3">
      <c r="A345" s="4"/>
      <c r="B345" s="4"/>
      <c r="C345" t="str">
        <f t="shared" si="30"/>
        <v/>
      </c>
      <c r="D345" s="5" t="str">
        <f>IF($C345="","",IF(AND(LEFT($F345,3)="ДОК",$H345&lt;&gt;""),IFERROR(INDEX(Документация!$G$2:$G$57,MATCH($H345,Документация!$F$2:$F$57,0)),"— вариант не найден —"),IFERROR(INDEX(Работы!$B$2:$B$6000,MATCH($C345,Работы!$A$2:$A$6000,0)),"— нет такого кода —")))</f>
        <v/>
      </c>
      <c r="E345" t="str">
        <f>IF($C345="","",IF(AND(LEFT($F345,3)="ДОК",$H345&lt;&gt;""),IFERROR(INDEX(Документация!$D$2:$D$57,MATCH($H345,Документация!$F$2:$F$57,0)),""),IFERROR(INDEX(Работы!$C$2:$C$6000,MATCH($C345,Работы!$A$2:$A$6000,0)),"")))</f>
        <v/>
      </c>
      <c r="F345" t="str">
        <f>IF($C345="","",IFERROR(INDEX(Работы!$G$2:$G$6000,MATCH($C345,Работы!$A$2:$A$6000,0))&amp;"",""))</f>
        <v/>
      </c>
      <c r="G345" s="4"/>
      <c r="H345" s="4"/>
      <c r="I345" s="5" t="str">
        <f>IF((LEFT($F345,3)="ДОК"),"",IF($H345="","",IFERROR(INDEX(Материалы!$B$2:$B$9000,MATCH($H345,Материалы!$M$2:$M$9000,0)),"")))</f>
        <v/>
      </c>
      <c r="J345" s="6">
        <f>IF(AND(LEFT($F345,3)="ДОК",$H345&lt;&gt;""),IFERROR(INDEX(Документация!$E$2:$E$57,MATCH($H345,Документация!$F$2:$F$57,0)),0),IFERROR(INDEX(Работы!$H$2:$H$6000,MATCH($C345,Работы!$A$2:$A$6000,0)),0))*(1-MEDIAN(0,N(ДисконтТендер),1))</f>
        <v>0</v>
      </c>
      <c r="K345" s="6">
        <f>IF(OR((LEFT($F345,3)="ДОК"),$H345=""),0,IFERROR(INDEX(Материалы!$H$2:$H$9000,MATCH($H345,Материалы!$M$2:$M$9000,0))*IF(INDEX(Материалы!$I$2:$I$9000,MATCH($H345,Материалы!$M$2:$M$9000,0))="USD",КурсUSD,IF(INDEX(Материалы!$I$2:$I$9000,MATCH($H345,Материалы!$M$2:$M$9000,0))="EUR",КурсEUR,1))*(1+IFERROR(INDEX(Работы!$I$2:$I$6000,MATCH($C345,Работы!$A$2:$A$6000,0))/100,0))*(1-MEDIAN(0,N(ДисконтТендер),1)),0))</f>
        <v>0</v>
      </c>
      <c r="L345" s="6">
        <f t="shared" si="31"/>
        <v>0</v>
      </c>
      <c r="M345" s="6">
        <f t="shared" si="32"/>
        <v>0</v>
      </c>
      <c r="N345" s="6">
        <f t="shared" si="33"/>
        <v>0</v>
      </c>
      <c r="O345" t="str">
        <f>IF($N345&gt;0,MAX($O$1:$O344)+1,"")</f>
        <v/>
      </c>
      <c r="P345" t="str">
        <f>IF($C345="","",IFERROR(INDEX(Работы!$D$2:$D$6000,MATCH($C345,Работы!$A$2:$A$6000,0)),""))</f>
        <v/>
      </c>
      <c r="Q345" t="str">
        <f t="shared" si="34"/>
        <v/>
      </c>
      <c r="R345" t="str">
        <f t="shared" si="35"/>
        <v/>
      </c>
      <c r="S345" t="str">
        <f>IF($P345="","",$P345&amp;" · "&amp;IFERROR(INDEX(Работы!$E$2:$E$6000,MATCH($C345,Работы!$A$2:$A$6000,0)),""))</f>
        <v/>
      </c>
    </row>
    <row r="346" spans="1:19" x14ac:dyDescent="0.3">
      <c r="A346" s="4"/>
      <c r="B346" s="4"/>
      <c r="C346" t="str">
        <f t="shared" si="30"/>
        <v/>
      </c>
      <c r="D346" s="5" t="str">
        <f>IF($C346="","",IF(AND(LEFT($F346,3)="ДОК",$H346&lt;&gt;""),IFERROR(INDEX(Документация!$G$2:$G$57,MATCH($H346,Документация!$F$2:$F$57,0)),"— вариант не найден —"),IFERROR(INDEX(Работы!$B$2:$B$6000,MATCH($C346,Работы!$A$2:$A$6000,0)),"— нет такого кода —")))</f>
        <v/>
      </c>
      <c r="E346" t="str">
        <f>IF($C346="","",IF(AND(LEFT($F346,3)="ДОК",$H346&lt;&gt;""),IFERROR(INDEX(Документация!$D$2:$D$57,MATCH($H346,Документация!$F$2:$F$57,0)),""),IFERROR(INDEX(Работы!$C$2:$C$6000,MATCH($C346,Работы!$A$2:$A$6000,0)),"")))</f>
        <v/>
      </c>
      <c r="F346" t="str">
        <f>IF($C346="","",IFERROR(INDEX(Работы!$G$2:$G$6000,MATCH($C346,Работы!$A$2:$A$6000,0))&amp;"",""))</f>
        <v/>
      </c>
      <c r="G346" s="4"/>
      <c r="H346" s="4"/>
      <c r="I346" s="5" t="str">
        <f>IF((LEFT($F346,3)="ДОК"),"",IF($H346="","",IFERROR(INDEX(Материалы!$B$2:$B$9000,MATCH($H346,Материалы!$M$2:$M$9000,0)),"")))</f>
        <v/>
      </c>
      <c r="J346" s="6">
        <f>IF(AND(LEFT($F346,3)="ДОК",$H346&lt;&gt;""),IFERROR(INDEX(Документация!$E$2:$E$57,MATCH($H346,Документация!$F$2:$F$57,0)),0),IFERROR(INDEX(Работы!$H$2:$H$6000,MATCH($C346,Работы!$A$2:$A$6000,0)),0))*(1-MEDIAN(0,N(ДисконтТендер),1))</f>
        <v>0</v>
      </c>
      <c r="K346" s="6">
        <f>IF(OR((LEFT($F346,3)="ДОК"),$H346=""),0,IFERROR(INDEX(Материалы!$H$2:$H$9000,MATCH($H346,Материалы!$M$2:$M$9000,0))*IF(INDEX(Материалы!$I$2:$I$9000,MATCH($H346,Материалы!$M$2:$M$9000,0))="USD",КурсUSD,IF(INDEX(Материалы!$I$2:$I$9000,MATCH($H346,Материалы!$M$2:$M$9000,0))="EUR",КурсEUR,1))*(1+IFERROR(INDEX(Работы!$I$2:$I$6000,MATCH($C346,Работы!$A$2:$A$6000,0))/100,0))*(1-MEDIAN(0,N(ДисконтТендер),1)),0))</f>
        <v>0</v>
      </c>
      <c r="L346" s="6">
        <f t="shared" si="31"/>
        <v>0</v>
      </c>
      <c r="M346" s="6">
        <f t="shared" si="32"/>
        <v>0</v>
      </c>
      <c r="N346" s="6">
        <f t="shared" si="33"/>
        <v>0</v>
      </c>
      <c r="O346" t="str">
        <f>IF($N346&gt;0,MAX($O$1:$O345)+1,"")</f>
        <v/>
      </c>
      <c r="P346" t="str">
        <f>IF($C346="","",IFERROR(INDEX(Работы!$D$2:$D$6000,MATCH($C346,Работы!$A$2:$A$6000,0)),""))</f>
        <v/>
      </c>
      <c r="Q346" t="str">
        <f t="shared" si="34"/>
        <v/>
      </c>
      <c r="R346" t="str">
        <f t="shared" si="35"/>
        <v/>
      </c>
      <c r="S346" t="str">
        <f>IF($P346="","",$P346&amp;" · "&amp;IFERROR(INDEX(Работы!$E$2:$E$6000,MATCH($C346,Работы!$A$2:$A$6000,0)),""))</f>
        <v/>
      </c>
    </row>
    <row r="347" spans="1:19" x14ac:dyDescent="0.3">
      <c r="A347" s="4"/>
      <c r="B347" s="4"/>
      <c r="C347" t="str">
        <f t="shared" si="30"/>
        <v/>
      </c>
      <c r="D347" s="5" t="str">
        <f>IF($C347="","",IF(AND(LEFT($F347,3)="ДОК",$H347&lt;&gt;""),IFERROR(INDEX(Документация!$G$2:$G$57,MATCH($H347,Документация!$F$2:$F$57,0)),"— вариант не найден —"),IFERROR(INDEX(Работы!$B$2:$B$6000,MATCH($C347,Работы!$A$2:$A$6000,0)),"— нет такого кода —")))</f>
        <v/>
      </c>
      <c r="E347" t="str">
        <f>IF($C347="","",IF(AND(LEFT($F347,3)="ДОК",$H347&lt;&gt;""),IFERROR(INDEX(Документация!$D$2:$D$57,MATCH($H347,Документация!$F$2:$F$57,0)),""),IFERROR(INDEX(Работы!$C$2:$C$6000,MATCH($C347,Работы!$A$2:$A$6000,0)),"")))</f>
        <v/>
      </c>
      <c r="F347" t="str">
        <f>IF($C347="","",IFERROR(INDEX(Работы!$G$2:$G$6000,MATCH($C347,Работы!$A$2:$A$6000,0))&amp;"",""))</f>
        <v/>
      </c>
      <c r="G347" s="4"/>
      <c r="H347" s="4"/>
      <c r="I347" s="5" t="str">
        <f>IF((LEFT($F347,3)="ДОК"),"",IF($H347="","",IFERROR(INDEX(Материалы!$B$2:$B$9000,MATCH($H347,Материалы!$M$2:$M$9000,0)),"")))</f>
        <v/>
      </c>
      <c r="J347" s="6">
        <f>IF(AND(LEFT($F347,3)="ДОК",$H347&lt;&gt;""),IFERROR(INDEX(Документация!$E$2:$E$57,MATCH($H347,Документация!$F$2:$F$57,0)),0),IFERROR(INDEX(Работы!$H$2:$H$6000,MATCH($C347,Работы!$A$2:$A$6000,0)),0))*(1-MEDIAN(0,N(ДисконтТендер),1))</f>
        <v>0</v>
      </c>
      <c r="K347" s="6">
        <f>IF(OR((LEFT($F347,3)="ДОК"),$H347=""),0,IFERROR(INDEX(Материалы!$H$2:$H$9000,MATCH($H347,Материалы!$M$2:$M$9000,0))*IF(INDEX(Материалы!$I$2:$I$9000,MATCH($H347,Материалы!$M$2:$M$9000,0))="USD",КурсUSD,IF(INDEX(Материалы!$I$2:$I$9000,MATCH($H347,Материалы!$M$2:$M$9000,0))="EUR",КурсEUR,1))*(1+IFERROR(INDEX(Работы!$I$2:$I$6000,MATCH($C347,Работы!$A$2:$A$6000,0))/100,0))*(1-MEDIAN(0,N(ДисконтТендер),1)),0))</f>
        <v>0</v>
      </c>
      <c r="L347" s="6">
        <f t="shared" si="31"/>
        <v>0</v>
      </c>
      <c r="M347" s="6">
        <f t="shared" si="32"/>
        <v>0</v>
      </c>
      <c r="N347" s="6">
        <f t="shared" si="33"/>
        <v>0</v>
      </c>
      <c r="O347" t="str">
        <f>IF($N347&gt;0,MAX($O$1:$O346)+1,"")</f>
        <v/>
      </c>
      <c r="P347" t="str">
        <f>IF($C347="","",IFERROR(INDEX(Работы!$D$2:$D$6000,MATCH($C347,Работы!$A$2:$A$6000,0)),""))</f>
        <v/>
      </c>
      <c r="Q347" t="str">
        <f t="shared" si="34"/>
        <v/>
      </c>
      <c r="R347" t="str">
        <f t="shared" si="35"/>
        <v/>
      </c>
      <c r="S347" t="str">
        <f>IF($P347="","",$P347&amp;" · "&amp;IFERROR(INDEX(Работы!$E$2:$E$6000,MATCH($C347,Работы!$A$2:$A$6000,0)),""))</f>
        <v/>
      </c>
    </row>
    <row r="348" spans="1:19" x14ac:dyDescent="0.3">
      <c r="A348" s="4"/>
      <c r="B348" s="4"/>
      <c r="C348" t="str">
        <f t="shared" si="30"/>
        <v/>
      </c>
      <c r="D348" s="5" t="str">
        <f>IF($C348="","",IF(AND(LEFT($F348,3)="ДОК",$H348&lt;&gt;""),IFERROR(INDEX(Документация!$G$2:$G$57,MATCH($H348,Документация!$F$2:$F$57,0)),"— вариант не найден —"),IFERROR(INDEX(Работы!$B$2:$B$6000,MATCH($C348,Работы!$A$2:$A$6000,0)),"— нет такого кода —")))</f>
        <v/>
      </c>
      <c r="E348" t="str">
        <f>IF($C348="","",IF(AND(LEFT($F348,3)="ДОК",$H348&lt;&gt;""),IFERROR(INDEX(Документация!$D$2:$D$57,MATCH($H348,Документация!$F$2:$F$57,0)),""),IFERROR(INDEX(Работы!$C$2:$C$6000,MATCH($C348,Работы!$A$2:$A$6000,0)),"")))</f>
        <v/>
      </c>
      <c r="F348" t="str">
        <f>IF($C348="","",IFERROR(INDEX(Работы!$G$2:$G$6000,MATCH($C348,Работы!$A$2:$A$6000,0))&amp;"",""))</f>
        <v/>
      </c>
      <c r="G348" s="4"/>
      <c r="H348" s="4"/>
      <c r="I348" s="5" t="str">
        <f>IF((LEFT($F348,3)="ДОК"),"",IF($H348="","",IFERROR(INDEX(Материалы!$B$2:$B$9000,MATCH($H348,Материалы!$M$2:$M$9000,0)),"")))</f>
        <v/>
      </c>
      <c r="J348" s="6">
        <f>IF(AND(LEFT($F348,3)="ДОК",$H348&lt;&gt;""),IFERROR(INDEX(Документация!$E$2:$E$57,MATCH($H348,Документация!$F$2:$F$57,0)),0),IFERROR(INDEX(Работы!$H$2:$H$6000,MATCH($C348,Работы!$A$2:$A$6000,0)),0))*(1-MEDIAN(0,N(ДисконтТендер),1))</f>
        <v>0</v>
      </c>
      <c r="K348" s="6">
        <f>IF(OR((LEFT($F348,3)="ДОК"),$H348=""),0,IFERROR(INDEX(Материалы!$H$2:$H$9000,MATCH($H348,Материалы!$M$2:$M$9000,0))*IF(INDEX(Материалы!$I$2:$I$9000,MATCH($H348,Материалы!$M$2:$M$9000,0))="USD",КурсUSD,IF(INDEX(Материалы!$I$2:$I$9000,MATCH($H348,Материалы!$M$2:$M$9000,0))="EUR",КурсEUR,1))*(1+IFERROR(INDEX(Работы!$I$2:$I$6000,MATCH($C348,Работы!$A$2:$A$6000,0))/100,0))*(1-MEDIAN(0,N(ДисконтТендер),1)),0))</f>
        <v>0</v>
      </c>
      <c r="L348" s="6">
        <f t="shared" si="31"/>
        <v>0</v>
      </c>
      <c r="M348" s="6">
        <f t="shared" si="32"/>
        <v>0</v>
      </c>
      <c r="N348" s="6">
        <f t="shared" si="33"/>
        <v>0</v>
      </c>
      <c r="O348" t="str">
        <f>IF($N348&gt;0,MAX($O$1:$O347)+1,"")</f>
        <v/>
      </c>
      <c r="P348" t="str">
        <f>IF($C348="","",IFERROR(INDEX(Работы!$D$2:$D$6000,MATCH($C348,Работы!$A$2:$A$6000,0)),""))</f>
        <v/>
      </c>
      <c r="Q348" t="str">
        <f t="shared" si="34"/>
        <v/>
      </c>
      <c r="R348" t="str">
        <f t="shared" si="35"/>
        <v/>
      </c>
      <c r="S348" t="str">
        <f>IF($P348="","",$P348&amp;" · "&amp;IFERROR(INDEX(Работы!$E$2:$E$6000,MATCH($C348,Работы!$A$2:$A$6000,0)),""))</f>
        <v/>
      </c>
    </row>
    <row r="349" spans="1:19" x14ac:dyDescent="0.3">
      <c r="A349" s="4"/>
      <c r="B349" s="4"/>
      <c r="C349" t="str">
        <f t="shared" si="30"/>
        <v/>
      </c>
      <c r="D349" s="5" t="str">
        <f>IF($C349="","",IF(AND(LEFT($F349,3)="ДОК",$H349&lt;&gt;""),IFERROR(INDEX(Документация!$G$2:$G$57,MATCH($H349,Документация!$F$2:$F$57,0)),"— вариант не найден —"),IFERROR(INDEX(Работы!$B$2:$B$6000,MATCH($C349,Работы!$A$2:$A$6000,0)),"— нет такого кода —")))</f>
        <v/>
      </c>
      <c r="E349" t="str">
        <f>IF($C349="","",IF(AND(LEFT($F349,3)="ДОК",$H349&lt;&gt;""),IFERROR(INDEX(Документация!$D$2:$D$57,MATCH($H349,Документация!$F$2:$F$57,0)),""),IFERROR(INDEX(Работы!$C$2:$C$6000,MATCH($C349,Работы!$A$2:$A$6000,0)),"")))</f>
        <v/>
      </c>
      <c r="F349" t="str">
        <f>IF($C349="","",IFERROR(INDEX(Работы!$G$2:$G$6000,MATCH($C349,Работы!$A$2:$A$6000,0))&amp;"",""))</f>
        <v/>
      </c>
      <c r="G349" s="4"/>
      <c r="H349" s="4"/>
      <c r="I349" s="5" t="str">
        <f>IF((LEFT($F349,3)="ДОК"),"",IF($H349="","",IFERROR(INDEX(Материалы!$B$2:$B$9000,MATCH($H349,Материалы!$M$2:$M$9000,0)),"")))</f>
        <v/>
      </c>
      <c r="J349" s="6">
        <f>IF(AND(LEFT($F349,3)="ДОК",$H349&lt;&gt;""),IFERROR(INDEX(Документация!$E$2:$E$57,MATCH($H349,Документация!$F$2:$F$57,0)),0),IFERROR(INDEX(Работы!$H$2:$H$6000,MATCH($C349,Работы!$A$2:$A$6000,0)),0))*(1-MEDIAN(0,N(ДисконтТендер),1))</f>
        <v>0</v>
      </c>
      <c r="K349" s="6">
        <f>IF(OR((LEFT($F349,3)="ДОК"),$H349=""),0,IFERROR(INDEX(Материалы!$H$2:$H$9000,MATCH($H349,Материалы!$M$2:$M$9000,0))*IF(INDEX(Материалы!$I$2:$I$9000,MATCH($H349,Материалы!$M$2:$M$9000,0))="USD",КурсUSD,IF(INDEX(Материалы!$I$2:$I$9000,MATCH($H349,Материалы!$M$2:$M$9000,0))="EUR",КурсEUR,1))*(1+IFERROR(INDEX(Работы!$I$2:$I$6000,MATCH($C349,Работы!$A$2:$A$6000,0))/100,0))*(1-MEDIAN(0,N(ДисконтТендер),1)),0))</f>
        <v>0</v>
      </c>
      <c r="L349" s="6">
        <f t="shared" si="31"/>
        <v>0</v>
      </c>
      <c r="M349" s="6">
        <f t="shared" si="32"/>
        <v>0</v>
      </c>
      <c r="N349" s="6">
        <f t="shared" si="33"/>
        <v>0</v>
      </c>
      <c r="O349" t="str">
        <f>IF($N349&gt;0,MAX($O$1:$O348)+1,"")</f>
        <v/>
      </c>
      <c r="P349" t="str">
        <f>IF($C349="","",IFERROR(INDEX(Работы!$D$2:$D$6000,MATCH($C349,Работы!$A$2:$A$6000,0)),""))</f>
        <v/>
      </c>
      <c r="Q349" t="str">
        <f t="shared" si="34"/>
        <v/>
      </c>
      <c r="R349" t="str">
        <f t="shared" si="35"/>
        <v/>
      </c>
      <c r="S349" t="str">
        <f>IF($P349="","",$P349&amp;" · "&amp;IFERROR(INDEX(Работы!$E$2:$E$6000,MATCH($C349,Работы!$A$2:$A$6000,0)),""))</f>
        <v/>
      </c>
    </row>
    <row r="350" spans="1:19" x14ac:dyDescent="0.3">
      <c r="A350" s="4"/>
      <c r="B350" s="4"/>
      <c r="C350" t="str">
        <f t="shared" si="30"/>
        <v/>
      </c>
      <c r="D350" s="5" t="str">
        <f>IF($C350="","",IF(AND(LEFT($F350,3)="ДОК",$H350&lt;&gt;""),IFERROR(INDEX(Документация!$G$2:$G$57,MATCH($H350,Документация!$F$2:$F$57,0)),"— вариант не найден —"),IFERROR(INDEX(Работы!$B$2:$B$6000,MATCH($C350,Работы!$A$2:$A$6000,0)),"— нет такого кода —")))</f>
        <v/>
      </c>
      <c r="E350" t="str">
        <f>IF($C350="","",IF(AND(LEFT($F350,3)="ДОК",$H350&lt;&gt;""),IFERROR(INDEX(Документация!$D$2:$D$57,MATCH($H350,Документация!$F$2:$F$57,0)),""),IFERROR(INDEX(Работы!$C$2:$C$6000,MATCH($C350,Работы!$A$2:$A$6000,0)),"")))</f>
        <v/>
      </c>
      <c r="F350" t="str">
        <f>IF($C350="","",IFERROR(INDEX(Работы!$G$2:$G$6000,MATCH($C350,Работы!$A$2:$A$6000,0))&amp;"",""))</f>
        <v/>
      </c>
      <c r="G350" s="4"/>
      <c r="H350" s="4"/>
      <c r="I350" s="5" t="str">
        <f>IF((LEFT($F350,3)="ДОК"),"",IF($H350="","",IFERROR(INDEX(Материалы!$B$2:$B$9000,MATCH($H350,Материалы!$M$2:$M$9000,0)),"")))</f>
        <v/>
      </c>
      <c r="J350" s="6">
        <f>IF(AND(LEFT($F350,3)="ДОК",$H350&lt;&gt;""),IFERROR(INDEX(Документация!$E$2:$E$57,MATCH($H350,Документация!$F$2:$F$57,0)),0),IFERROR(INDEX(Работы!$H$2:$H$6000,MATCH($C350,Работы!$A$2:$A$6000,0)),0))*(1-MEDIAN(0,N(ДисконтТендер),1))</f>
        <v>0</v>
      </c>
      <c r="K350" s="6">
        <f>IF(OR((LEFT($F350,3)="ДОК"),$H350=""),0,IFERROR(INDEX(Материалы!$H$2:$H$9000,MATCH($H350,Материалы!$M$2:$M$9000,0))*IF(INDEX(Материалы!$I$2:$I$9000,MATCH($H350,Материалы!$M$2:$M$9000,0))="USD",КурсUSD,IF(INDEX(Материалы!$I$2:$I$9000,MATCH($H350,Материалы!$M$2:$M$9000,0))="EUR",КурсEUR,1))*(1+IFERROR(INDEX(Работы!$I$2:$I$6000,MATCH($C350,Работы!$A$2:$A$6000,0))/100,0))*(1-MEDIAN(0,N(ДисконтТендер),1)),0))</f>
        <v>0</v>
      </c>
      <c r="L350" s="6">
        <f t="shared" si="31"/>
        <v>0</v>
      </c>
      <c r="M350" s="6">
        <f t="shared" si="32"/>
        <v>0</v>
      </c>
      <c r="N350" s="6">
        <f t="shared" si="33"/>
        <v>0</v>
      </c>
      <c r="O350" t="str">
        <f>IF($N350&gt;0,MAX($O$1:$O349)+1,"")</f>
        <v/>
      </c>
      <c r="P350" t="str">
        <f>IF($C350="","",IFERROR(INDEX(Работы!$D$2:$D$6000,MATCH($C350,Работы!$A$2:$A$6000,0)),""))</f>
        <v/>
      </c>
      <c r="Q350" t="str">
        <f t="shared" si="34"/>
        <v/>
      </c>
      <c r="R350" t="str">
        <f t="shared" si="35"/>
        <v/>
      </c>
      <c r="S350" t="str">
        <f>IF($P350="","",$P350&amp;" · "&amp;IFERROR(INDEX(Работы!$E$2:$E$6000,MATCH($C350,Работы!$A$2:$A$6000,0)),""))</f>
        <v/>
      </c>
    </row>
    <row r="351" spans="1:19" x14ac:dyDescent="0.3">
      <c r="A351" s="4"/>
      <c r="B351" s="4"/>
      <c r="C351" t="str">
        <f t="shared" si="30"/>
        <v/>
      </c>
      <c r="D351" s="5" t="str">
        <f>IF($C351="","",IF(AND(LEFT($F351,3)="ДОК",$H351&lt;&gt;""),IFERROR(INDEX(Документация!$G$2:$G$57,MATCH($H351,Документация!$F$2:$F$57,0)),"— вариант не найден —"),IFERROR(INDEX(Работы!$B$2:$B$6000,MATCH($C351,Работы!$A$2:$A$6000,0)),"— нет такого кода —")))</f>
        <v/>
      </c>
      <c r="E351" t="str">
        <f>IF($C351="","",IF(AND(LEFT($F351,3)="ДОК",$H351&lt;&gt;""),IFERROR(INDEX(Документация!$D$2:$D$57,MATCH($H351,Документация!$F$2:$F$57,0)),""),IFERROR(INDEX(Работы!$C$2:$C$6000,MATCH($C351,Работы!$A$2:$A$6000,0)),"")))</f>
        <v/>
      </c>
      <c r="F351" t="str">
        <f>IF($C351="","",IFERROR(INDEX(Работы!$G$2:$G$6000,MATCH($C351,Работы!$A$2:$A$6000,0))&amp;"",""))</f>
        <v/>
      </c>
      <c r="G351" s="4"/>
      <c r="H351" s="4"/>
      <c r="I351" s="5" t="str">
        <f>IF((LEFT($F351,3)="ДОК"),"",IF($H351="","",IFERROR(INDEX(Материалы!$B$2:$B$9000,MATCH($H351,Материалы!$M$2:$M$9000,0)),"")))</f>
        <v/>
      </c>
      <c r="J351" s="6">
        <f>IF(AND(LEFT($F351,3)="ДОК",$H351&lt;&gt;""),IFERROR(INDEX(Документация!$E$2:$E$57,MATCH($H351,Документация!$F$2:$F$57,0)),0),IFERROR(INDEX(Работы!$H$2:$H$6000,MATCH($C351,Работы!$A$2:$A$6000,0)),0))*(1-MEDIAN(0,N(ДисконтТендер),1))</f>
        <v>0</v>
      </c>
      <c r="K351" s="6">
        <f>IF(OR((LEFT($F351,3)="ДОК"),$H351=""),0,IFERROR(INDEX(Материалы!$H$2:$H$9000,MATCH($H351,Материалы!$M$2:$M$9000,0))*IF(INDEX(Материалы!$I$2:$I$9000,MATCH($H351,Материалы!$M$2:$M$9000,0))="USD",КурсUSD,IF(INDEX(Материалы!$I$2:$I$9000,MATCH($H351,Материалы!$M$2:$M$9000,0))="EUR",КурсEUR,1))*(1+IFERROR(INDEX(Работы!$I$2:$I$6000,MATCH($C351,Работы!$A$2:$A$6000,0))/100,0))*(1-MEDIAN(0,N(ДисконтТендер),1)),0))</f>
        <v>0</v>
      </c>
      <c r="L351" s="6">
        <f t="shared" si="31"/>
        <v>0</v>
      </c>
      <c r="M351" s="6">
        <f t="shared" si="32"/>
        <v>0</v>
      </c>
      <c r="N351" s="6">
        <f t="shared" si="33"/>
        <v>0</v>
      </c>
      <c r="O351" t="str">
        <f>IF($N351&gt;0,MAX($O$1:$O350)+1,"")</f>
        <v/>
      </c>
      <c r="P351" t="str">
        <f>IF($C351="","",IFERROR(INDEX(Работы!$D$2:$D$6000,MATCH($C351,Работы!$A$2:$A$6000,0)),""))</f>
        <v/>
      </c>
      <c r="Q351" t="str">
        <f t="shared" si="34"/>
        <v/>
      </c>
      <c r="R351" t="str">
        <f t="shared" si="35"/>
        <v/>
      </c>
      <c r="S351" t="str">
        <f>IF($P351="","",$P351&amp;" · "&amp;IFERROR(INDEX(Работы!$E$2:$E$6000,MATCH($C351,Работы!$A$2:$A$6000,0)),""))</f>
        <v/>
      </c>
    </row>
    <row r="352" spans="1:19" x14ac:dyDescent="0.3">
      <c r="A352" s="4"/>
      <c r="B352" s="4"/>
      <c r="C352" t="str">
        <f t="shared" si="30"/>
        <v/>
      </c>
      <c r="D352" s="5" t="str">
        <f>IF($C352="","",IF(AND(LEFT($F352,3)="ДОК",$H352&lt;&gt;""),IFERROR(INDEX(Документация!$G$2:$G$57,MATCH($H352,Документация!$F$2:$F$57,0)),"— вариант не найден —"),IFERROR(INDEX(Работы!$B$2:$B$6000,MATCH($C352,Работы!$A$2:$A$6000,0)),"— нет такого кода —")))</f>
        <v/>
      </c>
      <c r="E352" t="str">
        <f>IF($C352="","",IF(AND(LEFT($F352,3)="ДОК",$H352&lt;&gt;""),IFERROR(INDEX(Документация!$D$2:$D$57,MATCH($H352,Документация!$F$2:$F$57,0)),""),IFERROR(INDEX(Работы!$C$2:$C$6000,MATCH($C352,Работы!$A$2:$A$6000,0)),"")))</f>
        <v/>
      </c>
      <c r="F352" t="str">
        <f>IF($C352="","",IFERROR(INDEX(Работы!$G$2:$G$6000,MATCH($C352,Работы!$A$2:$A$6000,0))&amp;"",""))</f>
        <v/>
      </c>
      <c r="G352" s="4"/>
      <c r="H352" s="4"/>
      <c r="I352" s="5" t="str">
        <f>IF((LEFT($F352,3)="ДОК"),"",IF($H352="","",IFERROR(INDEX(Материалы!$B$2:$B$9000,MATCH($H352,Материалы!$M$2:$M$9000,0)),"")))</f>
        <v/>
      </c>
      <c r="J352" s="6">
        <f>IF(AND(LEFT($F352,3)="ДОК",$H352&lt;&gt;""),IFERROR(INDEX(Документация!$E$2:$E$57,MATCH($H352,Документация!$F$2:$F$57,0)),0),IFERROR(INDEX(Работы!$H$2:$H$6000,MATCH($C352,Работы!$A$2:$A$6000,0)),0))*(1-MEDIAN(0,N(ДисконтТендер),1))</f>
        <v>0</v>
      </c>
      <c r="K352" s="6">
        <f>IF(OR((LEFT($F352,3)="ДОК"),$H352=""),0,IFERROR(INDEX(Материалы!$H$2:$H$9000,MATCH($H352,Материалы!$M$2:$M$9000,0))*IF(INDEX(Материалы!$I$2:$I$9000,MATCH($H352,Материалы!$M$2:$M$9000,0))="USD",КурсUSD,IF(INDEX(Материалы!$I$2:$I$9000,MATCH($H352,Материалы!$M$2:$M$9000,0))="EUR",КурсEUR,1))*(1+IFERROR(INDEX(Работы!$I$2:$I$6000,MATCH($C352,Работы!$A$2:$A$6000,0))/100,0))*(1-MEDIAN(0,N(ДисконтТендер),1)),0))</f>
        <v>0</v>
      </c>
      <c r="L352" s="6">
        <f t="shared" si="31"/>
        <v>0</v>
      </c>
      <c r="M352" s="6">
        <f t="shared" si="32"/>
        <v>0</v>
      </c>
      <c r="N352" s="6">
        <f t="shared" si="33"/>
        <v>0</v>
      </c>
      <c r="O352" t="str">
        <f>IF($N352&gt;0,MAX($O$1:$O351)+1,"")</f>
        <v/>
      </c>
      <c r="P352" t="str">
        <f>IF($C352="","",IFERROR(INDEX(Работы!$D$2:$D$6000,MATCH($C352,Работы!$A$2:$A$6000,0)),""))</f>
        <v/>
      </c>
      <c r="Q352" t="str">
        <f t="shared" si="34"/>
        <v/>
      </c>
      <c r="R352" t="str">
        <f t="shared" si="35"/>
        <v/>
      </c>
      <c r="S352" t="str">
        <f>IF($P352="","",$P352&amp;" · "&amp;IFERROR(INDEX(Работы!$E$2:$E$6000,MATCH($C352,Работы!$A$2:$A$6000,0)),""))</f>
        <v/>
      </c>
    </row>
    <row r="353" spans="1:19" x14ac:dyDescent="0.3">
      <c r="A353" s="4"/>
      <c r="B353" s="4"/>
      <c r="C353" t="str">
        <f t="shared" si="30"/>
        <v/>
      </c>
      <c r="D353" s="5" t="str">
        <f>IF($C353="","",IF(AND(LEFT($F353,3)="ДОК",$H353&lt;&gt;""),IFERROR(INDEX(Документация!$G$2:$G$57,MATCH($H353,Документация!$F$2:$F$57,0)),"— вариант не найден —"),IFERROR(INDEX(Работы!$B$2:$B$6000,MATCH($C353,Работы!$A$2:$A$6000,0)),"— нет такого кода —")))</f>
        <v/>
      </c>
      <c r="E353" t="str">
        <f>IF($C353="","",IF(AND(LEFT($F353,3)="ДОК",$H353&lt;&gt;""),IFERROR(INDEX(Документация!$D$2:$D$57,MATCH($H353,Документация!$F$2:$F$57,0)),""),IFERROR(INDEX(Работы!$C$2:$C$6000,MATCH($C353,Работы!$A$2:$A$6000,0)),"")))</f>
        <v/>
      </c>
      <c r="F353" t="str">
        <f>IF($C353="","",IFERROR(INDEX(Работы!$G$2:$G$6000,MATCH($C353,Работы!$A$2:$A$6000,0))&amp;"",""))</f>
        <v/>
      </c>
      <c r="G353" s="4"/>
      <c r="H353" s="4"/>
      <c r="I353" s="5" t="str">
        <f>IF((LEFT($F353,3)="ДОК"),"",IF($H353="","",IFERROR(INDEX(Материалы!$B$2:$B$9000,MATCH($H353,Материалы!$M$2:$M$9000,0)),"")))</f>
        <v/>
      </c>
      <c r="J353" s="6">
        <f>IF(AND(LEFT($F353,3)="ДОК",$H353&lt;&gt;""),IFERROR(INDEX(Документация!$E$2:$E$57,MATCH($H353,Документация!$F$2:$F$57,0)),0),IFERROR(INDEX(Работы!$H$2:$H$6000,MATCH($C353,Работы!$A$2:$A$6000,0)),0))*(1-MEDIAN(0,N(ДисконтТендер),1))</f>
        <v>0</v>
      </c>
      <c r="K353" s="6">
        <f>IF(OR((LEFT($F353,3)="ДОК"),$H353=""),0,IFERROR(INDEX(Материалы!$H$2:$H$9000,MATCH($H353,Материалы!$M$2:$M$9000,0))*IF(INDEX(Материалы!$I$2:$I$9000,MATCH($H353,Материалы!$M$2:$M$9000,0))="USD",КурсUSD,IF(INDEX(Материалы!$I$2:$I$9000,MATCH($H353,Материалы!$M$2:$M$9000,0))="EUR",КурсEUR,1))*(1+IFERROR(INDEX(Работы!$I$2:$I$6000,MATCH($C353,Работы!$A$2:$A$6000,0))/100,0))*(1-MEDIAN(0,N(ДисконтТендер),1)),0))</f>
        <v>0</v>
      </c>
      <c r="L353" s="6">
        <f t="shared" si="31"/>
        <v>0</v>
      </c>
      <c r="M353" s="6">
        <f t="shared" si="32"/>
        <v>0</v>
      </c>
      <c r="N353" s="6">
        <f t="shared" si="33"/>
        <v>0</v>
      </c>
      <c r="O353" t="str">
        <f>IF($N353&gt;0,MAX($O$1:$O352)+1,"")</f>
        <v/>
      </c>
      <c r="P353" t="str">
        <f>IF($C353="","",IFERROR(INDEX(Работы!$D$2:$D$6000,MATCH($C353,Работы!$A$2:$A$6000,0)),""))</f>
        <v/>
      </c>
      <c r="Q353" t="str">
        <f t="shared" si="34"/>
        <v/>
      </c>
      <c r="R353" t="str">
        <f t="shared" si="35"/>
        <v/>
      </c>
      <c r="S353" t="str">
        <f>IF($P353="","",$P353&amp;" · "&amp;IFERROR(INDEX(Работы!$E$2:$E$6000,MATCH($C353,Работы!$A$2:$A$6000,0)),""))</f>
        <v/>
      </c>
    </row>
    <row r="354" spans="1:19" x14ac:dyDescent="0.3">
      <c r="A354" s="4"/>
      <c r="B354" s="4"/>
      <c r="C354" t="str">
        <f t="shared" si="30"/>
        <v/>
      </c>
      <c r="D354" s="5" t="str">
        <f>IF($C354="","",IF(AND(LEFT($F354,3)="ДОК",$H354&lt;&gt;""),IFERROR(INDEX(Документация!$G$2:$G$57,MATCH($H354,Документация!$F$2:$F$57,0)),"— вариант не найден —"),IFERROR(INDEX(Работы!$B$2:$B$6000,MATCH($C354,Работы!$A$2:$A$6000,0)),"— нет такого кода —")))</f>
        <v/>
      </c>
      <c r="E354" t="str">
        <f>IF($C354="","",IF(AND(LEFT($F354,3)="ДОК",$H354&lt;&gt;""),IFERROR(INDEX(Документация!$D$2:$D$57,MATCH($H354,Документация!$F$2:$F$57,0)),""),IFERROR(INDEX(Работы!$C$2:$C$6000,MATCH($C354,Работы!$A$2:$A$6000,0)),"")))</f>
        <v/>
      </c>
      <c r="F354" t="str">
        <f>IF($C354="","",IFERROR(INDEX(Работы!$G$2:$G$6000,MATCH($C354,Работы!$A$2:$A$6000,0))&amp;"",""))</f>
        <v/>
      </c>
      <c r="G354" s="4"/>
      <c r="H354" s="4"/>
      <c r="I354" s="5" t="str">
        <f>IF((LEFT($F354,3)="ДОК"),"",IF($H354="","",IFERROR(INDEX(Материалы!$B$2:$B$9000,MATCH($H354,Материалы!$M$2:$M$9000,0)),"")))</f>
        <v/>
      </c>
      <c r="J354" s="6">
        <f>IF(AND(LEFT($F354,3)="ДОК",$H354&lt;&gt;""),IFERROR(INDEX(Документация!$E$2:$E$57,MATCH($H354,Документация!$F$2:$F$57,0)),0),IFERROR(INDEX(Работы!$H$2:$H$6000,MATCH($C354,Работы!$A$2:$A$6000,0)),0))*(1-MEDIAN(0,N(ДисконтТендер),1))</f>
        <v>0</v>
      </c>
      <c r="K354" s="6">
        <f>IF(OR((LEFT($F354,3)="ДОК"),$H354=""),0,IFERROR(INDEX(Материалы!$H$2:$H$9000,MATCH($H354,Материалы!$M$2:$M$9000,0))*IF(INDEX(Материалы!$I$2:$I$9000,MATCH($H354,Материалы!$M$2:$M$9000,0))="USD",КурсUSD,IF(INDEX(Материалы!$I$2:$I$9000,MATCH($H354,Материалы!$M$2:$M$9000,0))="EUR",КурсEUR,1))*(1+IFERROR(INDEX(Работы!$I$2:$I$6000,MATCH($C354,Работы!$A$2:$A$6000,0))/100,0))*(1-MEDIAN(0,N(ДисконтТендер),1)),0))</f>
        <v>0</v>
      </c>
      <c r="L354" s="6">
        <f t="shared" si="31"/>
        <v>0</v>
      </c>
      <c r="M354" s="6">
        <f t="shared" si="32"/>
        <v>0</v>
      </c>
      <c r="N354" s="6">
        <f t="shared" si="33"/>
        <v>0</v>
      </c>
      <c r="O354" t="str">
        <f>IF($N354&gt;0,MAX($O$1:$O353)+1,"")</f>
        <v/>
      </c>
      <c r="P354" t="str">
        <f>IF($C354="","",IFERROR(INDEX(Работы!$D$2:$D$6000,MATCH($C354,Работы!$A$2:$A$6000,0)),""))</f>
        <v/>
      </c>
      <c r="Q354" t="str">
        <f t="shared" si="34"/>
        <v/>
      </c>
      <c r="R354" t="str">
        <f t="shared" si="35"/>
        <v/>
      </c>
      <c r="S354" t="str">
        <f>IF($P354="","",$P354&amp;" · "&amp;IFERROR(INDEX(Работы!$E$2:$E$6000,MATCH($C354,Работы!$A$2:$A$6000,0)),""))</f>
        <v/>
      </c>
    </row>
    <row r="355" spans="1:19" x14ac:dyDescent="0.3">
      <c r="A355" s="4"/>
      <c r="B355" s="4"/>
      <c r="C355" t="str">
        <f t="shared" si="30"/>
        <v/>
      </c>
      <c r="D355" s="5" t="str">
        <f>IF($C355="","",IF(AND(LEFT($F355,3)="ДОК",$H355&lt;&gt;""),IFERROR(INDEX(Документация!$G$2:$G$57,MATCH($H355,Документация!$F$2:$F$57,0)),"— вариант не найден —"),IFERROR(INDEX(Работы!$B$2:$B$6000,MATCH($C355,Работы!$A$2:$A$6000,0)),"— нет такого кода —")))</f>
        <v/>
      </c>
      <c r="E355" t="str">
        <f>IF($C355="","",IF(AND(LEFT($F355,3)="ДОК",$H355&lt;&gt;""),IFERROR(INDEX(Документация!$D$2:$D$57,MATCH($H355,Документация!$F$2:$F$57,0)),""),IFERROR(INDEX(Работы!$C$2:$C$6000,MATCH($C355,Работы!$A$2:$A$6000,0)),"")))</f>
        <v/>
      </c>
      <c r="F355" t="str">
        <f>IF($C355="","",IFERROR(INDEX(Работы!$G$2:$G$6000,MATCH($C355,Работы!$A$2:$A$6000,0))&amp;"",""))</f>
        <v/>
      </c>
      <c r="G355" s="4"/>
      <c r="H355" s="4"/>
      <c r="I355" s="5" t="str">
        <f>IF((LEFT($F355,3)="ДОК"),"",IF($H355="","",IFERROR(INDEX(Материалы!$B$2:$B$9000,MATCH($H355,Материалы!$M$2:$M$9000,0)),"")))</f>
        <v/>
      </c>
      <c r="J355" s="6">
        <f>IF(AND(LEFT($F355,3)="ДОК",$H355&lt;&gt;""),IFERROR(INDEX(Документация!$E$2:$E$57,MATCH($H355,Документация!$F$2:$F$57,0)),0),IFERROR(INDEX(Работы!$H$2:$H$6000,MATCH($C355,Работы!$A$2:$A$6000,0)),0))*(1-MEDIAN(0,N(ДисконтТендер),1))</f>
        <v>0</v>
      </c>
      <c r="K355" s="6">
        <f>IF(OR((LEFT($F355,3)="ДОК"),$H355=""),0,IFERROR(INDEX(Материалы!$H$2:$H$9000,MATCH($H355,Материалы!$M$2:$M$9000,0))*IF(INDEX(Материалы!$I$2:$I$9000,MATCH($H355,Материалы!$M$2:$M$9000,0))="USD",КурсUSD,IF(INDEX(Материалы!$I$2:$I$9000,MATCH($H355,Материалы!$M$2:$M$9000,0))="EUR",КурсEUR,1))*(1+IFERROR(INDEX(Работы!$I$2:$I$6000,MATCH($C355,Работы!$A$2:$A$6000,0))/100,0))*(1-MEDIAN(0,N(ДисконтТендер),1)),0))</f>
        <v>0</v>
      </c>
      <c r="L355" s="6">
        <f t="shared" si="31"/>
        <v>0</v>
      </c>
      <c r="M355" s="6">
        <f t="shared" si="32"/>
        <v>0</v>
      </c>
      <c r="N355" s="6">
        <f t="shared" si="33"/>
        <v>0</v>
      </c>
      <c r="O355" t="str">
        <f>IF($N355&gt;0,MAX($O$1:$O354)+1,"")</f>
        <v/>
      </c>
      <c r="P355" t="str">
        <f>IF($C355="","",IFERROR(INDEX(Работы!$D$2:$D$6000,MATCH($C355,Работы!$A$2:$A$6000,0)),""))</f>
        <v/>
      </c>
      <c r="Q355" t="str">
        <f t="shared" si="34"/>
        <v/>
      </c>
      <c r="R355" t="str">
        <f t="shared" si="35"/>
        <v/>
      </c>
      <c r="S355" t="str">
        <f>IF($P355="","",$P355&amp;" · "&amp;IFERROR(INDEX(Работы!$E$2:$E$6000,MATCH($C355,Работы!$A$2:$A$6000,0)),""))</f>
        <v/>
      </c>
    </row>
    <row r="356" spans="1:19" x14ac:dyDescent="0.3">
      <c r="A356" s="4"/>
      <c r="B356" s="4"/>
      <c r="C356" t="str">
        <f t="shared" si="30"/>
        <v/>
      </c>
      <c r="D356" s="5" t="str">
        <f>IF($C356="","",IF(AND(LEFT($F356,3)="ДОК",$H356&lt;&gt;""),IFERROR(INDEX(Документация!$G$2:$G$57,MATCH($H356,Документация!$F$2:$F$57,0)),"— вариант не найден —"),IFERROR(INDEX(Работы!$B$2:$B$6000,MATCH($C356,Работы!$A$2:$A$6000,0)),"— нет такого кода —")))</f>
        <v/>
      </c>
      <c r="E356" t="str">
        <f>IF($C356="","",IF(AND(LEFT($F356,3)="ДОК",$H356&lt;&gt;""),IFERROR(INDEX(Документация!$D$2:$D$57,MATCH($H356,Документация!$F$2:$F$57,0)),""),IFERROR(INDEX(Работы!$C$2:$C$6000,MATCH($C356,Работы!$A$2:$A$6000,0)),"")))</f>
        <v/>
      </c>
      <c r="F356" t="str">
        <f>IF($C356="","",IFERROR(INDEX(Работы!$G$2:$G$6000,MATCH($C356,Работы!$A$2:$A$6000,0))&amp;"",""))</f>
        <v/>
      </c>
      <c r="G356" s="4"/>
      <c r="H356" s="4"/>
      <c r="I356" s="5" t="str">
        <f>IF((LEFT($F356,3)="ДОК"),"",IF($H356="","",IFERROR(INDEX(Материалы!$B$2:$B$9000,MATCH($H356,Материалы!$M$2:$M$9000,0)),"")))</f>
        <v/>
      </c>
      <c r="J356" s="6">
        <f>IF(AND(LEFT($F356,3)="ДОК",$H356&lt;&gt;""),IFERROR(INDEX(Документация!$E$2:$E$57,MATCH($H356,Документация!$F$2:$F$57,0)),0),IFERROR(INDEX(Работы!$H$2:$H$6000,MATCH($C356,Работы!$A$2:$A$6000,0)),0))*(1-MEDIAN(0,N(ДисконтТендер),1))</f>
        <v>0</v>
      </c>
      <c r="K356" s="6">
        <f>IF(OR((LEFT($F356,3)="ДОК"),$H356=""),0,IFERROR(INDEX(Материалы!$H$2:$H$9000,MATCH($H356,Материалы!$M$2:$M$9000,0))*IF(INDEX(Материалы!$I$2:$I$9000,MATCH($H356,Материалы!$M$2:$M$9000,0))="USD",КурсUSD,IF(INDEX(Материалы!$I$2:$I$9000,MATCH($H356,Материалы!$M$2:$M$9000,0))="EUR",КурсEUR,1))*(1+IFERROR(INDEX(Работы!$I$2:$I$6000,MATCH($C356,Работы!$A$2:$A$6000,0))/100,0))*(1-MEDIAN(0,N(ДисконтТендер),1)),0))</f>
        <v>0</v>
      </c>
      <c r="L356" s="6">
        <f t="shared" si="31"/>
        <v>0</v>
      </c>
      <c r="M356" s="6">
        <f t="shared" si="32"/>
        <v>0</v>
      </c>
      <c r="N356" s="6">
        <f t="shared" si="33"/>
        <v>0</v>
      </c>
      <c r="O356" t="str">
        <f>IF($N356&gt;0,MAX($O$1:$O355)+1,"")</f>
        <v/>
      </c>
      <c r="P356" t="str">
        <f>IF($C356="","",IFERROR(INDEX(Работы!$D$2:$D$6000,MATCH($C356,Работы!$A$2:$A$6000,0)),""))</f>
        <v/>
      </c>
      <c r="Q356" t="str">
        <f t="shared" si="34"/>
        <v/>
      </c>
      <c r="R356" t="str">
        <f t="shared" si="35"/>
        <v/>
      </c>
      <c r="S356" t="str">
        <f>IF($P356="","",$P356&amp;" · "&amp;IFERROR(INDEX(Работы!$E$2:$E$6000,MATCH($C356,Работы!$A$2:$A$6000,0)),""))</f>
        <v/>
      </c>
    </row>
    <row r="357" spans="1:19" x14ac:dyDescent="0.3">
      <c r="A357" s="4"/>
      <c r="B357" s="4"/>
      <c r="C357" t="str">
        <f t="shared" si="30"/>
        <v/>
      </c>
      <c r="D357" s="5" t="str">
        <f>IF($C357="","",IF(AND(LEFT($F357,3)="ДОК",$H357&lt;&gt;""),IFERROR(INDEX(Документация!$G$2:$G$57,MATCH($H357,Документация!$F$2:$F$57,0)),"— вариант не найден —"),IFERROR(INDEX(Работы!$B$2:$B$6000,MATCH($C357,Работы!$A$2:$A$6000,0)),"— нет такого кода —")))</f>
        <v/>
      </c>
      <c r="E357" t="str">
        <f>IF($C357="","",IF(AND(LEFT($F357,3)="ДОК",$H357&lt;&gt;""),IFERROR(INDEX(Документация!$D$2:$D$57,MATCH($H357,Документация!$F$2:$F$57,0)),""),IFERROR(INDEX(Работы!$C$2:$C$6000,MATCH($C357,Работы!$A$2:$A$6000,0)),"")))</f>
        <v/>
      </c>
      <c r="F357" t="str">
        <f>IF($C357="","",IFERROR(INDEX(Работы!$G$2:$G$6000,MATCH($C357,Работы!$A$2:$A$6000,0))&amp;"",""))</f>
        <v/>
      </c>
      <c r="G357" s="4"/>
      <c r="H357" s="4"/>
      <c r="I357" s="5" t="str">
        <f>IF((LEFT($F357,3)="ДОК"),"",IF($H357="","",IFERROR(INDEX(Материалы!$B$2:$B$9000,MATCH($H357,Материалы!$M$2:$M$9000,0)),"")))</f>
        <v/>
      </c>
      <c r="J357" s="6">
        <f>IF(AND(LEFT($F357,3)="ДОК",$H357&lt;&gt;""),IFERROR(INDEX(Документация!$E$2:$E$57,MATCH($H357,Документация!$F$2:$F$57,0)),0),IFERROR(INDEX(Работы!$H$2:$H$6000,MATCH($C357,Работы!$A$2:$A$6000,0)),0))*(1-MEDIAN(0,N(ДисконтТендер),1))</f>
        <v>0</v>
      </c>
      <c r="K357" s="6">
        <f>IF(OR((LEFT($F357,3)="ДОК"),$H357=""),0,IFERROR(INDEX(Материалы!$H$2:$H$9000,MATCH($H357,Материалы!$M$2:$M$9000,0))*IF(INDEX(Материалы!$I$2:$I$9000,MATCH($H357,Материалы!$M$2:$M$9000,0))="USD",КурсUSD,IF(INDEX(Материалы!$I$2:$I$9000,MATCH($H357,Материалы!$M$2:$M$9000,0))="EUR",КурсEUR,1))*(1+IFERROR(INDEX(Работы!$I$2:$I$6000,MATCH($C357,Работы!$A$2:$A$6000,0))/100,0))*(1-MEDIAN(0,N(ДисконтТендер),1)),0))</f>
        <v>0</v>
      </c>
      <c r="L357" s="6">
        <f t="shared" si="31"/>
        <v>0</v>
      </c>
      <c r="M357" s="6">
        <f t="shared" si="32"/>
        <v>0</v>
      </c>
      <c r="N357" s="6">
        <f t="shared" si="33"/>
        <v>0</v>
      </c>
      <c r="O357" t="str">
        <f>IF($N357&gt;0,MAX($O$1:$O356)+1,"")</f>
        <v/>
      </c>
      <c r="P357" t="str">
        <f>IF($C357="","",IFERROR(INDEX(Работы!$D$2:$D$6000,MATCH($C357,Работы!$A$2:$A$6000,0)),""))</f>
        <v/>
      </c>
      <c r="Q357" t="str">
        <f t="shared" si="34"/>
        <v/>
      </c>
      <c r="R357" t="str">
        <f t="shared" si="35"/>
        <v/>
      </c>
      <c r="S357" t="str">
        <f>IF($P357="","",$P357&amp;" · "&amp;IFERROR(INDEX(Работы!$E$2:$E$6000,MATCH($C357,Работы!$A$2:$A$6000,0)),""))</f>
        <v/>
      </c>
    </row>
    <row r="358" spans="1:19" x14ac:dyDescent="0.3">
      <c r="A358" s="4"/>
      <c r="B358" s="4"/>
      <c r="C358" t="str">
        <f t="shared" si="30"/>
        <v/>
      </c>
      <c r="D358" s="5" t="str">
        <f>IF($C358="","",IF(AND(LEFT($F358,3)="ДОК",$H358&lt;&gt;""),IFERROR(INDEX(Документация!$G$2:$G$57,MATCH($H358,Документация!$F$2:$F$57,0)),"— вариант не найден —"),IFERROR(INDEX(Работы!$B$2:$B$6000,MATCH($C358,Работы!$A$2:$A$6000,0)),"— нет такого кода —")))</f>
        <v/>
      </c>
      <c r="E358" t="str">
        <f>IF($C358="","",IF(AND(LEFT($F358,3)="ДОК",$H358&lt;&gt;""),IFERROR(INDEX(Документация!$D$2:$D$57,MATCH($H358,Документация!$F$2:$F$57,0)),""),IFERROR(INDEX(Работы!$C$2:$C$6000,MATCH($C358,Работы!$A$2:$A$6000,0)),"")))</f>
        <v/>
      </c>
      <c r="F358" t="str">
        <f>IF($C358="","",IFERROR(INDEX(Работы!$G$2:$G$6000,MATCH($C358,Работы!$A$2:$A$6000,0))&amp;"",""))</f>
        <v/>
      </c>
      <c r="G358" s="4"/>
      <c r="H358" s="4"/>
      <c r="I358" s="5" t="str">
        <f>IF((LEFT($F358,3)="ДОК"),"",IF($H358="","",IFERROR(INDEX(Материалы!$B$2:$B$9000,MATCH($H358,Материалы!$M$2:$M$9000,0)),"")))</f>
        <v/>
      </c>
      <c r="J358" s="6">
        <f>IF(AND(LEFT($F358,3)="ДОК",$H358&lt;&gt;""),IFERROR(INDEX(Документация!$E$2:$E$57,MATCH($H358,Документация!$F$2:$F$57,0)),0),IFERROR(INDEX(Работы!$H$2:$H$6000,MATCH($C358,Работы!$A$2:$A$6000,0)),0))*(1-MEDIAN(0,N(ДисконтТендер),1))</f>
        <v>0</v>
      </c>
      <c r="K358" s="6">
        <f>IF(OR((LEFT($F358,3)="ДОК"),$H358=""),0,IFERROR(INDEX(Материалы!$H$2:$H$9000,MATCH($H358,Материалы!$M$2:$M$9000,0))*IF(INDEX(Материалы!$I$2:$I$9000,MATCH($H358,Материалы!$M$2:$M$9000,0))="USD",КурсUSD,IF(INDEX(Материалы!$I$2:$I$9000,MATCH($H358,Материалы!$M$2:$M$9000,0))="EUR",КурсEUR,1))*(1+IFERROR(INDEX(Работы!$I$2:$I$6000,MATCH($C358,Работы!$A$2:$A$6000,0))/100,0))*(1-MEDIAN(0,N(ДисконтТендер),1)),0))</f>
        <v>0</v>
      </c>
      <c r="L358" s="6">
        <f t="shared" si="31"/>
        <v>0</v>
      </c>
      <c r="M358" s="6">
        <f t="shared" si="32"/>
        <v>0</v>
      </c>
      <c r="N358" s="6">
        <f t="shared" si="33"/>
        <v>0</v>
      </c>
      <c r="O358" t="str">
        <f>IF($N358&gt;0,MAX($O$1:$O357)+1,"")</f>
        <v/>
      </c>
      <c r="P358" t="str">
        <f>IF($C358="","",IFERROR(INDEX(Работы!$D$2:$D$6000,MATCH($C358,Работы!$A$2:$A$6000,0)),""))</f>
        <v/>
      </c>
      <c r="Q358" t="str">
        <f t="shared" si="34"/>
        <v/>
      </c>
      <c r="R358" t="str">
        <f t="shared" si="35"/>
        <v/>
      </c>
      <c r="S358" t="str">
        <f>IF($P358="","",$P358&amp;" · "&amp;IFERROR(INDEX(Работы!$E$2:$E$6000,MATCH($C358,Работы!$A$2:$A$6000,0)),""))</f>
        <v/>
      </c>
    </row>
    <row r="359" spans="1:19" x14ac:dyDescent="0.3">
      <c r="A359" s="4"/>
      <c r="B359" s="4"/>
      <c r="C359" t="str">
        <f t="shared" si="30"/>
        <v/>
      </c>
      <c r="D359" s="5" t="str">
        <f>IF($C359="","",IF(AND(LEFT($F359,3)="ДОК",$H359&lt;&gt;""),IFERROR(INDEX(Документация!$G$2:$G$57,MATCH($H359,Документация!$F$2:$F$57,0)),"— вариант не найден —"),IFERROR(INDEX(Работы!$B$2:$B$6000,MATCH($C359,Работы!$A$2:$A$6000,0)),"— нет такого кода —")))</f>
        <v/>
      </c>
      <c r="E359" t="str">
        <f>IF($C359="","",IF(AND(LEFT($F359,3)="ДОК",$H359&lt;&gt;""),IFERROR(INDEX(Документация!$D$2:$D$57,MATCH($H359,Документация!$F$2:$F$57,0)),""),IFERROR(INDEX(Работы!$C$2:$C$6000,MATCH($C359,Работы!$A$2:$A$6000,0)),"")))</f>
        <v/>
      </c>
      <c r="F359" t="str">
        <f>IF($C359="","",IFERROR(INDEX(Работы!$G$2:$G$6000,MATCH($C359,Работы!$A$2:$A$6000,0))&amp;"",""))</f>
        <v/>
      </c>
      <c r="G359" s="4"/>
      <c r="H359" s="4"/>
      <c r="I359" s="5" t="str">
        <f>IF((LEFT($F359,3)="ДОК"),"",IF($H359="","",IFERROR(INDEX(Материалы!$B$2:$B$9000,MATCH($H359,Материалы!$M$2:$M$9000,0)),"")))</f>
        <v/>
      </c>
      <c r="J359" s="6">
        <f>IF(AND(LEFT($F359,3)="ДОК",$H359&lt;&gt;""),IFERROR(INDEX(Документация!$E$2:$E$57,MATCH($H359,Документация!$F$2:$F$57,0)),0),IFERROR(INDEX(Работы!$H$2:$H$6000,MATCH($C359,Работы!$A$2:$A$6000,0)),0))*(1-MEDIAN(0,N(ДисконтТендер),1))</f>
        <v>0</v>
      </c>
      <c r="K359" s="6">
        <f>IF(OR((LEFT($F359,3)="ДОК"),$H359=""),0,IFERROR(INDEX(Материалы!$H$2:$H$9000,MATCH($H359,Материалы!$M$2:$M$9000,0))*IF(INDEX(Материалы!$I$2:$I$9000,MATCH($H359,Материалы!$M$2:$M$9000,0))="USD",КурсUSD,IF(INDEX(Материалы!$I$2:$I$9000,MATCH($H359,Материалы!$M$2:$M$9000,0))="EUR",КурсEUR,1))*(1+IFERROR(INDEX(Работы!$I$2:$I$6000,MATCH($C359,Работы!$A$2:$A$6000,0))/100,0))*(1-MEDIAN(0,N(ДисконтТендер),1)),0))</f>
        <v>0</v>
      </c>
      <c r="L359" s="6">
        <f t="shared" si="31"/>
        <v>0</v>
      </c>
      <c r="M359" s="6">
        <f t="shared" si="32"/>
        <v>0</v>
      </c>
      <c r="N359" s="6">
        <f t="shared" si="33"/>
        <v>0</v>
      </c>
      <c r="O359" t="str">
        <f>IF($N359&gt;0,MAX($O$1:$O358)+1,"")</f>
        <v/>
      </c>
      <c r="P359" t="str">
        <f>IF($C359="","",IFERROR(INDEX(Работы!$D$2:$D$6000,MATCH($C359,Работы!$A$2:$A$6000,0)),""))</f>
        <v/>
      </c>
      <c r="Q359" t="str">
        <f t="shared" si="34"/>
        <v/>
      </c>
      <c r="R359" t="str">
        <f t="shared" si="35"/>
        <v/>
      </c>
      <c r="S359" t="str">
        <f>IF($P359="","",$P359&amp;" · "&amp;IFERROR(INDEX(Работы!$E$2:$E$6000,MATCH($C359,Работы!$A$2:$A$6000,0)),""))</f>
        <v/>
      </c>
    </row>
    <row r="360" spans="1:19" x14ac:dyDescent="0.3">
      <c r="A360" s="4"/>
      <c r="B360" s="4"/>
      <c r="C360" t="str">
        <f t="shared" si="30"/>
        <v/>
      </c>
      <c r="D360" s="5" t="str">
        <f>IF($C360="","",IF(AND(LEFT($F360,3)="ДОК",$H360&lt;&gt;""),IFERROR(INDEX(Документация!$G$2:$G$57,MATCH($H360,Документация!$F$2:$F$57,0)),"— вариант не найден —"),IFERROR(INDEX(Работы!$B$2:$B$6000,MATCH($C360,Работы!$A$2:$A$6000,0)),"— нет такого кода —")))</f>
        <v/>
      </c>
      <c r="E360" t="str">
        <f>IF($C360="","",IF(AND(LEFT($F360,3)="ДОК",$H360&lt;&gt;""),IFERROR(INDEX(Документация!$D$2:$D$57,MATCH($H360,Документация!$F$2:$F$57,0)),""),IFERROR(INDEX(Работы!$C$2:$C$6000,MATCH($C360,Работы!$A$2:$A$6000,0)),"")))</f>
        <v/>
      </c>
      <c r="F360" t="str">
        <f>IF($C360="","",IFERROR(INDEX(Работы!$G$2:$G$6000,MATCH($C360,Работы!$A$2:$A$6000,0))&amp;"",""))</f>
        <v/>
      </c>
      <c r="G360" s="4"/>
      <c r="H360" s="4"/>
      <c r="I360" s="5" t="str">
        <f>IF((LEFT($F360,3)="ДОК"),"",IF($H360="","",IFERROR(INDEX(Материалы!$B$2:$B$9000,MATCH($H360,Материалы!$M$2:$M$9000,0)),"")))</f>
        <v/>
      </c>
      <c r="J360" s="6">
        <f>IF(AND(LEFT($F360,3)="ДОК",$H360&lt;&gt;""),IFERROR(INDEX(Документация!$E$2:$E$57,MATCH($H360,Документация!$F$2:$F$57,0)),0),IFERROR(INDEX(Работы!$H$2:$H$6000,MATCH($C360,Работы!$A$2:$A$6000,0)),0))*(1-MEDIAN(0,N(ДисконтТендер),1))</f>
        <v>0</v>
      </c>
      <c r="K360" s="6">
        <f>IF(OR((LEFT($F360,3)="ДОК"),$H360=""),0,IFERROR(INDEX(Материалы!$H$2:$H$9000,MATCH($H360,Материалы!$M$2:$M$9000,0))*IF(INDEX(Материалы!$I$2:$I$9000,MATCH($H360,Материалы!$M$2:$M$9000,0))="USD",КурсUSD,IF(INDEX(Материалы!$I$2:$I$9000,MATCH($H360,Материалы!$M$2:$M$9000,0))="EUR",КурсEUR,1))*(1+IFERROR(INDEX(Работы!$I$2:$I$6000,MATCH($C360,Работы!$A$2:$A$6000,0))/100,0))*(1-MEDIAN(0,N(ДисконтТендер),1)),0))</f>
        <v>0</v>
      </c>
      <c r="L360" s="6">
        <f t="shared" si="31"/>
        <v>0</v>
      </c>
      <c r="M360" s="6">
        <f t="shared" si="32"/>
        <v>0</v>
      </c>
      <c r="N360" s="6">
        <f t="shared" si="33"/>
        <v>0</v>
      </c>
      <c r="O360" t="str">
        <f>IF($N360&gt;0,MAX($O$1:$O359)+1,"")</f>
        <v/>
      </c>
      <c r="P360" t="str">
        <f>IF($C360="","",IFERROR(INDEX(Работы!$D$2:$D$6000,MATCH($C360,Работы!$A$2:$A$6000,0)),""))</f>
        <v/>
      </c>
      <c r="Q360" t="str">
        <f t="shared" si="34"/>
        <v/>
      </c>
      <c r="R360" t="str">
        <f t="shared" si="35"/>
        <v/>
      </c>
      <c r="S360" t="str">
        <f>IF($P360="","",$P360&amp;" · "&amp;IFERROR(INDEX(Работы!$E$2:$E$6000,MATCH($C360,Работы!$A$2:$A$6000,0)),""))</f>
        <v/>
      </c>
    </row>
    <row r="361" spans="1:19" x14ac:dyDescent="0.3">
      <c r="A361" s="4"/>
      <c r="B361" s="4"/>
      <c r="C361" t="str">
        <f t="shared" si="30"/>
        <v/>
      </c>
      <c r="D361" s="5" t="str">
        <f>IF($C361="","",IF(AND(LEFT($F361,3)="ДОК",$H361&lt;&gt;""),IFERROR(INDEX(Документация!$G$2:$G$57,MATCH($H361,Документация!$F$2:$F$57,0)),"— вариант не найден —"),IFERROR(INDEX(Работы!$B$2:$B$6000,MATCH($C361,Работы!$A$2:$A$6000,0)),"— нет такого кода —")))</f>
        <v/>
      </c>
      <c r="E361" t="str">
        <f>IF($C361="","",IF(AND(LEFT($F361,3)="ДОК",$H361&lt;&gt;""),IFERROR(INDEX(Документация!$D$2:$D$57,MATCH($H361,Документация!$F$2:$F$57,0)),""),IFERROR(INDEX(Работы!$C$2:$C$6000,MATCH($C361,Работы!$A$2:$A$6000,0)),"")))</f>
        <v/>
      </c>
      <c r="F361" t="str">
        <f>IF($C361="","",IFERROR(INDEX(Работы!$G$2:$G$6000,MATCH($C361,Работы!$A$2:$A$6000,0))&amp;"",""))</f>
        <v/>
      </c>
      <c r="G361" s="4"/>
      <c r="H361" s="4"/>
      <c r="I361" s="5" t="str">
        <f>IF((LEFT($F361,3)="ДОК"),"",IF($H361="","",IFERROR(INDEX(Материалы!$B$2:$B$9000,MATCH($H361,Материалы!$M$2:$M$9000,0)),"")))</f>
        <v/>
      </c>
      <c r="J361" s="6">
        <f>IF(AND(LEFT($F361,3)="ДОК",$H361&lt;&gt;""),IFERROR(INDEX(Документация!$E$2:$E$57,MATCH($H361,Документация!$F$2:$F$57,0)),0),IFERROR(INDEX(Работы!$H$2:$H$6000,MATCH($C361,Работы!$A$2:$A$6000,0)),0))*(1-MEDIAN(0,N(ДисконтТендер),1))</f>
        <v>0</v>
      </c>
      <c r="K361" s="6">
        <f>IF(OR((LEFT($F361,3)="ДОК"),$H361=""),0,IFERROR(INDEX(Материалы!$H$2:$H$9000,MATCH($H361,Материалы!$M$2:$M$9000,0))*IF(INDEX(Материалы!$I$2:$I$9000,MATCH($H361,Материалы!$M$2:$M$9000,0))="USD",КурсUSD,IF(INDEX(Материалы!$I$2:$I$9000,MATCH($H361,Материалы!$M$2:$M$9000,0))="EUR",КурсEUR,1))*(1+IFERROR(INDEX(Работы!$I$2:$I$6000,MATCH($C361,Работы!$A$2:$A$6000,0))/100,0))*(1-MEDIAN(0,N(ДисконтТендер),1)),0))</f>
        <v>0</v>
      </c>
      <c r="L361" s="6">
        <f t="shared" si="31"/>
        <v>0</v>
      </c>
      <c r="M361" s="6">
        <f t="shared" si="32"/>
        <v>0</v>
      </c>
      <c r="N361" s="6">
        <f t="shared" si="33"/>
        <v>0</v>
      </c>
      <c r="O361" t="str">
        <f>IF($N361&gt;0,MAX($O$1:$O360)+1,"")</f>
        <v/>
      </c>
      <c r="P361" t="str">
        <f>IF($C361="","",IFERROR(INDEX(Работы!$D$2:$D$6000,MATCH($C361,Работы!$A$2:$A$6000,0)),""))</f>
        <v/>
      </c>
      <c r="Q361" t="str">
        <f t="shared" si="34"/>
        <v/>
      </c>
      <c r="R361" t="str">
        <f t="shared" si="35"/>
        <v/>
      </c>
      <c r="S361" t="str">
        <f>IF($P361="","",$P361&amp;" · "&amp;IFERROR(INDEX(Работы!$E$2:$E$6000,MATCH($C361,Работы!$A$2:$A$6000,0)),""))</f>
        <v/>
      </c>
    </row>
    <row r="362" spans="1:19" x14ac:dyDescent="0.3">
      <c r="A362" s="4"/>
      <c r="B362" s="4"/>
      <c r="C362" t="str">
        <f t="shared" si="30"/>
        <v/>
      </c>
      <c r="D362" s="5" t="str">
        <f>IF($C362="","",IF(AND(LEFT($F362,3)="ДОК",$H362&lt;&gt;""),IFERROR(INDEX(Документация!$G$2:$G$57,MATCH($H362,Документация!$F$2:$F$57,0)),"— вариант не найден —"),IFERROR(INDEX(Работы!$B$2:$B$6000,MATCH($C362,Работы!$A$2:$A$6000,0)),"— нет такого кода —")))</f>
        <v/>
      </c>
      <c r="E362" t="str">
        <f>IF($C362="","",IF(AND(LEFT($F362,3)="ДОК",$H362&lt;&gt;""),IFERROR(INDEX(Документация!$D$2:$D$57,MATCH($H362,Документация!$F$2:$F$57,0)),""),IFERROR(INDEX(Работы!$C$2:$C$6000,MATCH($C362,Работы!$A$2:$A$6000,0)),"")))</f>
        <v/>
      </c>
      <c r="F362" t="str">
        <f>IF($C362="","",IFERROR(INDEX(Работы!$G$2:$G$6000,MATCH($C362,Работы!$A$2:$A$6000,0))&amp;"",""))</f>
        <v/>
      </c>
      <c r="G362" s="4"/>
      <c r="H362" s="4"/>
      <c r="I362" s="5" t="str">
        <f>IF((LEFT($F362,3)="ДОК"),"",IF($H362="","",IFERROR(INDEX(Материалы!$B$2:$B$9000,MATCH($H362,Материалы!$M$2:$M$9000,0)),"")))</f>
        <v/>
      </c>
      <c r="J362" s="6">
        <f>IF(AND(LEFT($F362,3)="ДОК",$H362&lt;&gt;""),IFERROR(INDEX(Документация!$E$2:$E$57,MATCH($H362,Документация!$F$2:$F$57,0)),0),IFERROR(INDEX(Работы!$H$2:$H$6000,MATCH($C362,Работы!$A$2:$A$6000,0)),0))*(1-MEDIAN(0,N(ДисконтТендер),1))</f>
        <v>0</v>
      </c>
      <c r="K362" s="6">
        <f>IF(OR((LEFT($F362,3)="ДОК"),$H362=""),0,IFERROR(INDEX(Материалы!$H$2:$H$9000,MATCH($H362,Материалы!$M$2:$M$9000,0))*IF(INDEX(Материалы!$I$2:$I$9000,MATCH($H362,Материалы!$M$2:$M$9000,0))="USD",КурсUSD,IF(INDEX(Материалы!$I$2:$I$9000,MATCH($H362,Материалы!$M$2:$M$9000,0))="EUR",КурсEUR,1))*(1+IFERROR(INDEX(Работы!$I$2:$I$6000,MATCH($C362,Работы!$A$2:$A$6000,0))/100,0))*(1-MEDIAN(0,N(ДисконтТендер),1)),0))</f>
        <v>0</v>
      </c>
      <c r="L362" s="6">
        <f t="shared" si="31"/>
        <v>0</v>
      </c>
      <c r="M362" s="6">
        <f t="shared" si="32"/>
        <v>0</v>
      </c>
      <c r="N362" s="6">
        <f t="shared" si="33"/>
        <v>0</v>
      </c>
      <c r="O362" t="str">
        <f>IF($N362&gt;0,MAX($O$1:$O361)+1,"")</f>
        <v/>
      </c>
      <c r="P362" t="str">
        <f>IF($C362="","",IFERROR(INDEX(Работы!$D$2:$D$6000,MATCH($C362,Работы!$A$2:$A$6000,0)),""))</f>
        <v/>
      </c>
      <c r="Q362" t="str">
        <f t="shared" si="34"/>
        <v/>
      </c>
      <c r="R362" t="str">
        <f t="shared" si="35"/>
        <v/>
      </c>
      <c r="S362" t="str">
        <f>IF($P362="","",$P362&amp;" · "&amp;IFERROR(INDEX(Работы!$E$2:$E$6000,MATCH($C362,Работы!$A$2:$A$6000,0)),""))</f>
        <v/>
      </c>
    </row>
    <row r="363" spans="1:19" x14ac:dyDescent="0.3">
      <c r="A363" s="4"/>
      <c r="B363" s="4"/>
      <c r="C363" t="str">
        <f t="shared" si="30"/>
        <v/>
      </c>
      <c r="D363" s="5" t="str">
        <f>IF($C363="","",IF(AND(LEFT($F363,3)="ДОК",$H363&lt;&gt;""),IFERROR(INDEX(Документация!$G$2:$G$57,MATCH($H363,Документация!$F$2:$F$57,0)),"— вариант не найден —"),IFERROR(INDEX(Работы!$B$2:$B$6000,MATCH($C363,Работы!$A$2:$A$6000,0)),"— нет такого кода —")))</f>
        <v/>
      </c>
      <c r="E363" t="str">
        <f>IF($C363="","",IF(AND(LEFT($F363,3)="ДОК",$H363&lt;&gt;""),IFERROR(INDEX(Документация!$D$2:$D$57,MATCH($H363,Документация!$F$2:$F$57,0)),""),IFERROR(INDEX(Работы!$C$2:$C$6000,MATCH($C363,Работы!$A$2:$A$6000,0)),"")))</f>
        <v/>
      </c>
      <c r="F363" t="str">
        <f>IF($C363="","",IFERROR(INDEX(Работы!$G$2:$G$6000,MATCH($C363,Работы!$A$2:$A$6000,0))&amp;"",""))</f>
        <v/>
      </c>
      <c r="G363" s="4"/>
      <c r="H363" s="4"/>
      <c r="I363" s="5" t="str">
        <f>IF((LEFT($F363,3)="ДОК"),"",IF($H363="","",IFERROR(INDEX(Материалы!$B$2:$B$9000,MATCH($H363,Материалы!$M$2:$M$9000,0)),"")))</f>
        <v/>
      </c>
      <c r="J363" s="6">
        <f>IF(AND(LEFT($F363,3)="ДОК",$H363&lt;&gt;""),IFERROR(INDEX(Документация!$E$2:$E$57,MATCH($H363,Документация!$F$2:$F$57,0)),0),IFERROR(INDEX(Работы!$H$2:$H$6000,MATCH($C363,Работы!$A$2:$A$6000,0)),0))*(1-MEDIAN(0,N(ДисконтТендер),1))</f>
        <v>0</v>
      </c>
      <c r="K363" s="6">
        <f>IF(OR((LEFT($F363,3)="ДОК"),$H363=""),0,IFERROR(INDEX(Материалы!$H$2:$H$9000,MATCH($H363,Материалы!$M$2:$M$9000,0))*IF(INDEX(Материалы!$I$2:$I$9000,MATCH($H363,Материалы!$M$2:$M$9000,0))="USD",КурсUSD,IF(INDEX(Материалы!$I$2:$I$9000,MATCH($H363,Материалы!$M$2:$M$9000,0))="EUR",КурсEUR,1))*(1+IFERROR(INDEX(Работы!$I$2:$I$6000,MATCH($C363,Работы!$A$2:$A$6000,0))/100,0))*(1-MEDIAN(0,N(ДисконтТендер),1)),0))</f>
        <v>0</v>
      </c>
      <c r="L363" s="6">
        <f t="shared" si="31"/>
        <v>0</v>
      </c>
      <c r="M363" s="6">
        <f t="shared" si="32"/>
        <v>0</v>
      </c>
      <c r="N363" s="6">
        <f t="shared" si="33"/>
        <v>0</v>
      </c>
      <c r="O363" t="str">
        <f>IF($N363&gt;0,MAX($O$1:$O362)+1,"")</f>
        <v/>
      </c>
      <c r="P363" t="str">
        <f>IF($C363="","",IFERROR(INDEX(Работы!$D$2:$D$6000,MATCH($C363,Работы!$A$2:$A$6000,0)),""))</f>
        <v/>
      </c>
      <c r="Q363" t="str">
        <f t="shared" si="34"/>
        <v/>
      </c>
      <c r="R363" t="str">
        <f t="shared" si="35"/>
        <v/>
      </c>
      <c r="S363" t="str">
        <f>IF($P363="","",$P363&amp;" · "&amp;IFERROR(INDEX(Работы!$E$2:$E$6000,MATCH($C363,Работы!$A$2:$A$6000,0)),""))</f>
        <v/>
      </c>
    </row>
    <row r="364" spans="1:19" x14ac:dyDescent="0.3">
      <c r="A364" s="4"/>
      <c r="B364" s="4"/>
      <c r="C364" t="str">
        <f t="shared" si="30"/>
        <v/>
      </c>
      <c r="D364" s="5" t="str">
        <f>IF($C364="","",IF(AND(LEFT($F364,3)="ДОК",$H364&lt;&gt;""),IFERROR(INDEX(Документация!$G$2:$G$57,MATCH($H364,Документация!$F$2:$F$57,0)),"— вариант не найден —"),IFERROR(INDEX(Работы!$B$2:$B$6000,MATCH($C364,Работы!$A$2:$A$6000,0)),"— нет такого кода —")))</f>
        <v/>
      </c>
      <c r="E364" t="str">
        <f>IF($C364="","",IF(AND(LEFT($F364,3)="ДОК",$H364&lt;&gt;""),IFERROR(INDEX(Документация!$D$2:$D$57,MATCH($H364,Документация!$F$2:$F$57,0)),""),IFERROR(INDEX(Работы!$C$2:$C$6000,MATCH($C364,Работы!$A$2:$A$6000,0)),"")))</f>
        <v/>
      </c>
      <c r="F364" t="str">
        <f>IF($C364="","",IFERROR(INDEX(Работы!$G$2:$G$6000,MATCH($C364,Работы!$A$2:$A$6000,0))&amp;"",""))</f>
        <v/>
      </c>
      <c r="G364" s="4"/>
      <c r="H364" s="4"/>
      <c r="I364" s="5" t="str">
        <f>IF((LEFT($F364,3)="ДОК"),"",IF($H364="","",IFERROR(INDEX(Материалы!$B$2:$B$9000,MATCH($H364,Материалы!$M$2:$M$9000,0)),"")))</f>
        <v/>
      </c>
      <c r="J364" s="6">
        <f>IF(AND(LEFT($F364,3)="ДОК",$H364&lt;&gt;""),IFERROR(INDEX(Документация!$E$2:$E$57,MATCH($H364,Документация!$F$2:$F$57,0)),0),IFERROR(INDEX(Работы!$H$2:$H$6000,MATCH($C364,Работы!$A$2:$A$6000,0)),0))*(1-MEDIAN(0,N(ДисконтТендер),1))</f>
        <v>0</v>
      </c>
      <c r="K364" s="6">
        <f>IF(OR((LEFT($F364,3)="ДОК"),$H364=""),0,IFERROR(INDEX(Материалы!$H$2:$H$9000,MATCH($H364,Материалы!$M$2:$M$9000,0))*IF(INDEX(Материалы!$I$2:$I$9000,MATCH($H364,Материалы!$M$2:$M$9000,0))="USD",КурсUSD,IF(INDEX(Материалы!$I$2:$I$9000,MATCH($H364,Материалы!$M$2:$M$9000,0))="EUR",КурсEUR,1))*(1+IFERROR(INDEX(Работы!$I$2:$I$6000,MATCH($C364,Работы!$A$2:$A$6000,0))/100,0))*(1-MEDIAN(0,N(ДисконтТендер),1)),0))</f>
        <v>0</v>
      </c>
      <c r="L364" s="6">
        <f t="shared" si="31"/>
        <v>0</v>
      </c>
      <c r="M364" s="6">
        <f t="shared" si="32"/>
        <v>0</v>
      </c>
      <c r="N364" s="6">
        <f t="shared" si="33"/>
        <v>0</v>
      </c>
      <c r="O364" t="str">
        <f>IF($N364&gt;0,MAX($O$1:$O363)+1,"")</f>
        <v/>
      </c>
      <c r="P364" t="str">
        <f>IF($C364="","",IFERROR(INDEX(Работы!$D$2:$D$6000,MATCH($C364,Работы!$A$2:$A$6000,0)),""))</f>
        <v/>
      </c>
      <c r="Q364" t="str">
        <f t="shared" si="34"/>
        <v/>
      </c>
      <c r="R364" t="str">
        <f t="shared" si="35"/>
        <v/>
      </c>
      <c r="S364" t="str">
        <f>IF($P364="","",$P364&amp;" · "&amp;IFERROR(INDEX(Работы!$E$2:$E$6000,MATCH($C364,Работы!$A$2:$A$6000,0)),""))</f>
        <v/>
      </c>
    </row>
    <row r="365" spans="1:19" x14ac:dyDescent="0.3">
      <c r="A365" s="4"/>
      <c r="B365" s="4"/>
      <c r="C365" t="str">
        <f t="shared" si="30"/>
        <v/>
      </c>
      <c r="D365" s="5" t="str">
        <f>IF($C365="","",IF(AND(LEFT($F365,3)="ДОК",$H365&lt;&gt;""),IFERROR(INDEX(Документация!$G$2:$G$57,MATCH($H365,Документация!$F$2:$F$57,0)),"— вариант не найден —"),IFERROR(INDEX(Работы!$B$2:$B$6000,MATCH($C365,Работы!$A$2:$A$6000,0)),"— нет такого кода —")))</f>
        <v/>
      </c>
      <c r="E365" t="str">
        <f>IF($C365="","",IF(AND(LEFT($F365,3)="ДОК",$H365&lt;&gt;""),IFERROR(INDEX(Документация!$D$2:$D$57,MATCH($H365,Документация!$F$2:$F$57,0)),""),IFERROR(INDEX(Работы!$C$2:$C$6000,MATCH($C365,Работы!$A$2:$A$6000,0)),"")))</f>
        <v/>
      </c>
      <c r="F365" t="str">
        <f>IF($C365="","",IFERROR(INDEX(Работы!$G$2:$G$6000,MATCH($C365,Работы!$A$2:$A$6000,0))&amp;"",""))</f>
        <v/>
      </c>
      <c r="G365" s="4"/>
      <c r="H365" s="4"/>
      <c r="I365" s="5" t="str">
        <f>IF((LEFT($F365,3)="ДОК"),"",IF($H365="","",IFERROR(INDEX(Материалы!$B$2:$B$9000,MATCH($H365,Материалы!$M$2:$M$9000,0)),"")))</f>
        <v/>
      </c>
      <c r="J365" s="6">
        <f>IF(AND(LEFT($F365,3)="ДОК",$H365&lt;&gt;""),IFERROR(INDEX(Документация!$E$2:$E$57,MATCH($H365,Документация!$F$2:$F$57,0)),0),IFERROR(INDEX(Работы!$H$2:$H$6000,MATCH($C365,Работы!$A$2:$A$6000,0)),0))*(1-MEDIAN(0,N(ДисконтТендер),1))</f>
        <v>0</v>
      </c>
      <c r="K365" s="6">
        <f>IF(OR((LEFT($F365,3)="ДОК"),$H365=""),0,IFERROR(INDEX(Материалы!$H$2:$H$9000,MATCH($H365,Материалы!$M$2:$M$9000,0))*IF(INDEX(Материалы!$I$2:$I$9000,MATCH($H365,Материалы!$M$2:$M$9000,0))="USD",КурсUSD,IF(INDEX(Материалы!$I$2:$I$9000,MATCH($H365,Материалы!$M$2:$M$9000,0))="EUR",КурсEUR,1))*(1+IFERROR(INDEX(Работы!$I$2:$I$6000,MATCH($C365,Работы!$A$2:$A$6000,0))/100,0))*(1-MEDIAN(0,N(ДисконтТендер),1)),0))</f>
        <v>0</v>
      </c>
      <c r="L365" s="6">
        <f t="shared" si="31"/>
        <v>0</v>
      </c>
      <c r="M365" s="6">
        <f t="shared" si="32"/>
        <v>0</v>
      </c>
      <c r="N365" s="6">
        <f t="shared" si="33"/>
        <v>0</v>
      </c>
      <c r="O365" t="str">
        <f>IF($N365&gt;0,MAX($O$1:$O364)+1,"")</f>
        <v/>
      </c>
      <c r="P365" t="str">
        <f>IF($C365="","",IFERROR(INDEX(Работы!$D$2:$D$6000,MATCH($C365,Работы!$A$2:$A$6000,0)),""))</f>
        <v/>
      </c>
      <c r="Q365" t="str">
        <f t="shared" si="34"/>
        <v/>
      </c>
      <c r="R365" t="str">
        <f t="shared" si="35"/>
        <v/>
      </c>
      <c r="S365" t="str">
        <f>IF($P365="","",$P365&amp;" · "&amp;IFERROR(INDEX(Работы!$E$2:$E$6000,MATCH($C365,Работы!$A$2:$A$6000,0)),""))</f>
        <v/>
      </c>
    </row>
    <row r="366" spans="1:19" x14ac:dyDescent="0.3">
      <c r="A366" s="4"/>
      <c r="B366" s="4"/>
      <c r="C366" t="str">
        <f t="shared" si="30"/>
        <v/>
      </c>
      <c r="D366" s="5" t="str">
        <f>IF($C366="","",IF(AND(LEFT($F366,3)="ДОК",$H366&lt;&gt;""),IFERROR(INDEX(Документация!$G$2:$G$57,MATCH($H366,Документация!$F$2:$F$57,0)),"— вариант не найден —"),IFERROR(INDEX(Работы!$B$2:$B$6000,MATCH($C366,Работы!$A$2:$A$6000,0)),"— нет такого кода —")))</f>
        <v/>
      </c>
      <c r="E366" t="str">
        <f>IF($C366="","",IF(AND(LEFT($F366,3)="ДОК",$H366&lt;&gt;""),IFERROR(INDEX(Документация!$D$2:$D$57,MATCH($H366,Документация!$F$2:$F$57,0)),""),IFERROR(INDEX(Работы!$C$2:$C$6000,MATCH($C366,Работы!$A$2:$A$6000,0)),"")))</f>
        <v/>
      </c>
      <c r="F366" t="str">
        <f>IF($C366="","",IFERROR(INDEX(Работы!$G$2:$G$6000,MATCH($C366,Работы!$A$2:$A$6000,0))&amp;"",""))</f>
        <v/>
      </c>
      <c r="G366" s="4"/>
      <c r="H366" s="4"/>
      <c r="I366" s="5" t="str">
        <f>IF((LEFT($F366,3)="ДОК"),"",IF($H366="","",IFERROR(INDEX(Материалы!$B$2:$B$9000,MATCH($H366,Материалы!$M$2:$M$9000,0)),"")))</f>
        <v/>
      </c>
      <c r="J366" s="6">
        <f>IF(AND(LEFT($F366,3)="ДОК",$H366&lt;&gt;""),IFERROR(INDEX(Документация!$E$2:$E$57,MATCH($H366,Документация!$F$2:$F$57,0)),0),IFERROR(INDEX(Работы!$H$2:$H$6000,MATCH($C366,Работы!$A$2:$A$6000,0)),0))*(1-MEDIAN(0,N(ДисконтТендер),1))</f>
        <v>0</v>
      </c>
      <c r="K366" s="6">
        <f>IF(OR((LEFT($F366,3)="ДОК"),$H366=""),0,IFERROR(INDEX(Материалы!$H$2:$H$9000,MATCH($H366,Материалы!$M$2:$M$9000,0))*IF(INDEX(Материалы!$I$2:$I$9000,MATCH($H366,Материалы!$M$2:$M$9000,0))="USD",КурсUSD,IF(INDEX(Материалы!$I$2:$I$9000,MATCH($H366,Материалы!$M$2:$M$9000,0))="EUR",КурсEUR,1))*(1+IFERROR(INDEX(Работы!$I$2:$I$6000,MATCH($C366,Работы!$A$2:$A$6000,0))/100,0))*(1-MEDIAN(0,N(ДисконтТендер),1)),0))</f>
        <v>0</v>
      </c>
      <c r="L366" s="6">
        <f t="shared" si="31"/>
        <v>0</v>
      </c>
      <c r="M366" s="6">
        <f t="shared" si="32"/>
        <v>0</v>
      </c>
      <c r="N366" s="6">
        <f t="shared" si="33"/>
        <v>0</v>
      </c>
      <c r="O366" t="str">
        <f>IF($N366&gt;0,MAX($O$1:$O365)+1,"")</f>
        <v/>
      </c>
      <c r="P366" t="str">
        <f>IF($C366="","",IFERROR(INDEX(Работы!$D$2:$D$6000,MATCH($C366,Работы!$A$2:$A$6000,0)),""))</f>
        <v/>
      </c>
      <c r="Q366" t="str">
        <f t="shared" si="34"/>
        <v/>
      </c>
      <c r="R366" t="str">
        <f t="shared" si="35"/>
        <v/>
      </c>
      <c r="S366" t="str">
        <f>IF($P366="","",$P366&amp;" · "&amp;IFERROR(INDEX(Работы!$E$2:$E$6000,MATCH($C366,Работы!$A$2:$A$6000,0)),""))</f>
        <v/>
      </c>
    </row>
    <row r="367" spans="1:19" x14ac:dyDescent="0.3">
      <c r="A367" s="4"/>
      <c r="B367" s="4"/>
      <c r="C367" t="str">
        <f t="shared" si="30"/>
        <v/>
      </c>
      <c r="D367" s="5" t="str">
        <f>IF($C367="","",IF(AND(LEFT($F367,3)="ДОК",$H367&lt;&gt;""),IFERROR(INDEX(Документация!$G$2:$G$57,MATCH($H367,Документация!$F$2:$F$57,0)),"— вариант не найден —"),IFERROR(INDEX(Работы!$B$2:$B$6000,MATCH($C367,Работы!$A$2:$A$6000,0)),"— нет такого кода —")))</f>
        <v/>
      </c>
      <c r="E367" t="str">
        <f>IF($C367="","",IF(AND(LEFT($F367,3)="ДОК",$H367&lt;&gt;""),IFERROR(INDEX(Документация!$D$2:$D$57,MATCH($H367,Документация!$F$2:$F$57,0)),""),IFERROR(INDEX(Работы!$C$2:$C$6000,MATCH($C367,Работы!$A$2:$A$6000,0)),"")))</f>
        <v/>
      </c>
      <c r="F367" t="str">
        <f>IF($C367="","",IFERROR(INDEX(Работы!$G$2:$G$6000,MATCH($C367,Работы!$A$2:$A$6000,0))&amp;"",""))</f>
        <v/>
      </c>
      <c r="G367" s="4"/>
      <c r="H367" s="4"/>
      <c r="I367" s="5" t="str">
        <f>IF((LEFT($F367,3)="ДОК"),"",IF($H367="","",IFERROR(INDEX(Материалы!$B$2:$B$9000,MATCH($H367,Материалы!$M$2:$M$9000,0)),"")))</f>
        <v/>
      </c>
      <c r="J367" s="6">
        <f>IF(AND(LEFT($F367,3)="ДОК",$H367&lt;&gt;""),IFERROR(INDEX(Документация!$E$2:$E$57,MATCH($H367,Документация!$F$2:$F$57,0)),0),IFERROR(INDEX(Работы!$H$2:$H$6000,MATCH($C367,Работы!$A$2:$A$6000,0)),0))*(1-MEDIAN(0,N(ДисконтТендер),1))</f>
        <v>0</v>
      </c>
      <c r="K367" s="6">
        <f>IF(OR((LEFT($F367,3)="ДОК"),$H367=""),0,IFERROR(INDEX(Материалы!$H$2:$H$9000,MATCH($H367,Материалы!$M$2:$M$9000,0))*IF(INDEX(Материалы!$I$2:$I$9000,MATCH($H367,Материалы!$M$2:$M$9000,0))="USD",КурсUSD,IF(INDEX(Материалы!$I$2:$I$9000,MATCH($H367,Материалы!$M$2:$M$9000,0))="EUR",КурсEUR,1))*(1+IFERROR(INDEX(Работы!$I$2:$I$6000,MATCH($C367,Работы!$A$2:$A$6000,0))/100,0))*(1-MEDIAN(0,N(ДисконтТендер),1)),0))</f>
        <v>0</v>
      </c>
      <c r="L367" s="6">
        <f t="shared" si="31"/>
        <v>0</v>
      </c>
      <c r="M367" s="6">
        <f t="shared" si="32"/>
        <v>0</v>
      </c>
      <c r="N367" s="6">
        <f t="shared" si="33"/>
        <v>0</v>
      </c>
      <c r="O367" t="str">
        <f>IF($N367&gt;0,MAX($O$1:$O366)+1,"")</f>
        <v/>
      </c>
      <c r="P367" t="str">
        <f>IF($C367="","",IFERROR(INDEX(Работы!$D$2:$D$6000,MATCH($C367,Работы!$A$2:$A$6000,0)),""))</f>
        <v/>
      </c>
      <c r="Q367" t="str">
        <f t="shared" si="34"/>
        <v/>
      </c>
      <c r="R367" t="str">
        <f t="shared" si="35"/>
        <v/>
      </c>
      <c r="S367" t="str">
        <f>IF($P367="","",$P367&amp;" · "&amp;IFERROR(INDEX(Работы!$E$2:$E$6000,MATCH($C367,Работы!$A$2:$A$6000,0)),""))</f>
        <v/>
      </c>
    </row>
    <row r="368" spans="1:19" x14ac:dyDescent="0.3">
      <c r="A368" s="4"/>
      <c r="B368" s="4"/>
      <c r="C368" t="str">
        <f t="shared" si="30"/>
        <v/>
      </c>
      <c r="D368" s="5" t="str">
        <f>IF($C368="","",IF(AND(LEFT($F368,3)="ДОК",$H368&lt;&gt;""),IFERROR(INDEX(Документация!$G$2:$G$57,MATCH($H368,Документация!$F$2:$F$57,0)),"— вариант не найден —"),IFERROR(INDEX(Работы!$B$2:$B$6000,MATCH($C368,Работы!$A$2:$A$6000,0)),"— нет такого кода —")))</f>
        <v/>
      </c>
      <c r="E368" t="str">
        <f>IF($C368="","",IF(AND(LEFT($F368,3)="ДОК",$H368&lt;&gt;""),IFERROR(INDEX(Документация!$D$2:$D$57,MATCH($H368,Документация!$F$2:$F$57,0)),""),IFERROR(INDEX(Работы!$C$2:$C$6000,MATCH($C368,Работы!$A$2:$A$6000,0)),"")))</f>
        <v/>
      </c>
      <c r="F368" t="str">
        <f>IF($C368="","",IFERROR(INDEX(Работы!$G$2:$G$6000,MATCH($C368,Работы!$A$2:$A$6000,0))&amp;"",""))</f>
        <v/>
      </c>
      <c r="G368" s="4"/>
      <c r="H368" s="4"/>
      <c r="I368" s="5" t="str">
        <f>IF((LEFT($F368,3)="ДОК"),"",IF($H368="","",IFERROR(INDEX(Материалы!$B$2:$B$9000,MATCH($H368,Материалы!$M$2:$M$9000,0)),"")))</f>
        <v/>
      </c>
      <c r="J368" s="6">
        <f>IF(AND(LEFT($F368,3)="ДОК",$H368&lt;&gt;""),IFERROR(INDEX(Документация!$E$2:$E$57,MATCH($H368,Документация!$F$2:$F$57,0)),0),IFERROR(INDEX(Работы!$H$2:$H$6000,MATCH($C368,Работы!$A$2:$A$6000,0)),0))*(1-MEDIAN(0,N(ДисконтТендер),1))</f>
        <v>0</v>
      </c>
      <c r="K368" s="6">
        <f>IF(OR((LEFT($F368,3)="ДОК"),$H368=""),0,IFERROR(INDEX(Материалы!$H$2:$H$9000,MATCH($H368,Материалы!$M$2:$M$9000,0))*IF(INDEX(Материалы!$I$2:$I$9000,MATCH($H368,Материалы!$M$2:$M$9000,0))="USD",КурсUSD,IF(INDEX(Материалы!$I$2:$I$9000,MATCH($H368,Материалы!$M$2:$M$9000,0))="EUR",КурсEUR,1))*(1+IFERROR(INDEX(Работы!$I$2:$I$6000,MATCH($C368,Работы!$A$2:$A$6000,0))/100,0))*(1-MEDIAN(0,N(ДисконтТендер),1)),0))</f>
        <v>0</v>
      </c>
      <c r="L368" s="6">
        <f t="shared" si="31"/>
        <v>0</v>
      </c>
      <c r="M368" s="6">
        <f t="shared" si="32"/>
        <v>0</v>
      </c>
      <c r="N368" s="6">
        <f t="shared" si="33"/>
        <v>0</v>
      </c>
      <c r="O368" t="str">
        <f>IF($N368&gt;0,MAX($O$1:$O367)+1,"")</f>
        <v/>
      </c>
      <c r="P368" t="str">
        <f>IF($C368="","",IFERROR(INDEX(Работы!$D$2:$D$6000,MATCH($C368,Работы!$A$2:$A$6000,0)),""))</f>
        <v/>
      </c>
      <c r="Q368" t="str">
        <f t="shared" si="34"/>
        <v/>
      </c>
      <c r="R368" t="str">
        <f t="shared" si="35"/>
        <v/>
      </c>
      <c r="S368" t="str">
        <f>IF($P368="","",$P368&amp;" · "&amp;IFERROR(INDEX(Работы!$E$2:$E$6000,MATCH($C368,Работы!$A$2:$A$6000,0)),""))</f>
        <v/>
      </c>
    </row>
    <row r="369" spans="1:19" x14ac:dyDescent="0.3">
      <c r="A369" s="4"/>
      <c r="B369" s="4"/>
      <c r="C369" t="str">
        <f t="shared" si="30"/>
        <v/>
      </c>
      <c r="D369" s="5" t="str">
        <f>IF($C369="","",IF(AND(LEFT($F369,3)="ДОК",$H369&lt;&gt;""),IFERROR(INDEX(Документация!$G$2:$G$57,MATCH($H369,Документация!$F$2:$F$57,0)),"— вариант не найден —"),IFERROR(INDEX(Работы!$B$2:$B$6000,MATCH($C369,Работы!$A$2:$A$6000,0)),"— нет такого кода —")))</f>
        <v/>
      </c>
      <c r="E369" t="str">
        <f>IF($C369="","",IF(AND(LEFT($F369,3)="ДОК",$H369&lt;&gt;""),IFERROR(INDEX(Документация!$D$2:$D$57,MATCH($H369,Документация!$F$2:$F$57,0)),""),IFERROR(INDEX(Работы!$C$2:$C$6000,MATCH($C369,Работы!$A$2:$A$6000,0)),"")))</f>
        <v/>
      </c>
      <c r="F369" t="str">
        <f>IF($C369="","",IFERROR(INDEX(Работы!$G$2:$G$6000,MATCH($C369,Работы!$A$2:$A$6000,0))&amp;"",""))</f>
        <v/>
      </c>
      <c r="G369" s="4"/>
      <c r="H369" s="4"/>
      <c r="I369" s="5" t="str">
        <f>IF((LEFT($F369,3)="ДОК"),"",IF($H369="","",IFERROR(INDEX(Материалы!$B$2:$B$9000,MATCH($H369,Материалы!$M$2:$M$9000,0)),"")))</f>
        <v/>
      </c>
      <c r="J369" s="6">
        <f>IF(AND(LEFT($F369,3)="ДОК",$H369&lt;&gt;""),IFERROR(INDEX(Документация!$E$2:$E$57,MATCH($H369,Документация!$F$2:$F$57,0)),0),IFERROR(INDEX(Работы!$H$2:$H$6000,MATCH($C369,Работы!$A$2:$A$6000,0)),0))*(1-MEDIAN(0,N(ДисконтТендер),1))</f>
        <v>0</v>
      </c>
      <c r="K369" s="6">
        <f>IF(OR((LEFT($F369,3)="ДОК"),$H369=""),0,IFERROR(INDEX(Материалы!$H$2:$H$9000,MATCH($H369,Материалы!$M$2:$M$9000,0))*IF(INDEX(Материалы!$I$2:$I$9000,MATCH($H369,Материалы!$M$2:$M$9000,0))="USD",КурсUSD,IF(INDEX(Материалы!$I$2:$I$9000,MATCH($H369,Материалы!$M$2:$M$9000,0))="EUR",КурсEUR,1))*(1+IFERROR(INDEX(Работы!$I$2:$I$6000,MATCH($C369,Работы!$A$2:$A$6000,0))/100,0))*(1-MEDIAN(0,N(ДисконтТендер),1)),0))</f>
        <v>0</v>
      </c>
      <c r="L369" s="6">
        <f t="shared" si="31"/>
        <v>0</v>
      </c>
      <c r="M369" s="6">
        <f t="shared" si="32"/>
        <v>0</v>
      </c>
      <c r="N369" s="6">
        <f t="shared" si="33"/>
        <v>0</v>
      </c>
      <c r="O369" t="str">
        <f>IF($N369&gt;0,MAX($O$1:$O368)+1,"")</f>
        <v/>
      </c>
      <c r="P369" t="str">
        <f>IF($C369="","",IFERROR(INDEX(Работы!$D$2:$D$6000,MATCH($C369,Работы!$A$2:$A$6000,0)),""))</f>
        <v/>
      </c>
      <c r="Q369" t="str">
        <f t="shared" si="34"/>
        <v/>
      </c>
      <c r="R369" t="str">
        <f t="shared" si="35"/>
        <v/>
      </c>
      <c r="S369" t="str">
        <f>IF($P369="","",$P369&amp;" · "&amp;IFERROR(INDEX(Работы!$E$2:$E$6000,MATCH($C369,Работы!$A$2:$A$6000,0)),""))</f>
        <v/>
      </c>
    </row>
    <row r="370" spans="1:19" x14ac:dyDescent="0.3">
      <c r="A370" s="4"/>
      <c r="B370" s="4"/>
      <c r="C370" t="str">
        <f t="shared" si="30"/>
        <v/>
      </c>
      <c r="D370" s="5" t="str">
        <f>IF($C370="","",IF(AND(LEFT($F370,3)="ДОК",$H370&lt;&gt;""),IFERROR(INDEX(Документация!$G$2:$G$57,MATCH($H370,Документация!$F$2:$F$57,0)),"— вариант не найден —"),IFERROR(INDEX(Работы!$B$2:$B$6000,MATCH($C370,Работы!$A$2:$A$6000,0)),"— нет такого кода —")))</f>
        <v/>
      </c>
      <c r="E370" t="str">
        <f>IF($C370="","",IF(AND(LEFT($F370,3)="ДОК",$H370&lt;&gt;""),IFERROR(INDEX(Документация!$D$2:$D$57,MATCH($H370,Документация!$F$2:$F$57,0)),""),IFERROR(INDEX(Работы!$C$2:$C$6000,MATCH($C370,Работы!$A$2:$A$6000,0)),"")))</f>
        <v/>
      </c>
      <c r="F370" t="str">
        <f>IF($C370="","",IFERROR(INDEX(Работы!$G$2:$G$6000,MATCH($C370,Работы!$A$2:$A$6000,0))&amp;"",""))</f>
        <v/>
      </c>
      <c r="G370" s="4"/>
      <c r="H370" s="4"/>
      <c r="I370" s="5" t="str">
        <f>IF((LEFT($F370,3)="ДОК"),"",IF($H370="","",IFERROR(INDEX(Материалы!$B$2:$B$9000,MATCH($H370,Материалы!$M$2:$M$9000,0)),"")))</f>
        <v/>
      </c>
      <c r="J370" s="6">
        <f>IF(AND(LEFT($F370,3)="ДОК",$H370&lt;&gt;""),IFERROR(INDEX(Документация!$E$2:$E$57,MATCH($H370,Документация!$F$2:$F$57,0)),0),IFERROR(INDEX(Работы!$H$2:$H$6000,MATCH($C370,Работы!$A$2:$A$6000,0)),0))*(1-MEDIAN(0,N(ДисконтТендер),1))</f>
        <v>0</v>
      </c>
      <c r="K370" s="6">
        <f>IF(OR((LEFT($F370,3)="ДОК"),$H370=""),0,IFERROR(INDEX(Материалы!$H$2:$H$9000,MATCH($H370,Материалы!$M$2:$M$9000,0))*IF(INDEX(Материалы!$I$2:$I$9000,MATCH($H370,Материалы!$M$2:$M$9000,0))="USD",КурсUSD,IF(INDEX(Материалы!$I$2:$I$9000,MATCH($H370,Материалы!$M$2:$M$9000,0))="EUR",КурсEUR,1))*(1+IFERROR(INDEX(Работы!$I$2:$I$6000,MATCH($C370,Работы!$A$2:$A$6000,0))/100,0))*(1-MEDIAN(0,N(ДисконтТендер),1)),0))</f>
        <v>0</v>
      </c>
      <c r="L370" s="6">
        <f t="shared" si="31"/>
        <v>0</v>
      </c>
      <c r="M370" s="6">
        <f t="shared" si="32"/>
        <v>0</v>
      </c>
      <c r="N370" s="6">
        <f t="shared" si="33"/>
        <v>0</v>
      </c>
      <c r="O370" t="str">
        <f>IF($N370&gt;0,MAX($O$1:$O369)+1,"")</f>
        <v/>
      </c>
      <c r="P370" t="str">
        <f>IF($C370="","",IFERROR(INDEX(Работы!$D$2:$D$6000,MATCH($C370,Работы!$A$2:$A$6000,0)),""))</f>
        <v/>
      </c>
      <c r="Q370" t="str">
        <f t="shared" si="34"/>
        <v/>
      </c>
      <c r="R370" t="str">
        <f t="shared" si="35"/>
        <v/>
      </c>
      <c r="S370" t="str">
        <f>IF($P370="","",$P370&amp;" · "&amp;IFERROR(INDEX(Работы!$E$2:$E$6000,MATCH($C370,Работы!$A$2:$A$6000,0)),""))</f>
        <v/>
      </c>
    </row>
    <row r="371" spans="1:19" x14ac:dyDescent="0.3">
      <c r="A371" s="4"/>
      <c r="B371" s="4"/>
      <c r="C371" t="str">
        <f t="shared" si="30"/>
        <v/>
      </c>
      <c r="D371" s="5" t="str">
        <f>IF($C371="","",IF(AND(LEFT($F371,3)="ДОК",$H371&lt;&gt;""),IFERROR(INDEX(Документация!$G$2:$G$57,MATCH($H371,Документация!$F$2:$F$57,0)),"— вариант не найден —"),IFERROR(INDEX(Работы!$B$2:$B$6000,MATCH($C371,Работы!$A$2:$A$6000,0)),"— нет такого кода —")))</f>
        <v/>
      </c>
      <c r="E371" t="str">
        <f>IF($C371="","",IF(AND(LEFT($F371,3)="ДОК",$H371&lt;&gt;""),IFERROR(INDEX(Документация!$D$2:$D$57,MATCH($H371,Документация!$F$2:$F$57,0)),""),IFERROR(INDEX(Работы!$C$2:$C$6000,MATCH($C371,Работы!$A$2:$A$6000,0)),"")))</f>
        <v/>
      </c>
      <c r="F371" t="str">
        <f>IF($C371="","",IFERROR(INDEX(Работы!$G$2:$G$6000,MATCH($C371,Работы!$A$2:$A$6000,0))&amp;"",""))</f>
        <v/>
      </c>
      <c r="G371" s="4"/>
      <c r="H371" s="4"/>
      <c r="I371" s="5" t="str">
        <f>IF((LEFT($F371,3)="ДОК"),"",IF($H371="","",IFERROR(INDEX(Материалы!$B$2:$B$9000,MATCH($H371,Материалы!$M$2:$M$9000,0)),"")))</f>
        <v/>
      </c>
      <c r="J371" s="6">
        <f>IF(AND(LEFT($F371,3)="ДОК",$H371&lt;&gt;""),IFERROR(INDEX(Документация!$E$2:$E$57,MATCH($H371,Документация!$F$2:$F$57,0)),0),IFERROR(INDEX(Работы!$H$2:$H$6000,MATCH($C371,Работы!$A$2:$A$6000,0)),0))*(1-MEDIAN(0,N(ДисконтТендер),1))</f>
        <v>0</v>
      </c>
      <c r="K371" s="6">
        <f>IF(OR((LEFT($F371,3)="ДОК"),$H371=""),0,IFERROR(INDEX(Материалы!$H$2:$H$9000,MATCH($H371,Материалы!$M$2:$M$9000,0))*IF(INDEX(Материалы!$I$2:$I$9000,MATCH($H371,Материалы!$M$2:$M$9000,0))="USD",КурсUSD,IF(INDEX(Материалы!$I$2:$I$9000,MATCH($H371,Материалы!$M$2:$M$9000,0))="EUR",КурсEUR,1))*(1+IFERROR(INDEX(Работы!$I$2:$I$6000,MATCH($C371,Работы!$A$2:$A$6000,0))/100,0))*(1-MEDIAN(0,N(ДисконтТендер),1)),0))</f>
        <v>0</v>
      </c>
      <c r="L371" s="6">
        <f t="shared" si="31"/>
        <v>0</v>
      </c>
      <c r="M371" s="6">
        <f t="shared" si="32"/>
        <v>0</v>
      </c>
      <c r="N371" s="6">
        <f t="shared" si="33"/>
        <v>0</v>
      </c>
      <c r="O371" t="str">
        <f>IF($N371&gt;0,MAX($O$1:$O370)+1,"")</f>
        <v/>
      </c>
      <c r="P371" t="str">
        <f>IF($C371="","",IFERROR(INDEX(Работы!$D$2:$D$6000,MATCH($C371,Работы!$A$2:$A$6000,0)),""))</f>
        <v/>
      </c>
      <c r="Q371" t="str">
        <f t="shared" si="34"/>
        <v/>
      </c>
      <c r="R371" t="str">
        <f t="shared" si="35"/>
        <v/>
      </c>
      <c r="S371" t="str">
        <f>IF($P371="","",$P371&amp;" · "&amp;IFERROR(INDEX(Работы!$E$2:$E$6000,MATCH($C371,Работы!$A$2:$A$6000,0)),""))</f>
        <v/>
      </c>
    </row>
    <row r="372" spans="1:19" x14ac:dyDescent="0.3">
      <c r="A372" s="4"/>
      <c r="B372" s="4"/>
      <c r="C372" t="str">
        <f t="shared" si="30"/>
        <v/>
      </c>
      <c r="D372" s="5" t="str">
        <f>IF($C372="","",IF(AND(LEFT($F372,3)="ДОК",$H372&lt;&gt;""),IFERROR(INDEX(Документация!$G$2:$G$57,MATCH($H372,Документация!$F$2:$F$57,0)),"— вариант не найден —"),IFERROR(INDEX(Работы!$B$2:$B$6000,MATCH($C372,Работы!$A$2:$A$6000,0)),"— нет такого кода —")))</f>
        <v/>
      </c>
      <c r="E372" t="str">
        <f>IF($C372="","",IF(AND(LEFT($F372,3)="ДОК",$H372&lt;&gt;""),IFERROR(INDEX(Документация!$D$2:$D$57,MATCH($H372,Документация!$F$2:$F$57,0)),""),IFERROR(INDEX(Работы!$C$2:$C$6000,MATCH($C372,Работы!$A$2:$A$6000,0)),"")))</f>
        <v/>
      </c>
      <c r="F372" t="str">
        <f>IF($C372="","",IFERROR(INDEX(Работы!$G$2:$G$6000,MATCH($C372,Работы!$A$2:$A$6000,0))&amp;"",""))</f>
        <v/>
      </c>
      <c r="G372" s="4"/>
      <c r="H372" s="4"/>
      <c r="I372" s="5" t="str">
        <f>IF((LEFT($F372,3)="ДОК"),"",IF($H372="","",IFERROR(INDEX(Материалы!$B$2:$B$9000,MATCH($H372,Материалы!$M$2:$M$9000,0)),"")))</f>
        <v/>
      </c>
      <c r="J372" s="6">
        <f>IF(AND(LEFT($F372,3)="ДОК",$H372&lt;&gt;""),IFERROR(INDEX(Документация!$E$2:$E$57,MATCH($H372,Документация!$F$2:$F$57,0)),0),IFERROR(INDEX(Работы!$H$2:$H$6000,MATCH($C372,Работы!$A$2:$A$6000,0)),0))*(1-MEDIAN(0,N(ДисконтТендер),1))</f>
        <v>0</v>
      </c>
      <c r="K372" s="6">
        <f>IF(OR((LEFT($F372,3)="ДОК"),$H372=""),0,IFERROR(INDEX(Материалы!$H$2:$H$9000,MATCH($H372,Материалы!$M$2:$M$9000,0))*IF(INDEX(Материалы!$I$2:$I$9000,MATCH($H372,Материалы!$M$2:$M$9000,0))="USD",КурсUSD,IF(INDEX(Материалы!$I$2:$I$9000,MATCH($H372,Материалы!$M$2:$M$9000,0))="EUR",КурсEUR,1))*(1+IFERROR(INDEX(Работы!$I$2:$I$6000,MATCH($C372,Работы!$A$2:$A$6000,0))/100,0))*(1-MEDIAN(0,N(ДисконтТендер),1)),0))</f>
        <v>0</v>
      </c>
      <c r="L372" s="6">
        <f t="shared" si="31"/>
        <v>0</v>
      </c>
      <c r="M372" s="6">
        <f t="shared" si="32"/>
        <v>0</v>
      </c>
      <c r="N372" s="6">
        <f t="shared" si="33"/>
        <v>0</v>
      </c>
      <c r="O372" t="str">
        <f>IF($N372&gt;0,MAX($O$1:$O371)+1,"")</f>
        <v/>
      </c>
      <c r="P372" t="str">
        <f>IF($C372="","",IFERROR(INDEX(Работы!$D$2:$D$6000,MATCH($C372,Работы!$A$2:$A$6000,0)),""))</f>
        <v/>
      </c>
      <c r="Q372" t="str">
        <f t="shared" si="34"/>
        <v/>
      </c>
      <c r="R372" t="str">
        <f t="shared" si="35"/>
        <v/>
      </c>
      <c r="S372" t="str">
        <f>IF($P372="","",$P372&amp;" · "&amp;IFERROR(INDEX(Работы!$E$2:$E$6000,MATCH($C372,Работы!$A$2:$A$6000,0)),""))</f>
        <v/>
      </c>
    </row>
    <row r="373" spans="1:19" x14ac:dyDescent="0.3">
      <c r="A373" s="4"/>
      <c r="B373" s="4"/>
      <c r="C373" t="str">
        <f t="shared" si="30"/>
        <v/>
      </c>
      <c r="D373" s="5" t="str">
        <f>IF($C373="","",IF(AND(LEFT($F373,3)="ДОК",$H373&lt;&gt;""),IFERROR(INDEX(Документация!$G$2:$G$57,MATCH($H373,Документация!$F$2:$F$57,0)),"— вариант не найден —"),IFERROR(INDEX(Работы!$B$2:$B$6000,MATCH($C373,Работы!$A$2:$A$6000,0)),"— нет такого кода —")))</f>
        <v/>
      </c>
      <c r="E373" t="str">
        <f>IF($C373="","",IF(AND(LEFT($F373,3)="ДОК",$H373&lt;&gt;""),IFERROR(INDEX(Документация!$D$2:$D$57,MATCH($H373,Документация!$F$2:$F$57,0)),""),IFERROR(INDEX(Работы!$C$2:$C$6000,MATCH($C373,Работы!$A$2:$A$6000,0)),"")))</f>
        <v/>
      </c>
      <c r="F373" t="str">
        <f>IF($C373="","",IFERROR(INDEX(Работы!$G$2:$G$6000,MATCH($C373,Работы!$A$2:$A$6000,0))&amp;"",""))</f>
        <v/>
      </c>
      <c r="G373" s="4"/>
      <c r="H373" s="4"/>
      <c r="I373" s="5" t="str">
        <f>IF((LEFT($F373,3)="ДОК"),"",IF($H373="","",IFERROR(INDEX(Материалы!$B$2:$B$9000,MATCH($H373,Материалы!$M$2:$M$9000,0)),"")))</f>
        <v/>
      </c>
      <c r="J373" s="6">
        <f>IF(AND(LEFT($F373,3)="ДОК",$H373&lt;&gt;""),IFERROR(INDEX(Документация!$E$2:$E$57,MATCH($H373,Документация!$F$2:$F$57,0)),0),IFERROR(INDEX(Работы!$H$2:$H$6000,MATCH($C373,Работы!$A$2:$A$6000,0)),0))*(1-MEDIAN(0,N(ДисконтТендер),1))</f>
        <v>0</v>
      </c>
      <c r="K373" s="6">
        <f>IF(OR((LEFT($F373,3)="ДОК"),$H373=""),0,IFERROR(INDEX(Материалы!$H$2:$H$9000,MATCH($H373,Материалы!$M$2:$M$9000,0))*IF(INDEX(Материалы!$I$2:$I$9000,MATCH($H373,Материалы!$M$2:$M$9000,0))="USD",КурсUSD,IF(INDEX(Материалы!$I$2:$I$9000,MATCH($H373,Материалы!$M$2:$M$9000,0))="EUR",КурсEUR,1))*(1+IFERROR(INDEX(Работы!$I$2:$I$6000,MATCH($C373,Работы!$A$2:$A$6000,0))/100,0))*(1-MEDIAN(0,N(ДисконтТендер),1)),0))</f>
        <v>0</v>
      </c>
      <c r="L373" s="6">
        <f t="shared" si="31"/>
        <v>0</v>
      </c>
      <c r="M373" s="6">
        <f t="shared" si="32"/>
        <v>0</v>
      </c>
      <c r="N373" s="6">
        <f t="shared" si="33"/>
        <v>0</v>
      </c>
      <c r="O373" t="str">
        <f>IF($N373&gt;0,MAX($O$1:$O372)+1,"")</f>
        <v/>
      </c>
      <c r="P373" t="str">
        <f>IF($C373="","",IFERROR(INDEX(Работы!$D$2:$D$6000,MATCH($C373,Работы!$A$2:$A$6000,0)),""))</f>
        <v/>
      </c>
      <c r="Q373" t="str">
        <f t="shared" si="34"/>
        <v/>
      </c>
      <c r="R373" t="str">
        <f t="shared" si="35"/>
        <v/>
      </c>
      <c r="S373" t="str">
        <f>IF($P373="","",$P373&amp;" · "&amp;IFERROR(INDEX(Работы!$E$2:$E$6000,MATCH($C373,Работы!$A$2:$A$6000,0)),""))</f>
        <v/>
      </c>
    </row>
    <row r="374" spans="1:19" x14ac:dyDescent="0.3">
      <c r="A374" s="4"/>
      <c r="B374" s="4"/>
      <c r="C374" t="str">
        <f t="shared" si="30"/>
        <v/>
      </c>
      <c r="D374" s="5" t="str">
        <f>IF($C374="","",IF(AND(LEFT($F374,3)="ДОК",$H374&lt;&gt;""),IFERROR(INDEX(Документация!$G$2:$G$57,MATCH($H374,Документация!$F$2:$F$57,0)),"— вариант не найден —"),IFERROR(INDEX(Работы!$B$2:$B$6000,MATCH($C374,Работы!$A$2:$A$6000,0)),"— нет такого кода —")))</f>
        <v/>
      </c>
      <c r="E374" t="str">
        <f>IF($C374="","",IF(AND(LEFT($F374,3)="ДОК",$H374&lt;&gt;""),IFERROR(INDEX(Документация!$D$2:$D$57,MATCH($H374,Документация!$F$2:$F$57,0)),""),IFERROR(INDEX(Работы!$C$2:$C$6000,MATCH($C374,Работы!$A$2:$A$6000,0)),"")))</f>
        <v/>
      </c>
      <c r="F374" t="str">
        <f>IF($C374="","",IFERROR(INDEX(Работы!$G$2:$G$6000,MATCH($C374,Работы!$A$2:$A$6000,0))&amp;"",""))</f>
        <v/>
      </c>
      <c r="G374" s="4"/>
      <c r="H374" s="4"/>
      <c r="I374" s="5" t="str">
        <f>IF((LEFT($F374,3)="ДОК"),"",IF($H374="","",IFERROR(INDEX(Материалы!$B$2:$B$9000,MATCH($H374,Материалы!$M$2:$M$9000,0)),"")))</f>
        <v/>
      </c>
      <c r="J374" s="6">
        <f>IF(AND(LEFT($F374,3)="ДОК",$H374&lt;&gt;""),IFERROR(INDEX(Документация!$E$2:$E$57,MATCH($H374,Документация!$F$2:$F$57,0)),0),IFERROR(INDEX(Работы!$H$2:$H$6000,MATCH($C374,Работы!$A$2:$A$6000,0)),0))*(1-MEDIAN(0,N(ДисконтТендер),1))</f>
        <v>0</v>
      </c>
      <c r="K374" s="6">
        <f>IF(OR((LEFT($F374,3)="ДОК"),$H374=""),0,IFERROR(INDEX(Материалы!$H$2:$H$9000,MATCH($H374,Материалы!$M$2:$M$9000,0))*IF(INDEX(Материалы!$I$2:$I$9000,MATCH($H374,Материалы!$M$2:$M$9000,0))="USD",КурсUSD,IF(INDEX(Материалы!$I$2:$I$9000,MATCH($H374,Материалы!$M$2:$M$9000,0))="EUR",КурсEUR,1))*(1+IFERROR(INDEX(Работы!$I$2:$I$6000,MATCH($C374,Работы!$A$2:$A$6000,0))/100,0))*(1-MEDIAN(0,N(ДисконтТендер),1)),0))</f>
        <v>0</v>
      </c>
      <c r="L374" s="6">
        <f t="shared" si="31"/>
        <v>0</v>
      </c>
      <c r="M374" s="6">
        <f t="shared" si="32"/>
        <v>0</v>
      </c>
      <c r="N374" s="6">
        <f t="shared" si="33"/>
        <v>0</v>
      </c>
      <c r="O374" t="str">
        <f>IF($N374&gt;0,MAX($O$1:$O373)+1,"")</f>
        <v/>
      </c>
      <c r="P374" t="str">
        <f>IF($C374="","",IFERROR(INDEX(Работы!$D$2:$D$6000,MATCH($C374,Работы!$A$2:$A$6000,0)),""))</f>
        <v/>
      </c>
      <c r="Q374" t="str">
        <f t="shared" si="34"/>
        <v/>
      </c>
      <c r="R374" t="str">
        <f t="shared" si="35"/>
        <v/>
      </c>
      <c r="S374" t="str">
        <f>IF($P374="","",$P374&amp;" · "&amp;IFERROR(INDEX(Работы!$E$2:$E$6000,MATCH($C374,Работы!$A$2:$A$6000,0)),""))</f>
        <v/>
      </c>
    </row>
    <row r="375" spans="1:19" x14ac:dyDescent="0.3">
      <c r="A375" s="4"/>
      <c r="B375" s="4"/>
      <c r="C375" t="str">
        <f t="shared" si="30"/>
        <v/>
      </c>
      <c r="D375" s="5" t="str">
        <f>IF($C375="","",IF(AND(LEFT($F375,3)="ДОК",$H375&lt;&gt;""),IFERROR(INDEX(Документация!$G$2:$G$57,MATCH($H375,Документация!$F$2:$F$57,0)),"— вариант не найден —"),IFERROR(INDEX(Работы!$B$2:$B$6000,MATCH($C375,Работы!$A$2:$A$6000,0)),"— нет такого кода —")))</f>
        <v/>
      </c>
      <c r="E375" t="str">
        <f>IF($C375="","",IF(AND(LEFT($F375,3)="ДОК",$H375&lt;&gt;""),IFERROR(INDEX(Документация!$D$2:$D$57,MATCH($H375,Документация!$F$2:$F$57,0)),""),IFERROR(INDEX(Работы!$C$2:$C$6000,MATCH($C375,Работы!$A$2:$A$6000,0)),"")))</f>
        <v/>
      </c>
      <c r="F375" t="str">
        <f>IF($C375="","",IFERROR(INDEX(Работы!$G$2:$G$6000,MATCH($C375,Работы!$A$2:$A$6000,0))&amp;"",""))</f>
        <v/>
      </c>
      <c r="G375" s="4"/>
      <c r="H375" s="4"/>
      <c r="I375" s="5" t="str">
        <f>IF((LEFT($F375,3)="ДОК"),"",IF($H375="","",IFERROR(INDEX(Материалы!$B$2:$B$9000,MATCH($H375,Материалы!$M$2:$M$9000,0)),"")))</f>
        <v/>
      </c>
      <c r="J375" s="6">
        <f>IF(AND(LEFT($F375,3)="ДОК",$H375&lt;&gt;""),IFERROR(INDEX(Документация!$E$2:$E$57,MATCH($H375,Документация!$F$2:$F$57,0)),0),IFERROR(INDEX(Работы!$H$2:$H$6000,MATCH($C375,Работы!$A$2:$A$6000,0)),0))*(1-MEDIAN(0,N(ДисконтТендер),1))</f>
        <v>0</v>
      </c>
      <c r="K375" s="6">
        <f>IF(OR((LEFT($F375,3)="ДОК"),$H375=""),0,IFERROR(INDEX(Материалы!$H$2:$H$9000,MATCH($H375,Материалы!$M$2:$M$9000,0))*IF(INDEX(Материалы!$I$2:$I$9000,MATCH($H375,Материалы!$M$2:$M$9000,0))="USD",КурсUSD,IF(INDEX(Материалы!$I$2:$I$9000,MATCH($H375,Материалы!$M$2:$M$9000,0))="EUR",КурсEUR,1))*(1+IFERROR(INDEX(Работы!$I$2:$I$6000,MATCH($C375,Работы!$A$2:$A$6000,0))/100,0))*(1-MEDIAN(0,N(ДисконтТендер),1)),0))</f>
        <v>0</v>
      </c>
      <c r="L375" s="6">
        <f t="shared" si="31"/>
        <v>0</v>
      </c>
      <c r="M375" s="6">
        <f t="shared" si="32"/>
        <v>0</v>
      </c>
      <c r="N375" s="6">
        <f t="shared" si="33"/>
        <v>0</v>
      </c>
      <c r="O375" t="str">
        <f>IF($N375&gt;0,MAX($O$1:$O374)+1,"")</f>
        <v/>
      </c>
      <c r="P375" t="str">
        <f>IF($C375="","",IFERROR(INDEX(Работы!$D$2:$D$6000,MATCH($C375,Работы!$A$2:$A$6000,0)),""))</f>
        <v/>
      </c>
      <c r="Q375" t="str">
        <f t="shared" si="34"/>
        <v/>
      </c>
      <c r="R375" t="str">
        <f t="shared" si="35"/>
        <v/>
      </c>
      <c r="S375" t="str">
        <f>IF($P375="","",$P375&amp;" · "&amp;IFERROR(INDEX(Работы!$E$2:$E$6000,MATCH($C375,Работы!$A$2:$A$6000,0)),""))</f>
        <v/>
      </c>
    </row>
    <row r="376" spans="1:19" x14ac:dyDescent="0.3">
      <c r="A376" s="4"/>
      <c r="B376" s="4"/>
      <c r="C376" t="str">
        <f t="shared" si="30"/>
        <v/>
      </c>
      <c r="D376" s="5" t="str">
        <f>IF($C376="","",IF(AND(LEFT($F376,3)="ДОК",$H376&lt;&gt;""),IFERROR(INDEX(Документация!$G$2:$G$57,MATCH($H376,Документация!$F$2:$F$57,0)),"— вариант не найден —"),IFERROR(INDEX(Работы!$B$2:$B$6000,MATCH($C376,Работы!$A$2:$A$6000,0)),"— нет такого кода —")))</f>
        <v/>
      </c>
      <c r="E376" t="str">
        <f>IF($C376="","",IF(AND(LEFT($F376,3)="ДОК",$H376&lt;&gt;""),IFERROR(INDEX(Документация!$D$2:$D$57,MATCH($H376,Документация!$F$2:$F$57,0)),""),IFERROR(INDEX(Работы!$C$2:$C$6000,MATCH($C376,Работы!$A$2:$A$6000,0)),"")))</f>
        <v/>
      </c>
      <c r="F376" t="str">
        <f>IF($C376="","",IFERROR(INDEX(Работы!$G$2:$G$6000,MATCH($C376,Работы!$A$2:$A$6000,0))&amp;"",""))</f>
        <v/>
      </c>
      <c r="G376" s="4"/>
      <c r="H376" s="4"/>
      <c r="I376" s="5" t="str">
        <f>IF((LEFT($F376,3)="ДОК"),"",IF($H376="","",IFERROR(INDEX(Материалы!$B$2:$B$9000,MATCH($H376,Материалы!$M$2:$M$9000,0)),"")))</f>
        <v/>
      </c>
      <c r="J376" s="6">
        <f>IF(AND(LEFT($F376,3)="ДОК",$H376&lt;&gt;""),IFERROR(INDEX(Документация!$E$2:$E$57,MATCH($H376,Документация!$F$2:$F$57,0)),0),IFERROR(INDEX(Работы!$H$2:$H$6000,MATCH($C376,Работы!$A$2:$A$6000,0)),0))*(1-MEDIAN(0,N(ДисконтТендер),1))</f>
        <v>0</v>
      </c>
      <c r="K376" s="6">
        <f>IF(OR((LEFT($F376,3)="ДОК"),$H376=""),0,IFERROR(INDEX(Материалы!$H$2:$H$9000,MATCH($H376,Материалы!$M$2:$M$9000,0))*IF(INDEX(Материалы!$I$2:$I$9000,MATCH($H376,Материалы!$M$2:$M$9000,0))="USD",КурсUSD,IF(INDEX(Материалы!$I$2:$I$9000,MATCH($H376,Материалы!$M$2:$M$9000,0))="EUR",КурсEUR,1))*(1+IFERROR(INDEX(Работы!$I$2:$I$6000,MATCH($C376,Работы!$A$2:$A$6000,0))/100,0))*(1-MEDIAN(0,N(ДисконтТендер),1)),0))</f>
        <v>0</v>
      </c>
      <c r="L376" s="6">
        <f t="shared" si="31"/>
        <v>0</v>
      </c>
      <c r="M376" s="6">
        <f t="shared" si="32"/>
        <v>0</v>
      </c>
      <c r="N376" s="6">
        <f t="shared" si="33"/>
        <v>0</v>
      </c>
      <c r="O376" t="str">
        <f>IF($N376&gt;0,MAX($O$1:$O375)+1,"")</f>
        <v/>
      </c>
      <c r="P376" t="str">
        <f>IF($C376="","",IFERROR(INDEX(Работы!$D$2:$D$6000,MATCH($C376,Работы!$A$2:$A$6000,0)),""))</f>
        <v/>
      </c>
      <c r="Q376" t="str">
        <f t="shared" si="34"/>
        <v/>
      </c>
      <c r="R376" t="str">
        <f t="shared" si="35"/>
        <v/>
      </c>
      <c r="S376" t="str">
        <f>IF($P376="","",$P376&amp;" · "&amp;IFERROR(INDEX(Работы!$E$2:$E$6000,MATCH($C376,Работы!$A$2:$A$6000,0)),""))</f>
        <v/>
      </c>
    </row>
    <row r="377" spans="1:19" x14ac:dyDescent="0.3">
      <c r="A377" s="4"/>
      <c r="B377" s="4"/>
      <c r="C377" t="str">
        <f t="shared" si="30"/>
        <v/>
      </c>
      <c r="D377" s="5" t="str">
        <f>IF($C377="","",IF(AND(LEFT($F377,3)="ДОК",$H377&lt;&gt;""),IFERROR(INDEX(Документация!$G$2:$G$57,MATCH($H377,Документация!$F$2:$F$57,0)),"— вариант не найден —"),IFERROR(INDEX(Работы!$B$2:$B$6000,MATCH($C377,Работы!$A$2:$A$6000,0)),"— нет такого кода —")))</f>
        <v/>
      </c>
      <c r="E377" t="str">
        <f>IF($C377="","",IF(AND(LEFT($F377,3)="ДОК",$H377&lt;&gt;""),IFERROR(INDEX(Документация!$D$2:$D$57,MATCH($H377,Документация!$F$2:$F$57,0)),""),IFERROR(INDEX(Работы!$C$2:$C$6000,MATCH($C377,Работы!$A$2:$A$6000,0)),"")))</f>
        <v/>
      </c>
      <c r="F377" t="str">
        <f>IF($C377="","",IFERROR(INDEX(Работы!$G$2:$G$6000,MATCH($C377,Работы!$A$2:$A$6000,0))&amp;"",""))</f>
        <v/>
      </c>
      <c r="G377" s="4"/>
      <c r="H377" s="4"/>
      <c r="I377" s="5" t="str">
        <f>IF((LEFT($F377,3)="ДОК"),"",IF($H377="","",IFERROR(INDEX(Материалы!$B$2:$B$9000,MATCH($H377,Материалы!$M$2:$M$9000,0)),"")))</f>
        <v/>
      </c>
      <c r="J377" s="6">
        <f>IF(AND(LEFT($F377,3)="ДОК",$H377&lt;&gt;""),IFERROR(INDEX(Документация!$E$2:$E$57,MATCH($H377,Документация!$F$2:$F$57,0)),0),IFERROR(INDEX(Работы!$H$2:$H$6000,MATCH($C377,Работы!$A$2:$A$6000,0)),0))*(1-MEDIAN(0,N(ДисконтТендер),1))</f>
        <v>0</v>
      </c>
      <c r="K377" s="6">
        <f>IF(OR((LEFT($F377,3)="ДОК"),$H377=""),0,IFERROR(INDEX(Материалы!$H$2:$H$9000,MATCH($H377,Материалы!$M$2:$M$9000,0))*IF(INDEX(Материалы!$I$2:$I$9000,MATCH($H377,Материалы!$M$2:$M$9000,0))="USD",КурсUSD,IF(INDEX(Материалы!$I$2:$I$9000,MATCH($H377,Материалы!$M$2:$M$9000,0))="EUR",КурсEUR,1))*(1+IFERROR(INDEX(Работы!$I$2:$I$6000,MATCH($C377,Работы!$A$2:$A$6000,0))/100,0))*(1-MEDIAN(0,N(ДисконтТендер),1)),0))</f>
        <v>0</v>
      </c>
      <c r="L377" s="6">
        <f t="shared" si="31"/>
        <v>0</v>
      </c>
      <c r="M377" s="6">
        <f t="shared" si="32"/>
        <v>0</v>
      </c>
      <c r="N377" s="6">
        <f t="shared" si="33"/>
        <v>0</v>
      </c>
      <c r="O377" t="str">
        <f>IF($N377&gt;0,MAX($O$1:$O376)+1,"")</f>
        <v/>
      </c>
      <c r="P377" t="str">
        <f>IF($C377="","",IFERROR(INDEX(Работы!$D$2:$D$6000,MATCH($C377,Работы!$A$2:$A$6000,0)),""))</f>
        <v/>
      </c>
      <c r="Q377" t="str">
        <f t="shared" si="34"/>
        <v/>
      </c>
      <c r="R377" t="str">
        <f t="shared" si="35"/>
        <v/>
      </c>
      <c r="S377" t="str">
        <f>IF($P377="","",$P377&amp;" · "&amp;IFERROR(INDEX(Работы!$E$2:$E$6000,MATCH($C377,Работы!$A$2:$A$6000,0)),""))</f>
        <v/>
      </c>
    </row>
    <row r="378" spans="1:19" x14ac:dyDescent="0.3">
      <c r="A378" s="4"/>
      <c r="B378" s="4"/>
      <c r="C378" t="str">
        <f t="shared" si="30"/>
        <v/>
      </c>
      <c r="D378" s="5" t="str">
        <f>IF($C378="","",IF(AND(LEFT($F378,3)="ДОК",$H378&lt;&gt;""),IFERROR(INDEX(Документация!$G$2:$G$57,MATCH($H378,Документация!$F$2:$F$57,0)),"— вариант не найден —"),IFERROR(INDEX(Работы!$B$2:$B$6000,MATCH($C378,Работы!$A$2:$A$6000,0)),"— нет такого кода —")))</f>
        <v/>
      </c>
      <c r="E378" t="str">
        <f>IF($C378="","",IF(AND(LEFT($F378,3)="ДОК",$H378&lt;&gt;""),IFERROR(INDEX(Документация!$D$2:$D$57,MATCH($H378,Документация!$F$2:$F$57,0)),""),IFERROR(INDEX(Работы!$C$2:$C$6000,MATCH($C378,Работы!$A$2:$A$6000,0)),"")))</f>
        <v/>
      </c>
      <c r="F378" t="str">
        <f>IF($C378="","",IFERROR(INDEX(Работы!$G$2:$G$6000,MATCH($C378,Работы!$A$2:$A$6000,0))&amp;"",""))</f>
        <v/>
      </c>
      <c r="G378" s="4"/>
      <c r="H378" s="4"/>
      <c r="I378" s="5" t="str">
        <f>IF((LEFT($F378,3)="ДОК"),"",IF($H378="","",IFERROR(INDEX(Материалы!$B$2:$B$9000,MATCH($H378,Материалы!$M$2:$M$9000,0)),"")))</f>
        <v/>
      </c>
      <c r="J378" s="6">
        <f>IF(AND(LEFT($F378,3)="ДОК",$H378&lt;&gt;""),IFERROR(INDEX(Документация!$E$2:$E$57,MATCH($H378,Документация!$F$2:$F$57,0)),0),IFERROR(INDEX(Работы!$H$2:$H$6000,MATCH($C378,Работы!$A$2:$A$6000,0)),0))*(1-MEDIAN(0,N(ДисконтТендер),1))</f>
        <v>0</v>
      </c>
      <c r="K378" s="6">
        <f>IF(OR((LEFT($F378,3)="ДОК"),$H378=""),0,IFERROR(INDEX(Материалы!$H$2:$H$9000,MATCH($H378,Материалы!$M$2:$M$9000,0))*IF(INDEX(Материалы!$I$2:$I$9000,MATCH($H378,Материалы!$M$2:$M$9000,0))="USD",КурсUSD,IF(INDEX(Материалы!$I$2:$I$9000,MATCH($H378,Материалы!$M$2:$M$9000,0))="EUR",КурсEUR,1))*(1+IFERROR(INDEX(Работы!$I$2:$I$6000,MATCH($C378,Работы!$A$2:$A$6000,0))/100,0))*(1-MEDIAN(0,N(ДисконтТендер),1)),0))</f>
        <v>0</v>
      </c>
      <c r="L378" s="6">
        <f t="shared" si="31"/>
        <v>0</v>
      </c>
      <c r="M378" s="6">
        <f t="shared" si="32"/>
        <v>0</v>
      </c>
      <c r="N378" s="6">
        <f t="shared" si="33"/>
        <v>0</v>
      </c>
      <c r="O378" t="str">
        <f>IF($N378&gt;0,MAX($O$1:$O377)+1,"")</f>
        <v/>
      </c>
      <c r="P378" t="str">
        <f>IF($C378="","",IFERROR(INDEX(Работы!$D$2:$D$6000,MATCH($C378,Работы!$A$2:$A$6000,0)),""))</f>
        <v/>
      </c>
      <c r="Q378" t="str">
        <f t="shared" si="34"/>
        <v/>
      </c>
      <c r="R378" t="str">
        <f t="shared" si="35"/>
        <v/>
      </c>
      <c r="S378" t="str">
        <f>IF($P378="","",$P378&amp;" · "&amp;IFERROR(INDEX(Работы!$E$2:$E$6000,MATCH($C378,Работы!$A$2:$A$6000,0)),""))</f>
        <v/>
      </c>
    </row>
    <row r="379" spans="1:19" x14ac:dyDescent="0.3">
      <c r="A379" s="4"/>
      <c r="B379" s="4"/>
      <c r="C379" t="str">
        <f t="shared" si="30"/>
        <v/>
      </c>
      <c r="D379" s="5" t="str">
        <f>IF($C379="","",IF(AND(LEFT($F379,3)="ДОК",$H379&lt;&gt;""),IFERROR(INDEX(Документация!$G$2:$G$57,MATCH($H379,Документация!$F$2:$F$57,0)),"— вариант не найден —"),IFERROR(INDEX(Работы!$B$2:$B$6000,MATCH($C379,Работы!$A$2:$A$6000,0)),"— нет такого кода —")))</f>
        <v/>
      </c>
      <c r="E379" t="str">
        <f>IF($C379="","",IF(AND(LEFT($F379,3)="ДОК",$H379&lt;&gt;""),IFERROR(INDEX(Документация!$D$2:$D$57,MATCH($H379,Документация!$F$2:$F$57,0)),""),IFERROR(INDEX(Работы!$C$2:$C$6000,MATCH($C379,Работы!$A$2:$A$6000,0)),"")))</f>
        <v/>
      </c>
      <c r="F379" t="str">
        <f>IF($C379="","",IFERROR(INDEX(Работы!$G$2:$G$6000,MATCH($C379,Работы!$A$2:$A$6000,0))&amp;"",""))</f>
        <v/>
      </c>
      <c r="G379" s="4"/>
      <c r="H379" s="4"/>
      <c r="I379" s="5" t="str">
        <f>IF((LEFT($F379,3)="ДОК"),"",IF($H379="","",IFERROR(INDEX(Материалы!$B$2:$B$9000,MATCH($H379,Материалы!$M$2:$M$9000,0)),"")))</f>
        <v/>
      </c>
      <c r="J379" s="6">
        <f>IF(AND(LEFT($F379,3)="ДОК",$H379&lt;&gt;""),IFERROR(INDEX(Документация!$E$2:$E$57,MATCH($H379,Документация!$F$2:$F$57,0)),0),IFERROR(INDEX(Работы!$H$2:$H$6000,MATCH($C379,Работы!$A$2:$A$6000,0)),0))*(1-MEDIAN(0,N(ДисконтТендер),1))</f>
        <v>0</v>
      </c>
      <c r="K379" s="6">
        <f>IF(OR((LEFT($F379,3)="ДОК"),$H379=""),0,IFERROR(INDEX(Материалы!$H$2:$H$9000,MATCH($H379,Материалы!$M$2:$M$9000,0))*IF(INDEX(Материалы!$I$2:$I$9000,MATCH($H379,Материалы!$M$2:$M$9000,0))="USD",КурсUSD,IF(INDEX(Материалы!$I$2:$I$9000,MATCH($H379,Материалы!$M$2:$M$9000,0))="EUR",КурсEUR,1))*(1+IFERROR(INDEX(Работы!$I$2:$I$6000,MATCH($C379,Работы!$A$2:$A$6000,0))/100,0))*(1-MEDIAN(0,N(ДисконтТендер),1)),0))</f>
        <v>0</v>
      </c>
      <c r="L379" s="6">
        <f t="shared" si="31"/>
        <v>0</v>
      </c>
      <c r="M379" s="6">
        <f t="shared" si="32"/>
        <v>0</v>
      </c>
      <c r="N379" s="6">
        <f t="shared" si="33"/>
        <v>0</v>
      </c>
      <c r="O379" t="str">
        <f>IF($N379&gt;0,MAX($O$1:$O378)+1,"")</f>
        <v/>
      </c>
      <c r="P379" t="str">
        <f>IF($C379="","",IFERROR(INDEX(Работы!$D$2:$D$6000,MATCH($C379,Работы!$A$2:$A$6000,0)),""))</f>
        <v/>
      </c>
      <c r="Q379" t="str">
        <f t="shared" si="34"/>
        <v/>
      </c>
      <c r="R379" t="str">
        <f t="shared" si="35"/>
        <v/>
      </c>
      <c r="S379" t="str">
        <f>IF($P379="","",$P379&amp;" · "&amp;IFERROR(INDEX(Работы!$E$2:$E$6000,MATCH($C379,Работы!$A$2:$A$6000,0)),""))</f>
        <v/>
      </c>
    </row>
    <row r="380" spans="1:19" x14ac:dyDescent="0.3">
      <c r="A380" s="4"/>
      <c r="B380" s="4"/>
      <c r="C380" t="str">
        <f t="shared" si="30"/>
        <v/>
      </c>
      <c r="D380" s="5" t="str">
        <f>IF($C380="","",IF(AND(LEFT($F380,3)="ДОК",$H380&lt;&gt;""),IFERROR(INDEX(Документация!$G$2:$G$57,MATCH($H380,Документация!$F$2:$F$57,0)),"— вариант не найден —"),IFERROR(INDEX(Работы!$B$2:$B$6000,MATCH($C380,Работы!$A$2:$A$6000,0)),"— нет такого кода —")))</f>
        <v/>
      </c>
      <c r="E380" t="str">
        <f>IF($C380="","",IF(AND(LEFT($F380,3)="ДОК",$H380&lt;&gt;""),IFERROR(INDEX(Документация!$D$2:$D$57,MATCH($H380,Документация!$F$2:$F$57,0)),""),IFERROR(INDEX(Работы!$C$2:$C$6000,MATCH($C380,Работы!$A$2:$A$6000,0)),"")))</f>
        <v/>
      </c>
      <c r="F380" t="str">
        <f>IF($C380="","",IFERROR(INDEX(Работы!$G$2:$G$6000,MATCH($C380,Работы!$A$2:$A$6000,0))&amp;"",""))</f>
        <v/>
      </c>
      <c r="G380" s="4"/>
      <c r="H380" s="4"/>
      <c r="I380" s="5" t="str">
        <f>IF((LEFT($F380,3)="ДОК"),"",IF($H380="","",IFERROR(INDEX(Материалы!$B$2:$B$9000,MATCH($H380,Материалы!$M$2:$M$9000,0)),"")))</f>
        <v/>
      </c>
      <c r="J380" s="6">
        <f>IF(AND(LEFT($F380,3)="ДОК",$H380&lt;&gt;""),IFERROR(INDEX(Документация!$E$2:$E$57,MATCH($H380,Документация!$F$2:$F$57,0)),0),IFERROR(INDEX(Работы!$H$2:$H$6000,MATCH($C380,Работы!$A$2:$A$6000,0)),0))*(1-MEDIAN(0,N(ДисконтТендер),1))</f>
        <v>0</v>
      </c>
      <c r="K380" s="6">
        <f>IF(OR((LEFT($F380,3)="ДОК"),$H380=""),0,IFERROR(INDEX(Материалы!$H$2:$H$9000,MATCH($H380,Материалы!$M$2:$M$9000,0))*IF(INDEX(Материалы!$I$2:$I$9000,MATCH($H380,Материалы!$M$2:$M$9000,0))="USD",КурсUSD,IF(INDEX(Материалы!$I$2:$I$9000,MATCH($H380,Материалы!$M$2:$M$9000,0))="EUR",КурсEUR,1))*(1+IFERROR(INDEX(Работы!$I$2:$I$6000,MATCH($C380,Работы!$A$2:$A$6000,0))/100,0))*(1-MEDIAN(0,N(ДисконтТендер),1)),0))</f>
        <v>0</v>
      </c>
      <c r="L380" s="6">
        <f t="shared" si="31"/>
        <v>0</v>
      </c>
      <c r="M380" s="6">
        <f t="shared" si="32"/>
        <v>0</v>
      </c>
      <c r="N380" s="6">
        <f t="shared" si="33"/>
        <v>0</v>
      </c>
      <c r="O380" t="str">
        <f>IF($N380&gt;0,MAX($O$1:$O379)+1,"")</f>
        <v/>
      </c>
      <c r="P380" t="str">
        <f>IF($C380="","",IFERROR(INDEX(Работы!$D$2:$D$6000,MATCH($C380,Работы!$A$2:$A$6000,0)),""))</f>
        <v/>
      </c>
      <c r="Q380" t="str">
        <f t="shared" si="34"/>
        <v/>
      </c>
      <c r="R380" t="str">
        <f t="shared" si="35"/>
        <v/>
      </c>
      <c r="S380" t="str">
        <f>IF($P380="","",$P380&amp;" · "&amp;IFERROR(INDEX(Работы!$E$2:$E$6000,MATCH($C380,Работы!$A$2:$A$6000,0)),""))</f>
        <v/>
      </c>
    </row>
    <row r="381" spans="1:19" x14ac:dyDescent="0.3">
      <c r="A381" s="4"/>
      <c r="B381" s="4"/>
      <c r="C381" t="str">
        <f t="shared" si="30"/>
        <v/>
      </c>
      <c r="D381" s="5" t="str">
        <f>IF($C381="","",IF(AND(LEFT($F381,3)="ДОК",$H381&lt;&gt;""),IFERROR(INDEX(Документация!$G$2:$G$57,MATCH($H381,Документация!$F$2:$F$57,0)),"— вариант не найден —"),IFERROR(INDEX(Работы!$B$2:$B$6000,MATCH($C381,Работы!$A$2:$A$6000,0)),"— нет такого кода —")))</f>
        <v/>
      </c>
      <c r="E381" t="str">
        <f>IF($C381="","",IF(AND(LEFT($F381,3)="ДОК",$H381&lt;&gt;""),IFERROR(INDEX(Документация!$D$2:$D$57,MATCH($H381,Документация!$F$2:$F$57,0)),""),IFERROR(INDEX(Работы!$C$2:$C$6000,MATCH($C381,Работы!$A$2:$A$6000,0)),"")))</f>
        <v/>
      </c>
      <c r="F381" t="str">
        <f>IF($C381="","",IFERROR(INDEX(Работы!$G$2:$G$6000,MATCH($C381,Работы!$A$2:$A$6000,0))&amp;"",""))</f>
        <v/>
      </c>
      <c r="G381" s="4"/>
      <c r="H381" s="4"/>
      <c r="I381" s="5" t="str">
        <f>IF((LEFT($F381,3)="ДОК"),"",IF($H381="","",IFERROR(INDEX(Материалы!$B$2:$B$9000,MATCH($H381,Материалы!$M$2:$M$9000,0)),"")))</f>
        <v/>
      </c>
      <c r="J381" s="6">
        <f>IF(AND(LEFT($F381,3)="ДОК",$H381&lt;&gt;""),IFERROR(INDEX(Документация!$E$2:$E$57,MATCH($H381,Документация!$F$2:$F$57,0)),0),IFERROR(INDEX(Работы!$H$2:$H$6000,MATCH($C381,Работы!$A$2:$A$6000,0)),0))*(1-MEDIAN(0,N(ДисконтТендер),1))</f>
        <v>0</v>
      </c>
      <c r="K381" s="6">
        <f>IF(OR((LEFT($F381,3)="ДОК"),$H381=""),0,IFERROR(INDEX(Материалы!$H$2:$H$9000,MATCH($H381,Материалы!$M$2:$M$9000,0))*IF(INDEX(Материалы!$I$2:$I$9000,MATCH($H381,Материалы!$M$2:$M$9000,0))="USD",КурсUSD,IF(INDEX(Материалы!$I$2:$I$9000,MATCH($H381,Материалы!$M$2:$M$9000,0))="EUR",КурсEUR,1))*(1+IFERROR(INDEX(Работы!$I$2:$I$6000,MATCH($C381,Работы!$A$2:$A$6000,0))/100,0))*(1-MEDIAN(0,N(ДисконтТендер),1)),0))</f>
        <v>0</v>
      </c>
      <c r="L381" s="6">
        <f t="shared" si="31"/>
        <v>0</v>
      </c>
      <c r="M381" s="6">
        <f t="shared" si="32"/>
        <v>0</v>
      </c>
      <c r="N381" s="6">
        <f t="shared" si="33"/>
        <v>0</v>
      </c>
      <c r="O381" t="str">
        <f>IF($N381&gt;0,MAX($O$1:$O380)+1,"")</f>
        <v/>
      </c>
      <c r="P381" t="str">
        <f>IF($C381="","",IFERROR(INDEX(Работы!$D$2:$D$6000,MATCH($C381,Работы!$A$2:$A$6000,0)),""))</f>
        <v/>
      </c>
      <c r="Q381" t="str">
        <f t="shared" si="34"/>
        <v/>
      </c>
      <c r="R381" t="str">
        <f t="shared" si="35"/>
        <v/>
      </c>
      <c r="S381" t="str">
        <f>IF($P381="","",$P381&amp;" · "&amp;IFERROR(INDEX(Работы!$E$2:$E$6000,MATCH($C381,Работы!$A$2:$A$6000,0)),""))</f>
        <v/>
      </c>
    </row>
    <row r="382" spans="1:19" x14ac:dyDescent="0.3">
      <c r="A382" s="4"/>
      <c r="B382" s="4"/>
      <c r="C382" t="str">
        <f t="shared" si="30"/>
        <v/>
      </c>
      <c r="D382" s="5" t="str">
        <f>IF($C382="","",IF(AND(LEFT($F382,3)="ДОК",$H382&lt;&gt;""),IFERROR(INDEX(Документация!$G$2:$G$57,MATCH($H382,Документация!$F$2:$F$57,0)),"— вариант не найден —"),IFERROR(INDEX(Работы!$B$2:$B$6000,MATCH($C382,Работы!$A$2:$A$6000,0)),"— нет такого кода —")))</f>
        <v/>
      </c>
      <c r="E382" t="str">
        <f>IF($C382="","",IF(AND(LEFT($F382,3)="ДОК",$H382&lt;&gt;""),IFERROR(INDEX(Документация!$D$2:$D$57,MATCH($H382,Документация!$F$2:$F$57,0)),""),IFERROR(INDEX(Работы!$C$2:$C$6000,MATCH($C382,Работы!$A$2:$A$6000,0)),"")))</f>
        <v/>
      </c>
      <c r="F382" t="str">
        <f>IF($C382="","",IFERROR(INDEX(Работы!$G$2:$G$6000,MATCH($C382,Работы!$A$2:$A$6000,0))&amp;"",""))</f>
        <v/>
      </c>
      <c r="G382" s="4"/>
      <c r="H382" s="4"/>
      <c r="I382" s="5" t="str">
        <f>IF((LEFT($F382,3)="ДОК"),"",IF($H382="","",IFERROR(INDEX(Материалы!$B$2:$B$9000,MATCH($H382,Материалы!$M$2:$M$9000,0)),"")))</f>
        <v/>
      </c>
      <c r="J382" s="6">
        <f>IF(AND(LEFT($F382,3)="ДОК",$H382&lt;&gt;""),IFERROR(INDEX(Документация!$E$2:$E$57,MATCH($H382,Документация!$F$2:$F$57,0)),0),IFERROR(INDEX(Работы!$H$2:$H$6000,MATCH($C382,Работы!$A$2:$A$6000,0)),0))*(1-MEDIAN(0,N(ДисконтТендер),1))</f>
        <v>0</v>
      </c>
      <c r="K382" s="6">
        <f>IF(OR((LEFT($F382,3)="ДОК"),$H382=""),0,IFERROR(INDEX(Материалы!$H$2:$H$9000,MATCH($H382,Материалы!$M$2:$M$9000,0))*IF(INDEX(Материалы!$I$2:$I$9000,MATCH($H382,Материалы!$M$2:$M$9000,0))="USD",КурсUSD,IF(INDEX(Материалы!$I$2:$I$9000,MATCH($H382,Материалы!$M$2:$M$9000,0))="EUR",КурсEUR,1))*(1+IFERROR(INDEX(Работы!$I$2:$I$6000,MATCH($C382,Работы!$A$2:$A$6000,0))/100,0))*(1-MEDIAN(0,N(ДисконтТендер),1)),0))</f>
        <v>0</v>
      </c>
      <c r="L382" s="6">
        <f t="shared" si="31"/>
        <v>0</v>
      </c>
      <c r="M382" s="6">
        <f t="shared" si="32"/>
        <v>0</v>
      </c>
      <c r="N382" s="6">
        <f t="shared" si="33"/>
        <v>0</v>
      </c>
      <c r="O382" t="str">
        <f>IF($N382&gt;0,MAX($O$1:$O381)+1,"")</f>
        <v/>
      </c>
      <c r="P382" t="str">
        <f>IF($C382="","",IFERROR(INDEX(Работы!$D$2:$D$6000,MATCH($C382,Работы!$A$2:$A$6000,0)),""))</f>
        <v/>
      </c>
      <c r="Q382" t="str">
        <f t="shared" si="34"/>
        <v/>
      </c>
      <c r="R382" t="str">
        <f t="shared" si="35"/>
        <v/>
      </c>
      <c r="S382" t="str">
        <f>IF($P382="","",$P382&amp;" · "&amp;IFERROR(INDEX(Работы!$E$2:$E$6000,MATCH($C382,Работы!$A$2:$A$6000,0)),""))</f>
        <v/>
      </c>
    </row>
    <row r="383" spans="1:19" x14ac:dyDescent="0.3">
      <c r="A383" s="4"/>
      <c r="B383" s="4"/>
      <c r="C383" t="str">
        <f t="shared" si="30"/>
        <v/>
      </c>
      <c r="D383" s="5" t="str">
        <f>IF($C383="","",IF(AND(LEFT($F383,3)="ДОК",$H383&lt;&gt;""),IFERROR(INDEX(Документация!$G$2:$G$57,MATCH($H383,Документация!$F$2:$F$57,0)),"— вариант не найден —"),IFERROR(INDEX(Работы!$B$2:$B$6000,MATCH($C383,Работы!$A$2:$A$6000,0)),"— нет такого кода —")))</f>
        <v/>
      </c>
      <c r="E383" t="str">
        <f>IF($C383="","",IF(AND(LEFT($F383,3)="ДОК",$H383&lt;&gt;""),IFERROR(INDEX(Документация!$D$2:$D$57,MATCH($H383,Документация!$F$2:$F$57,0)),""),IFERROR(INDEX(Работы!$C$2:$C$6000,MATCH($C383,Работы!$A$2:$A$6000,0)),"")))</f>
        <v/>
      </c>
      <c r="F383" t="str">
        <f>IF($C383="","",IFERROR(INDEX(Работы!$G$2:$G$6000,MATCH($C383,Работы!$A$2:$A$6000,0))&amp;"",""))</f>
        <v/>
      </c>
      <c r="G383" s="4"/>
      <c r="H383" s="4"/>
      <c r="I383" s="5" t="str">
        <f>IF((LEFT($F383,3)="ДОК"),"",IF($H383="","",IFERROR(INDEX(Материалы!$B$2:$B$9000,MATCH($H383,Материалы!$M$2:$M$9000,0)),"")))</f>
        <v/>
      </c>
      <c r="J383" s="6">
        <f>IF(AND(LEFT($F383,3)="ДОК",$H383&lt;&gt;""),IFERROR(INDEX(Документация!$E$2:$E$57,MATCH($H383,Документация!$F$2:$F$57,0)),0),IFERROR(INDEX(Работы!$H$2:$H$6000,MATCH($C383,Работы!$A$2:$A$6000,0)),0))*(1-MEDIAN(0,N(ДисконтТендер),1))</f>
        <v>0</v>
      </c>
      <c r="K383" s="6">
        <f>IF(OR((LEFT($F383,3)="ДОК"),$H383=""),0,IFERROR(INDEX(Материалы!$H$2:$H$9000,MATCH($H383,Материалы!$M$2:$M$9000,0))*IF(INDEX(Материалы!$I$2:$I$9000,MATCH($H383,Материалы!$M$2:$M$9000,0))="USD",КурсUSD,IF(INDEX(Материалы!$I$2:$I$9000,MATCH($H383,Материалы!$M$2:$M$9000,0))="EUR",КурсEUR,1))*(1+IFERROR(INDEX(Работы!$I$2:$I$6000,MATCH($C383,Работы!$A$2:$A$6000,0))/100,0))*(1-MEDIAN(0,N(ДисконтТендер),1)),0))</f>
        <v>0</v>
      </c>
      <c r="L383" s="6">
        <f t="shared" si="31"/>
        <v>0</v>
      </c>
      <c r="M383" s="6">
        <f t="shared" si="32"/>
        <v>0</v>
      </c>
      <c r="N383" s="6">
        <f t="shared" si="33"/>
        <v>0</v>
      </c>
      <c r="O383" t="str">
        <f>IF($N383&gt;0,MAX($O$1:$O382)+1,"")</f>
        <v/>
      </c>
      <c r="P383" t="str">
        <f>IF($C383="","",IFERROR(INDEX(Работы!$D$2:$D$6000,MATCH($C383,Работы!$A$2:$A$6000,0)),""))</f>
        <v/>
      </c>
      <c r="Q383" t="str">
        <f t="shared" si="34"/>
        <v/>
      </c>
      <c r="R383" t="str">
        <f t="shared" si="35"/>
        <v/>
      </c>
      <c r="S383" t="str">
        <f>IF($P383="","",$P383&amp;" · "&amp;IFERROR(INDEX(Работы!$E$2:$E$6000,MATCH($C383,Работы!$A$2:$A$6000,0)),""))</f>
        <v/>
      </c>
    </row>
    <row r="384" spans="1:19" x14ac:dyDescent="0.3">
      <c r="A384" s="4"/>
      <c r="B384" s="4"/>
      <c r="C384" t="str">
        <f t="shared" si="30"/>
        <v/>
      </c>
      <c r="D384" s="5" t="str">
        <f>IF($C384="","",IF(AND(LEFT($F384,3)="ДОК",$H384&lt;&gt;""),IFERROR(INDEX(Документация!$G$2:$G$57,MATCH($H384,Документация!$F$2:$F$57,0)),"— вариант не найден —"),IFERROR(INDEX(Работы!$B$2:$B$6000,MATCH($C384,Работы!$A$2:$A$6000,0)),"— нет такого кода —")))</f>
        <v/>
      </c>
      <c r="E384" t="str">
        <f>IF($C384="","",IF(AND(LEFT($F384,3)="ДОК",$H384&lt;&gt;""),IFERROR(INDEX(Документация!$D$2:$D$57,MATCH($H384,Документация!$F$2:$F$57,0)),""),IFERROR(INDEX(Работы!$C$2:$C$6000,MATCH($C384,Работы!$A$2:$A$6000,0)),"")))</f>
        <v/>
      </c>
      <c r="F384" t="str">
        <f>IF($C384="","",IFERROR(INDEX(Работы!$G$2:$G$6000,MATCH($C384,Работы!$A$2:$A$6000,0))&amp;"",""))</f>
        <v/>
      </c>
      <c r="G384" s="4"/>
      <c r="H384" s="4"/>
      <c r="I384" s="5" t="str">
        <f>IF((LEFT($F384,3)="ДОК"),"",IF($H384="","",IFERROR(INDEX(Материалы!$B$2:$B$9000,MATCH($H384,Материалы!$M$2:$M$9000,0)),"")))</f>
        <v/>
      </c>
      <c r="J384" s="6">
        <f>IF(AND(LEFT($F384,3)="ДОК",$H384&lt;&gt;""),IFERROR(INDEX(Документация!$E$2:$E$57,MATCH($H384,Документация!$F$2:$F$57,0)),0),IFERROR(INDEX(Работы!$H$2:$H$6000,MATCH($C384,Работы!$A$2:$A$6000,0)),0))*(1-MEDIAN(0,N(ДисконтТендер),1))</f>
        <v>0</v>
      </c>
      <c r="K384" s="6">
        <f>IF(OR((LEFT($F384,3)="ДОК"),$H384=""),0,IFERROR(INDEX(Материалы!$H$2:$H$9000,MATCH($H384,Материалы!$M$2:$M$9000,0))*IF(INDEX(Материалы!$I$2:$I$9000,MATCH($H384,Материалы!$M$2:$M$9000,0))="USD",КурсUSD,IF(INDEX(Материалы!$I$2:$I$9000,MATCH($H384,Материалы!$M$2:$M$9000,0))="EUR",КурсEUR,1))*(1+IFERROR(INDEX(Работы!$I$2:$I$6000,MATCH($C384,Работы!$A$2:$A$6000,0))/100,0))*(1-MEDIAN(0,N(ДисконтТендер),1)),0))</f>
        <v>0</v>
      </c>
      <c r="L384" s="6">
        <f t="shared" si="31"/>
        <v>0</v>
      </c>
      <c r="M384" s="6">
        <f t="shared" si="32"/>
        <v>0</v>
      </c>
      <c r="N384" s="6">
        <f t="shared" si="33"/>
        <v>0</v>
      </c>
      <c r="O384" t="str">
        <f>IF($N384&gt;0,MAX($O$1:$O383)+1,"")</f>
        <v/>
      </c>
      <c r="P384" t="str">
        <f>IF($C384="","",IFERROR(INDEX(Работы!$D$2:$D$6000,MATCH($C384,Работы!$A$2:$A$6000,0)),""))</f>
        <v/>
      </c>
      <c r="Q384" t="str">
        <f t="shared" si="34"/>
        <v/>
      </c>
      <c r="R384" t="str">
        <f t="shared" si="35"/>
        <v/>
      </c>
      <c r="S384" t="str">
        <f>IF($P384="","",$P384&amp;" · "&amp;IFERROR(INDEX(Работы!$E$2:$E$6000,MATCH($C384,Работы!$A$2:$A$6000,0)),""))</f>
        <v/>
      </c>
    </row>
    <row r="385" spans="1:19" x14ac:dyDescent="0.3">
      <c r="A385" s="4"/>
      <c r="B385" s="4"/>
      <c r="C385" t="str">
        <f t="shared" si="30"/>
        <v/>
      </c>
      <c r="D385" s="5" t="str">
        <f>IF($C385="","",IF(AND(LEFT($F385,3)="ДОК",$H385&lt;&gt;""),IFERROR(INDEX(Документация!$G$2:$G$57,MATCH($H385,Документация!$F$2:$F$57,0)),"— вариант не найден —"),IFERROR(INDEX(Работы!$B$2:$B$6000,MATCH($C385,Работы!$A$2:$A$6000,0)),"— нет такого кода —")))</f>
        <v/>
      </c>
      <c r="E385" t="str">
        <f>IF($C385="","",IF(AND(LEFT($F385,3)="ДОК",$H385&lt;&gt;""),IFERROR(INDEX(Документация!$D$2:$D$57,MATCH($H385,Документация!$F$2:$F$57,0)),""),IFERROR(INDEX(Работы!$C$2:$C$6000,MATCH($C385,Работы!$A$2:$A$6000,0)),"")))</f>
        <v/>
      </c>
      <c r="F385" t="str">
        <f>IF($C385="","",IFERROR(INDEX(Работы!$G$2:$G$6000,MATCH($C385,Работы!$A$2:$A$6000,0))&amp;"",""))</f>
        <v/>
      </c>
      <c r="G385" s="4"/>
      <c r="H385" s="4"/>
      <c r="I385" s="5" t="str">
        <f>IF((LEFT($F385,3)="ДОК"),"",IF($H385="","",IFERROR(INDEX(Материалы!$B$2:$B$9000,MATCH($H385,Материалы!$M$2:$M$9000,0)),"")))</f>
        <v/>
      </c>
      <c r="J385" s="6">
        <f>IF(AND(LEFT($F385,3)="ДОК",$H385&lt;&gt;""),IFERROR(INDEX(Документация!$E$2:$E$57,MATCH($H385,Документация!$F$2:$F$57,0)),0),IFERROR(INDEX(Работы!$H$2:$H$6000,MATCH($C385,Работы!$A$2:$A$6000,0)),0))*(1-MEDIAN(0,N(ДисконтТендер),1))</f>
        <v>0</v>
      </c>
      <c r="K385" s="6">
        <f>IF(OR((LEFT($F385,3)="ДОК"),$H385=""),0,IFERROR(INDEX(Материалы!$H$2:$H$9000,MATCH($H385,Материалы!$M$2:$M$9000,0))*IF(INDEX(Материалы!$I$2:$I$9000,MATCH($H385,Материалы!$M$2:$M$9000,0))="USD",КурсUSD,IF(INDEX(Материалы!$I$2:$I$9000,MATCH($H385,Материалы!$M$2:$M$9000,0))="EUR",КурсEUR,1))*(1+IFERROR(INDEX(Работы!$I$2:$I$6000,MATCH($C385,Работы!$A$2:$A$6000,0))/100,0))*(1-MEDIAN(0,N(ДисконтТендер),1)),0))</f>
        <v>0</v>
      </c>
      <c r="L385" s="6">
        <f t="shared" si="31"/>
        <v>0</v>
      </c>
      <c r="M385" s="6">
        <f t="shared" si="32"/>
        <v>0</v>
      </c>
      <c r="N385" s="6">
        <f t="shared" si="33"/>
        <v>0</v>
      </c>
      <c r="O385" t="str">
        <f>IF($N385&gt;0,MAX($O$1:$O384)+1,"")</f>
        <v/>
      </c>
      <c r="P385" t="str">
        <f>IF($C385="","",IFERROR(INDEX(Работы!$D$2:$D$6000,MATCH($C385,Работы!$A$2:$A$6000,0)),""))</f>
        <v/>
      </c>
      <c r="Q385" t="str">
        <f t="shared" si="34"/>
        <v/>
      </c>
      <c r="R385" t="str">
        <f t="shared" si="35"/>
        <v/>
      </c>
      <c r="S385" t="str">
        <f>IF($P385="","",$P385&amp;" · "&amp;IFERROR(INDEX(Работы!$E$2:$E$6000,MATCH($C385,Работы!$A$2:$A$6000,0)),""))</f>
        <v/>
      </c>
    </row>
    <row r="386" spans="1:19" x14ac:dyDescent="0.3">
      <c r="A386" s="4"/>
      <c r="B386" s="4"/>
      <c r="C386" t="str">
        <f t="shared" ref="C386:C449" si="36">IF($B386="","",IFERROR(LEFT($B386,FIND(" — ",$B386)-1),$B386))</f>
        <v/>
      </c>
      <c r="D386" s="5" t="str">
        <f>IF($C386="","",IF(AND(LEFT($F386,3)="ДОК",$H386&lt;&gt;""),IFERROR(INDEX(Документация!$G$2:$G$57,MATCH($H386,Документация!$F$2:$F$57,0)),"— вариант не найден —"),IFERROR(INDEX(Работы!$B$2:$B$6000,MATCH($C386,Работы!$A$2:$A$6000,0)),"— нет такого кода —")))</f>
        <v/>
      </c>
      <c r="E386" t="str">
        <f>IF($C386="","",IF(AND(LEFT($F386,3)="ДОК",$H386&lt;&gt;""),IFERROR(INDEX(Документация!$D$2:$D$57,MATCH($H386,Документация!$F$2:$F$57,0)),""),IFERROR(INDEX(Работы!$C$2:$C$6000,MATCH($C386,Работы!$A$2:$A$6000,0)),"")))</f>
        <v/>
      </c>
      <c r="F386" t="str">
        <f>IF($C386="","",IFERROR(INDEX(Работы!$G$2:$G$6000,MATCH($C386,Работы!$A$2:$A$6000,0))&amp;"",""))</f>
        <v/>
      </c>
      <c r="G386" s="4"/>
      <c r="H386" s="4"/>
      <c r="I386" s="5" t="str">
        <f>IF((LEFT($F386,3)="ДОК"),"",IF($H386="","",IFERROR(INDEX(Материалы!$B$2:$B$9000,MATCH($H386,Материалы!$M$2:$M$9000,0)),"")))</f>
        <v/>
      </c>
      <c r="J386" s="6">
        <f>IF(AND(LEFT($F386,3)="ДОК",$H386&lt;&gt;""),IFERROR(INDEX(Документация!$E$2:$E$57,MATCH($H386,Документация!$F$2:$F$57,0)),0),IFERROR(INDEX(Работы!$H$2:$H$6000,MATCH($C386,Работы!$A$2:$A$6000,0)),0))*(1-MEDIAN(0,N(ДисконтТендер),1))</f>
        <v>0</v>
      </c>
      <c r="K386" s="6">
        <f>IF(OR((LEFT($F386,3)="ДОК"),$H386=""),0,IFERROR(INDEX(Материалы!$H$2:$H$9000,MATCH($H386,Материалы!$M$2:$M$9000,0))*IF(INDEX(Материалы!$I$2:$I$9000,MATCH($H386,Материалы!$M$2:$M$9000,0))="USD",КурсUSD,IF(INDEX(Материалы!$I$2:$I$9000,MATCH($H386,Материалы!$M$2:$M$9000,0))="EUR",КурсEUR,1))*(1+IFERROR(INDEX(Работы!$I$2:$I$6000,MATCH($C386,Работы!$A$2:$A$6000,0))/100,0))*(1-MEDIAN(0,N(ДисконтТендер),1)),0))</f>
        <v>0</v>
      </c>
      <c r="L386" s="6">
        <f t="shared" ref="L386:L449" si="37">IF($G386&lt;&gt;"",ROUND($G386*$J386,2),0)</f>
        <v>0</v>
      </c>
      <c r="M386" s="6">
        <f t="shared" ref="M386:M449" si="38">IF($G386&lt;&gt;"",ROUND($G386*$K386,2),0)</f>
        <v>0</v>
      </c>
      <c r="N386" s="6">
        <f t="shared" ref="N386:N449" si="39">$L386+$M386</f>
        <v>0</v>
      </c>
      <c r="O386" t="str">
        <f>IF($N386&gt;0,MAX($O$1:$O385)+1,"")</f>
        <v/>
      </c>
      <c r="P386" t="str">
        <f>IF($C386="","",IFERROR(INDEX(Работы!$D$2:$D$6000,MATCH($C386,Работы!$A$2:$A$6000,0)),""))</f>
        <v/>
      </c>
      <c r="Q386" t="str">
        <f t="shared" ref="Q386:Q449" si="40">IF($O386="","",IF($O386=1,1,IF($P386&lt;&gt;IFERROR(INDEX($P$2:$P$501,MATCH($O386-1,$O$2:$O$501,0)),"~"),1,0)))</f>
        <v/>
      </c>
      <c r="R386" t="str">
        <f t="shared" ref="R386:R449" si="41">IF($O386="","",$O386+SUMIFS($Q$2:$Q$501,$O$2:$O$501,"&lt;="&amp;$O386))</f>
        <v/>
      </c>
      <c r="S386" t="str">
        <f>IF($P386="","",$P386&amp;" · "&amp;IFERROR(INDEX(Работы!$E$2:$E$6000,MATCH($C386,Работы!$A$2:$A$6000,0)),""))</f>
        <v/>
      </c>
    </row>
    <row r="387" spans="1:19" x14ac:dyDescent="0.3">
      <c r="A387" s="4"/>
      <c r="B387" s="4"/>
      <c r="C387" t="str">
        <f t="shared" si="36"/>
        <v/>
      </c>
      <c r="D387" s="5" t="str">
        <f>IF($C387="","",IF(AND(LEFT($F387,3)="ДОК",$H387&lt;&gt;""),IFERROR(INDEX(Документация!$G$2:$G$57,MATCH($H387,Документация!$F$2:$F$57,0)),"— вариант не найден —"),IFERROR(INDEX(Работы!$B$2:$B$6000,MATCH($C387,Работы!$A$2:$A$6000,0)),"— нет такого кода —")))</f>
        <v/>
      </c>
      <c r="E387" t="str">
        <f>IF($C387="","",IF(AND(LEFT($F387,3)="ДОК",$H387&lt;&gt;""),IFERROR(INDEX(Документация!$D$2:$D$57,MATCH($H387,Документация!$F$2:$F$57,0)),""),IFERROR(INDEX(Работы!$C$2:$C$6000,MATCH($C387,Работы!$A$2:$A$6000,0)),"")))</f>
        <v/>
      </c>
      <c r="F387" t="str">
        <f>IF($C387="","",IFERROR(INDEX(Работы!$G$2:$G$6000,MATCH($C387,Работы!$A$2:$A$6000,0))&amp;"",""))</f>
        <v/>
      </c>
      <c r="G387" s="4"/>
      <c r="H387" s="4"/>
      <c r="I387" s="5" t="str">
        <f>IF((LEFT($F387,3)="ДОК"),"",IF($H387="","",IFERROR(INDEX(Материалы!$B$2:$B$9000,MATCH($H387,Материалы!$M$2:$M$9000,0)),"")))</f>
        <v/>
      </c>
      <c r="J387" s="6">
        <f>IF(AND(LEFT($F387,3)="ДОК",$H387&lt;&gt;""),IFERROR(INDEX(Документация!$E$2:$E$57,MATCH($H387,Документация!$F$2:$F$57,0)),0),IFERROR(INDEX(Работы!$H$2:$H$6000,MATCH($C387,Работы!$A$2:$A$6000,0)),0))*(1-MEDIAN(0,N(ДисконтТендер),1))</f>
        <v>0</v>
      </c>
      <c r="K387" s="6">
        <f>IF(OR((LEFT($F387,3)="ДОК"),$H387=""),0,IFERROR(INDEX(Материалы!$H$2:$H$9000,MATCH($H387,Материалы!$M$2:$M$9000,0))*IF(INDEX(Материалы!$I$2:$I$9000,MATCH($H387,Материалы!$M$2:$M$9000,0))="USD",КурсUSD,IF(INDEX(Материалы!$I$2:$I$9000,MATCH($H387,Материалы!$M$2:$M$9000,0))="EUR",КурсEUR,1))*(1+IFERROR(INDEX(Работы!$I$2:$I$6000,MATCH($C387,Работы!$A$2:$A$6000,0))/100,0))*(1-MEDIAN(0,N(ДисконтТендер),1)),0))</f>
        <v>0</v>
      </c>
      <c r="L387" s="6">
        <f t="shared" si="37"/>
        <v>0</v>
      </c>
      <c r="M387" s="6">
        <f t="shared" si="38"/>
        <v>0</v>
      </c>
      <c r="N387" s="6">
        <f t="shared" si="39"/>
        <v>0</v>
      </c>
      <c r="O387" t="str">
        <f>IF($N387&gt;0,MAX($O$1:$O386)+1,"")</f>
        <v/>
      </c>
      <c r="P387" t="str">
        <f>IF($C387="","",IFERROR(INDEX(Работы!$D$2:$D$6000,MATCH($C387,Работы!$A$2:$A$6000,0)),""))</f>
        <v/>
      </c>
      <c r="Q387" t="str">
        <f t="shared" si="40"/>
        <v/>
      </c>
      <c r="R387" t="str">
        <f t="shared" si="41"/>
        <v/>
      </c>
      <c r="S387" t="str">
        <f>IF($P387="","",$P387&amp;" · "&amp;IFERROR(INDEX(Работы!$E$2:$E$6000,MATCH($C387,Работы!$A$2:$A$6000,0)),""))</f>
        <v/>
      </c>
    </row>
    <row r="388" spans="1:19" x14ac:dyDescent="0.3">
      <c r="A388" s="4"/>
      <c r="B388" s="4"/>
      <c r="C388" t="str">
        <f t="shared" si="36"/>
        <v/>
      </c>
      <c r="D388" s="5" t="str">
        <f>IF($C388="","",IF(AND(LEFT($F388,3)="ДОК",$H388&lt;&gt;""),IFERROR(INDEX(Документация!$G$2:$G$57,MATCH($H388,Документация!$F$2:$F$57,0)),"— вариант не найден —"),IFERROR(INDEX(Работы!$B$2:$B$6000,MATCH($C388,Работы!$A$2:$A$6000,0)),"— нет такого кода —")))</f>
        <v/>
      </c>
      <c r="E388" t="str">
        <f>IF($C388="","",IF(AND(LEFT($F388,3)="ДОК",$H388&lt;&gt;""),IFERROR(INDEX(Документация!$D$2:$D$57,MATCH($H388,Документация!$F$2:$F$57,0)),""),IFERROR(INDEX(Работы!$C$2:$C$6000,MATCH($C388,Работы!$A$2:$A$6000,0)),"")))</f>
        <v/>
      </c>
      <c r="F388" t="str">
        <f>IF($C388="","",IFERROR(INDEX(Работы!$G$2:$G$6000,MATCH($C388,Работы!$A$2:$A$6000,0))&amp;"",""))</f>
        <v/>
      </c>
      <c r="G388" s="4"/>
      <c r="H388" s="4"/>
      <c r="I388" s="5" t="str">
        <f>IF((LEFT($F388,3)="ДОК"),"",IF($H388="","",IFERROR(INDEX(Материалы!$B$2:$B$9000,MATCH($H388,Материалы!$M$2:$M$9000,0)),"")))</f>
        <v/>
      </c>
      <c r="J388" s="6">
        <f>IF(AND(LEFT($F388,3)="ДОК",$H388&lt;&gt;""),IFERROR(INDEX(Документация!$E$2:$E$57,MATCH($H388,Документация!$F$2:$F$57,0)),0),IFERROR(INDEX(Работы!$H$2:$H$6000,MATCH($C388,Работы!$A$2:$A$6000,0)),0))*(1-MEDIAN(0,N(ДисконтТендер),1))</f>
        <v>0</v>
      </c>
      <c r="K388" s="6">
        <f>IF(OR((LEFT($F388,3)="ДОК"),$H388=""),0,IFERROR(INDEX(Материалы!$H$2:$H$9000,MATCH($H388,Материалы!$M$2:$M$9000,0))*IF(INDEX(Материалы!$I$2:$I$9000,MATCH($H388,Материалы!$M$2:$M$9000,0))="USD",КурсUSD,IF(INDEX(Материалы!$I$2:$I$9000,MATCH($H388,Материалы!$M$2:$M$9000,0))="EUR",КурсEUR,1))*(1+IFERROR(INDEX(Работы!$I$2:$I$6000,MATCH($C388,Работы!$A$2:$A$6000,0))/100,0))*(1-MEDIAN(0,N(ДисконтТендер),1)),0))</f>
        <v>0</v>
      </c>
      <c r="L388" s="6">
        <f t="shared" si="37"/>
        <v>0</v>
      </c>
      <c r="M388" s="6">
        <f t="shared" si="38"/>
        <v>0</v>
      </c>
      <c r="N388" s="6">
        <f t="shared" si="39"/>
        <v>0</v>
      </c>
      <c r="O388" t="str">
        <f>IF($N388&gt;0,MAX($O$1:$O387)+1,"")</f>
        <v/>
      </c>
      <c r="P388" t="str">
        <f>IF($C388="","",IFERROR(INDEX(Работы!$D$2:$D$6000,MATCH($C388,Работы!$A$2:$A$6000,0)),""))</f>
        <v/>
      </c>
      <c r="Q388" t="str">
        <f t="shared" si="40"/>
        <v/>
      </c>
      <c r="R388" t="str">
        <f t="shared" si="41"/>
        <v/>
      </c>
      <c r="S388" t="str">
        <f>IF($P388="","",$P388&amp;" · "&amp;IFERROR(INDEX(Работы!$E$2:$E$6000,MATCH($C388,Работы!$A$2:$A$6000,0)),""))</f>
        <v/>
      </c>
    </row>
    <row r="389" spans="1:19" x14ac:dyDescent="0.3">
      <c r="A389" s="4"/>
      <c r="B389" s="4"/>
      <c r="C389" t="str">
        <f t="shared" si="36"/>
        <v/>
      </c>
      <c r="D389" s="5" t="str">
        <f>IF($C389="","",IF(AND(LEFT($F389,3)="ДОК",$H389&lt;&gt;""),IFERROR(INDEX(Документация!$G$2:$G$57,MATCH($H389,Документация!$F$2:$F$57,0)),"— вариант не найден —"),IFERROR(INDEX(Работы!$B$2:$B$6000,MATCH($C389,Работы!$A$2:$A$6000,0)),"— нет такого кода —")))</f>
        <v/>
      </c>
      <c r="E389" t="str">
        <f>IF($C389="","",IF(AND(LEFT($F389,3)="ДОК",$H389&lt;&gt;""),IFERROR(INDEX(Документация!$D$2:$D$57,MATCH($H389,Документация!$F$2:$F$57,0)),""),IFERROR(INDEX(Работы!$C$2:$C$6000,MATCH($C389,Работы!$A$2:$A$6000,0)),"")))</f>
        <v/>
      </c>
      <c r="F389" t="str">
        <f>IF($C389="","",IFERROR(INDEX(Работы!$G$2:$G$6000,MATCH($C389,Работы!$A$2:$A$6000,0))&amp;"",""))</f>
        <v/>
      </c>
      <c r="G389" s="4"/>
      <c r="H389" s="4"/>
      <c r="I389" s="5" t="str">
        <f>IF((LEFT($F389,3)="ДОК"),"",IF($H389="","",IFERROR(INDEX(Материалы!$B$2:$B$9000,MATCH($H389,Материалы!$M$2:$M$9000,0)),"")))</f>
        <v/>
      </c>
      <c r="J389" s="6">
        <f>IF(AND(LEFT($F389,3)="ДОК",$H389&lt;&gt;""),IFERROR(INDEX(Документация!$E$2:$E$57,MATCH($H389,Документация!$F$2:$F$57,0)),0),IFERROR(INDEX(Работы!$H$2:$H$6000,MATCH($C389,Работы!$A$2:$A$6000,0)),0))*(1-MEDIAN(0,N(ДисконтТендер),1))</f>
        <v>0</v>
      </c>
      <c r="K389" s="6">
        <f>IF(OR((LEFT($F389,3)="ДОК"),$H389=""),0,IFERROR(INDEX(Материалы!$H$2:$H$9000,MATCH($H389,Материалы!$M$2:$M$9000,0))*IF(INDEX(Материалы!$I$2:$I$9000,MATCH($H389,Материалы!$M$2:$M$9000,0))="USD",КурсUSD,IF(INDEX(Материалы!$I$2:$I$9000,MATCH($H389,Материалы!$M$2:$M$9000,0))="EUR",КурсEUR,1))*(1+IFERROR(INDEX(Работы!$I$2:$I$6000,MATCH($C389,Работы!$A$2:$A$6000,0))/100,0))*(1-MEDIAN(0,N(ДисконтТендер),1)),0))</f>
        <v>0</v>
      </c>
      <c r="L389" s="6">
        <f t="shared" si="37"/>
        <v>0</v>
      </c>
      <c r="M389" s="6">
        <f t="shared" si="38"/>
        <v>0</v>
      </c>
      <c r="N389" s="6">
        <f t="shared" si="39"/>
        <v>0</v>
      </c>
      <c r="O389" t="str">
        <f>IF($N389&gt;0,MAX($O$1:$O388)+1,"")</f>
        <v/>
      </c>
      <c r="P389" t="str">
        <f>IF($C389="","",IFERROR(INDEX(Работы!$D$2:$D$6000,MATCH($C389,Работы!$A$2:$A$6000,0)),""))</f>
        <v/>
      </c>
      <c r="Q389" t="str">
        <f t="shared" si="40"/>
        <v/>
      </c>
      <c r="R389" t="str">
        <f t="shared" si="41"/>
        <v/>
      </c>
      <c r="S389" t="str">
        <f>IF($P389="","",$P389&amp;" · "&amp;IFERROR(INDEX(Работы!$E$2:$E$6000,MATCH($C389,Работы!$A$2:$A$6000,0)),""))</f>
        <v/>
      </c>
    </row>
    <row r="390" spans="1:19" x14ac:dyDescent="0.3">
      <c r="A390" s="4"/>
      <c r="B390" s="4"/>
      <c r="C390" t="str">
        <f t="shared" si="36"/>
        <v/>
      </c>
      <c r="D390" s="5" t="str">
        <f>IF($C390="","",IF(AND(LEFT($F390,3)="ДОК",$H390&lt;&gt;""),IFERROR(INDEX(Документация!$G$2:$G$57,MATCH($H390,Документация!$F$2:$F$57,0)),"— вариант не найден —"),IFERROR(INDEX(Работы!$B$2:$B$6000,MATCH($C390,Работы!$A$2:$A$6000,0)),"— нет такого кода —")))</f>
        <v/>
      </c>
      <c r="E390" t="str">
        <f>IF($C390="","",IF(AND(LEFT($F390,3)="ДОК",$H390&lt;&gt;""),IFERROR(INDEX(Документация!$D$2:$D$57,MATCH($H390,Документация!$F$2:$F$57,0)),""),IFERROR(INDEX(Работы!$C$2:$C$6000,MATCH($C390,Работы!$A$2:$A$6000,0)),"")))</f>
        <v/>
      </c>
      <c r="F390" t="str">
        <f>IF($C390="","",IFERROR(INDEX(Работы!$G$2:$G$6000,MATCH($C390,Работы!$A$2:$A$6000,0))&amp;"",""))</f>
        <v/>
      </c>
      <c r="G390" s="4"/>
      <c r="H390" s="4"/>
      <c r="I390" s="5" t="str">
        <f>IF((LEFT($F390,3)="ДОК"),"",IF($H390="","",IFERROR(INDEX(Материалы!$B$2:$B$9000,MATCH($H390,Материалы!$M$2:$M$9000,0)),"")))</f>
        <v/>
      </c>
      <c r="J390" s="6">
        <f>IF(AND(LEFT($F390,3)="ДОК",$H390&lt;&gt;""),IFERROR(INDEX(Документация!$E$2:$E$57,MATCH($H390,Документация!$F$2:$F$57,0)),0),IFERROR(INDEX(Работы!$H$2:$H$6000,MATCH($C390,Работы!$A$2:$A$6000,0)),0))*(1-MEDIAN(0,N(ДисконтТендер),1))</f>
        <v>0</v>
      </c>
      <c r="K390" s="6">
        <f>IF(OR((LEFT($F390,3)="ДОК"),$H390=""),0,IFERROR(INDEX(Материалы!$H$2:$H$9000,MATCH($H390,Материалы!$M$2:$M$9000,0))*IF(INDEX(Материалы!$I$2:$I$9000,MATCH($H390,Материалы!$M$2:$M$9000,0))="USD",КурсUSD,IF(INDEX(Материалы!$I$2:$I$9000,MATCH($H390,Материалы!$M$2:$M$9000,0))="EUR",КурсEUR,1))*(1+IFERROR(INDEX(Работы!$I$2:$I$6000,MATCH($C390,Работы!$A$2:$A$6000,0))/100,0))*(1-MEDIAN(0,N(ДисконтТендер),1)),0))</f>
        <v>0</v>
      </c>
      <c r="L390" s="6">
        <f t="shared" si="37"/>
        <v>0</v>
      </c>
      <c r="M390" s="6">
        <f t="shared" si="38"/>
        <v>0</v>
      </c>
      <c r="N390" s="6">
        <f t="shared" si="39"/>
        <v>0</v>
      </c>
      <c r="O390" t="str">
        <f>IF($N390&gt;0,MAX($O$1:$O389)+1,"")</f>
        <v/>
      </c>
      <c r="P390" t="str">
        <f>IF($C390="","",IFERROR(INDEX(Работы!$D$2:$D$6000,MATCH($C390,Работы!$A$2:$A$6000,0)),""))</f>
        <v/>
      </c>
      <c r="Q390" t="str">
        <f t="shared" si="40"/>
        <v/>
      </c>
      <c r="R390" t="str">
        <f t="shared" si="41"/>
        <v/>
      </c>
      <c r="S390" t="str">
        <f>IF($P390="","",$P390&amp;" · "&amp;IFERROR(INDEX(Работы!$E$2:$E$6000,MATCH($C390,Работы!$A$2:$A$6000,0)),""))</f>
        <v/>
      </c>
    </row>
    <row r="391" spans="1:19" x14ac:dyDescent="0.3">
      <c r="A391" s="4"/>
      <c r="B391" s="4"/>
      <c r="C391" t="str">
        <f t="shared" si="36"/>
        <v/>
      </c>
      <c r="D391" s="5" t="str">
        <f>IF($C391="","",IF(AND(LEFT($F391,3)="ДОК",$H391&lt;&gt;""),IFERROR(INDEX(Документация!$G$2:$G$57,MATCH($H391,Документация!$F$2:$F$57,0)),"— вариант не найден —"),IFERROR(INDEX(Работы!$B$2:$B$6000,MATCH($C391,Работы!$A$2:$A$6000,0)),"— нет такого кода —")))</f>
        <v/>
      </c>
      <c r="E391" t="str">
        <f>IF($C391="","",IF(AND(LEFT($F391,3)="ДОК",$H391&lt;&gt;""),IFERROR(INDEX(Документация!$D$2:$D$57,MATCH($H391,Документация!$F$2:$F$57,0)),""),IFERROR(INDEX(Работы!$C$2:$C$6000,MATCH($C391,Работы!$A$2:$A$6000,0)),"")))</f>
        <v/>
      </c>
      <c r="F391" t="str">
        <f>IF($C391="","",IFERROR(INDEX(Работы!$G$2:$G$6000,MATCH($C391,Работы!$A$2:$A$6000,0))&amp;"",""))</f>
        <v/>
      </c>
      <c r="G391" s="4"/>
      <c r="H391" s="4"/>
      <c r="I391" s="5" t="str">
        <f>IF((LEFT($F391,3)="ДОК"),"",IF($H391="","",IFERROR(INDEX(Материалы!$B$2:$B$9000,MATCH($H391,Материалы!$M$2:$M$9000,0)),"")))</f>
        <v/>
      </c>
      <c r="J391" s="6">
        <f>IF(AND(LEFT($F391,3)="ДОК",$H391&lt;&gt;""),IFERROR(INDEX(Документация!$E$2:$E$57,MATCH($H391,Документация!$F$2:$F$57,0)),0),IFERROR(INDEX(Работы!$H$2:$H$6000,MATCH($C391,Работы!$A$2:$A$6000,0)),0))*(1-MEDIAN(0,N(ДисконтТендер),1))</f>
        <v>0</v>
      </c>
      <c r="K391" s="6">
        <f>IF(OR((LEFT($F391,3)="ДОК"),$H391=""),0,IFERROR(INDEX(Материалы!$H$2:$H$9000,MATCH($H391,Материалы!$M$2:$M$9000,0))*IF(INDEX(Материалы!$I$2:$I$9000,MATCH($H391,Материалы!$M$2:$M$9000,0))="USD",КурсUSD,IF(INDEX(Материалы!$I$2:$I$9000,MATCH($H391,Материалы!$M$2:$M$9000,0))="EUR",КурсEUR,1))*(1+IFERROR(INDEX(Работы!$I$2:$I$6000,MATCH($C391,Работы!$A$2:$A$6000,0))/100,0))*(1-MEDIAN(0,N(ДисконтТендер),1)),0))</f>
        <v>0</v>
      </c>
      <c r="L391" s="6">
        <f t="shared" si="37"/>
        <v>0</v>
      </c>
      <c r="M391" s="6">
        <f t="shared" si="38"/>
        <v>0</v>
      </c>
      <c r="N391" s="6">
        <f t="shared" si="39"/>
        <v>0</v>
      </c>
      <c r="O391" t="str">
        <f>IF($N391&gt;0,MAX($O$1:$O390)+1,"")</f>
        <v/>
      </c>
      <c r="P391" t="str">
        <f>IF($C391="","",IFERROR(INDEX(Работы!$D$2:$D$6000,MATCH($C391,Работы!$A$2:$A$6000,0)),""))</f>
        <v/>
      </c>
      <c r="Q391" t="str">
        <f t="shared" si="40"/>
        <v/>
      </c>
      <c r="R391" t="str">
        <f t="shared" si="41"/>
        <v/>
      </c>
      <c r="S391" t="str">
        <f>IF($P391="","",$P391&amp;" · "&amp;IFERROR(INDEX(Работы!$E$2:$E$6000,MATCH($C391,Работы!$A$2:$A$6000,0)),""))</f>
        <v/>
      </c>
    </row>
    <row r="392" spans="1:19" x14ac:dyDescent="0.3">
      <c r="A392" s="4"/>
      <c r="B392" s="4"/>
      <c r="C392" t="str">
        <f t="shared" si="36"/>
        <v/>
      </c>
      <c r="D392" s="5" t="str">
        <f>IF($C392="","",IF(AND(LEFT($F392,3)="ДОК",$H392&lt;&gt;""),IFERROR(INDEX(Документация!$G$2:$G$57,MATCH($H392,Документация!$F$2:$F$57,0)),"— вариант не найден —"),IFERROR(INDEX(Работы!$B$2:$B$6000,MATCH($C392,Работы!$A$2:$A$6000,0)),"— нет такого кода —")))</f>
        <v/>
      </c>
      <c r="E392" t="str">
        <f>IF($C392="","",IF(AND(LEFT($F392,3)="ДОК",$H392&lt;&gt;""),IFERROR(INDEX(Документация!$D$2:$D$57,MATCH($H392,Документация!$F$2:$F$57,0)),""),IFERROR(INDEX(Работы!$C$2:$C$6000,MATCH($C392,Работы!$A$2:$A$6000,0)),"")))</f>
        <v/>
      </c>
      <c r="F392" t="str">
        <f>IF($C392="","",IFERROR(INDEX(Работы!$G$2:$G$6000,MATCH($C392,Работы!$A$2:$A$6000,0))&amp;"",""))</f>
        <v/>
      </c>
      <c r="G392" s="4"/>
      <c r="H392" s="4"/>
      <c r="I392" s="5" t="str">
        <f>IF((LEFT($F392,3)="ДОК"),"",IF($H392="","",IFERROR(INDEX(Материалы!$B$2:$B$9000,MATCH($H392,Материалы!$M$2:$M$9000,0)),"")))</f>
        <v/>
      </c>
      <c r="J392" s="6">
        <f>IF(AND(LEFT($F392,3)="ДОК",$H392&lt;&gt;""),IFERROR(INDEX(Документация!$E$2:$E$57,MATCH($H392,Документация!$F$2:$F$57,0)),0),IFERROR(INDEX(Работы!$H$2:$H$6000,MATCH($C392,Работы!$A$2:$A$6000,0)),0))*(1-MEDIAN(0,N(ДисконтТендер),1))</f>
        <v>0</v>
      </c>
      <c r="K392" s="6">
        <f>IF(OR((LEFT($F392,3)="ДОК"),$H392=""),0,IFERROR(INDEX(Материалы!$H$2:$H$9000,MATCH($H392,Материалы!$M$2:$M$9000,0))*IF(INDEX(Материалы!$I$2:$I$9000,MATCH($H392,Материалы!$M$2:$M$9000,0))="USD",КурсUSD,IF(INDEX(Материалы!$I$2:$I$9000,MATCH($H392,Материалы!$M$2:$M$9000,0))="EUR",КурсEUR,1))*(1+IFERROR(INDEX(Работы!$I$2:$I$6000,MATCH($C392,Работы!$A$2:$A$6000,0))/100,0))*(1-MEDIAN(0,N(ДисконтТендер),1)),0))</f>
        <v>0</v>
      </c>
      <c r="L392" s="6">
        <f t="shared" si="37"/>
        <v>0</v>
      </c>
      <c r="M392" s="6">
        <f t="shared" si="38"/>
        <v>0</v>
      </c>
      <c r="N392" s="6">
        <f t="shared" si="39"/>
        <v>0</v>
      </c>
      <c r="O392" t="str">
        <f>IF($N392&gt;0,MAX($O$1:$O391)+1,"")</f>
        <v/>
      </c>
      <c r="P392" t="str">
        <f>IF($C392="","",IFERROR(INDEX(Работы!$D$2:$D$6000,MATCH($C392,Работы!$A$2:$A$6000,0)),""))</f>
        <v/>
      </c>
      <c r="Q392" t="str">
        <f t="shared" si="40"/>
        <v/>
      </c>
      <c r="R392" t="str">
        <f t="shared" si="41"/>
        <v/>
      </c>
      <c r="S392" t="str">
        <f>IF($P392="","",$P392&amp;" · "&amp;IFERROR(INDEX(Работы!$E$2:$E$6000,MATCH($C392,Работы!$A$2:$A$6000,0)),""))</f>
        <v/>
      </c>
    </row>
    <row r="393" spans="1:19" x14ac:dyDescent="0.3">
      <c r="A393" s="4"/>
      <c r="B393" s="4"/>
      <c r="C393" t="str">
        <f t="shared" si="36"/>
        <v/>
      </c>
      <c r="D393" s="5" t="str">
        <f>IF($C393="","",IF(AND(LEFT($F393,3)="ДОК",$H393&lt;&gt;""),IFERROR(INDEX(Документация!$G$2:$G$57,MATCH($H393,Документация!$F$2:$F$57,0)),"— вариант не найден —"),IFERROR(INDEX(Работы!$B$2:$B$6000,MATCH($C393,Работы!$A$2:$A$6000,0)),"— нет такого кода —")))</f>
        <v/>
      </c>
      <c r="E393" t="str">
        <f>IF($C393="","",IF(AND(LEFT($F393,3)="ДОК",$H393&lt;&gt;""),IFERROR(INDEX(Документация!$D$2:$D$57,MATCH($H393,Документация!$F$2:$F$57,0)),""),IFERROR(INDEX(Работы!$C$2:$C$6000,MATCH($C393,Работы!$A$2:$A$6000,0)),"")))</f>
        <v/>
      </c>
      <c r="F393" t="str">
        <f>IF($C393="","",IFERROR(INDEX(Работы!$G$2:$G$6000,MATCH($C393,Работы!$A$2:$A$6000,0))&amp;"",""))</f>
        <v/>
      </c>
      <c r="G393" s="4"/>
      <c r="H393" s="4"/>
      <c r="I393" s="5" t="str">
        <f>IF((LEFT($F393,3)="ДОК"),"",IF($H393="","",IFERROR(INDEX(Материалы!$B$2:$B$9000,MATCH($H393,Материалы!$M$2:$M$9000,0)),"")))</f>
        <v/>
      </c>
      <c r="J393" s="6">
        <f>IF(AND(LEFT($F393,3)="ДОК",$H393&lt;&gt;""),IFERROR(INDEX(Документация!$E$2:$E$57,MATCH($H393,Документация!$F$2:$F$57,0)),0),IFERROR(INDEX(Работы!$H$2:$H$6000,MATCH($C393,Работы!$A$2:$A$6000,0)),0))*(1-MEDIAN(0,N(ДисконтТендер),1))</f>
        <v>0</v>
      </c>
      <c r="K393" s="6">
        <f>IF(OR((LEFT($F393,3)="ДОК"),$H393=""),0,IFERROR(INDEX(Материалы!$H$2:$H$9000,MATCH($H393,Материалы!$M$2:$M$9000,0))*IF(INDEX(Материалы!$I$2:$I$9000,MATCH($H393,Материалы!$M$2:$M$9000,0))="USD",КурсUSD,IF(INDEX(Материалы!$I$2:$I$9000,MATCH($H393,Материалы!$M$2:$M$9000,0))="EUR",КурсEUR,1))*(1+IFERROR(INDEX(Работы!$I$2:$I$6000,MATCH($C393,Работы!$A$2:$A$6000,0))/100,0))*(1-MEDIAN(0,N(ДисконтТендер),1)),0))</f>
        <v>0</v>
      </c>
      <c r="L393" s="6">
        <f t="shared" si="37"/>
        <v>0</v>
      </c>
      <c r="M393" s="6">
        <f t="shared" si="38"/>
        <v>0</v>
      </c>
      <c r="N393" s="6">
        <f t="shared" si="39"/>
        <v>0</v>
      </c>
      <c r="O393" t="str">
        <f>IF($N393&gt;0,MAX($O$1:$O392)+1,"")</f>
        <v/>
      </c>
      <c r="P393" t="str">
        <f>IF($C393="","",IFERROR(INDEX(Работы!$D$2:$D$6000,MATCH($C393,Работы!$A$2:$A$6000,0)),""))</f>
        <v/>
      </c>
      <c r="Q393" t="str">
        <f t="shared" si="40"/>
        <v/>
      </c>
      <c r="R393" t="str">
        <f t="shared" si="41"/>
        <v/>
      </c>
      <c r="S393" t="str">
        <f>IF($P393="","",$P393&amp;" · "&amp;IFERROR(INDEX(Работы!$E$2:$E$6000,MATCH($C393,Работы!$A$2:$A$6000,0)),""))</f>
        <v/>
      </c>
    </row>
    <row r="394" spans="1:19" x14ac:dyDescent="0.3">
      <c r="A394" s="4"/>
      <c r="B394" s="4"/>
      <c r="C394" t="str">
        <f t="shared" si="36"/>
        <v/>
      </c>
      <c r="D394" s="5" t="str">
        <f>IF($C394="","",IF(AND(LEFT($F394,3)="ДОК",$H394&lt;&gt;""),IFERROR(INDEX(Документация!$G$2:$G$57,MATCH($H394,Документация!$F$2:$F$57,0)),"— вариант не найден —"),IFERROR(INDEX(Работы!$B$2:$B$6000,MATCH($C394,Работы!$A$2:$A$6000,0)),"— нет такого кода —")))</f>
        <v/>
      </c>
      <c r="E394" t="str">
        <f>IF($C394="","",IF(AND(LEFT($F394,3)="ДОК",$H394&lt;&gt;""),IFERROR(INDEX(Документация!$D$2:$D$57,MATCH($H394,Документация!$F$2:$F$57,0)),""),IFERROR(INDEX(Работы!$C$2:$C$6000,MATCH($C394,Работы!$A$2:$A$6000,0)),"")))</f>
        <v/>
      </c>
      <c r="F394" t="str">
        <f>IF($C394="","",IFERROR(INDEX(Работы!$G$2:$G$6000,MATCH($C394,Работы!$A$2:$A$6000,0))&amp;"",""))</f>
        <v/>
      </c>
      <c r="G394" s="4"/>
      <c r="H394" s="4"/>
      <c r="I394" s="5" t="str">
        <f>IF((LEFT($F394,3)="ДОК"),"",IF($H394="","",IFERROR(INDEX(Материалы!$B$2:$B$9000,MATCH($H394,Материалы!$M$2:$M$9000,0)),"")))</f>
        <v/>
      </c>
      <c r="J394" s="6">
        <f>IF(AND(LEFT($F394,3)="ДОК",$H394&lt;&gt;""),IFERROR(INDEX(Документация!$E$2:$E$57,MATCH($H394,Документация!$F$2:$F$57,0)),0),IFERROR(INDEX(Работы!$H$2:$H$6000,MATCH($C394,Работы!$A$2:$A$6000,0)),0))*(1-MEDIAN(0,N(ДисконтТендер),1))</f>
        <v>0</v>
      </c>
      <c r="K394" s="6">
        <f>IF(OR((LEFT($F394,3)="ДОК"),$H394=""),0,IFERROR(INDEX(Материалы!$H$2:$H$9000,MATCH($H394,Материалы!$M$2:$M$9000,0))*IF(INDEX(Материалы!$I$2:$I$9000,MATCH($H394,Материалы!$M$2:$M$9000,0))="USD",КурсUSD,IF(INDEX(Материалы!$I$2:$I$9000,MATCH($H394,Материалы!$M$2:$M$9000,0))="EUR",КурсEUR,1))*(1+IFERROR(INDEX(Работы!$I$2:$I$6000,MATCH($C394,Работы!$A$2:$A$6000,0))/100,0))*(1-MEDIAN(0,N(ДисконтТендер),1)),0))</f>
        <v>0</v>
      </c>
      <c r="L394" s="6">
        <f t="shared" si="37"/>
        <v>0</v>
      </c>
      <c r="M394" s="6">
        <f t="shared" si="38"/>
        <v>0</v>
      </c>
      <c r="N394" s="6">
        <f t="shared" si="39"/>
        <v>0</v>
      </c>
      <c r="O394" t="str">
        <f>IF($N394&gt;0,MAX($O$1:$O393)+1,"")</f>
        <v/>
      </c>
      <c r="P394" t="str">
        <f>IF($C394="","",IFERROR(INDEX(Работы!$D$2:$D$6000,MATCH($C394,Работы!$A$2:$A$6000,0)),""))</f>
        <v/>
      </c>
      <c r="Q394" t="str">
        <f t="shared" si="40"/>
        <v/>
      </c>
      <c r="R394" t="str">
        <f t="shared" si="41"/>
        <v/>
      </c>
      <c r="S394" t="str">
        <f>IF($P394="","",$P394&amp;" · "&amp;IFERROR(INDEX(Работы!$E$2:$E$6000,MATCH($C394,Работы!$A$2:$A$6000,0)),""))</f>
        <v/>
      </c>
    </row>
    <row r="395" spans="1:19" x14ac:dyDescent="0.3">
      <c r="A395" s="4"/>
      <c r="B395" s="4"/>
      <c r="C395" t="str">
        <f t="shared" si="36"/>
        <v/>
      </c>
      <c r="D395" s="5" t="str">
        <f>IF($C395="","",IF(AND(LEFT($F395,3)="ДОК",$H395&lt;&gt;""),IFERROR(INDEX(Документация!$G$2:$G$57,MATCH($H395,Документация!$F$2:$F$57,0)),"— вариант не найден —"),IFERROR(INDEX(Работы!$B$2:$B$6000,MATCH($C395,Работы!$A$2:$A$6000,0)),"— нет такого кода —")))</f>
        <v/>
      </c>
      <c r="E395" t="str">
        <f>IF($C395="","",IF(AND(LEFT($F395,3)="ДОК",$H395&lt;&gt;""),IFERROR(INDEX(Документация!$D$2:$D$57,MATCH($H395,Документация!$F$2:$F$57,0)),""),IFERROR(INDEX(Работы!$C$2:$C$6000,MATCH($C395,Работы!$A$2:$A$6000,0)),"")))</f>
        <v/>
      </c>
      <c r="F395" t="str">
        <f>IF($C395="","",IFERROR(INDEX(Работы!$G$2:$G$6000,MATCH($C395,Работы!$A$2:$A$6000,0))&amp;"",""))</f>
        <v/>
      </c>
      <c r="G395" s="4"/>
      <c r="H395" s="4"/>
      <c r="I395" s="5" t="str">
        <f>IF((LEFT($F395,3)="ДОК"),"",IF($H395="","",IFERROR(INDEX(Материалы!$B$2:$B$9000,MATCH($H395,Материалы!$M$2:$M$9000,0)),"")))</f>
        <v/>
      </c>
      <c r="J395" s="6">
        <f>IF(AND(LEFT($F395,3)="ДОК",$H395&lt;&gt;""),IFERROR(INDEX(Документация!$E$2:$E$57,MATCH($H395,Документация!$F$2:$F$57,0)),0),IFERROR(INDEX(Работы!$H$2:$H$6000,MATCH($C395,Работы!$A$2:$A$6000,0)),0))*(1-MEDIAN(0,N(ДисконтТендер),1))</f>
        <v>0</v>
      </c>
      <c r="K395" s="6">
        <f>IF(OR((LEFT($F395,3)="ДОК"),$H395=""),0,IFERROR(INDEX(Материалы!$H$2:$H$9000,MATCH($H395,Материалы!$M$2:$M$9000,0))*IF(INDEX(Материалы!$I$2:$I$9000,MATCH($H395,Материалы!$M$2:$M$9000,0))="USD",КурсUSD,IF(INDEX(Материалы!$I$2:$I$9000,MATCH($H395,Материалы!$M$2:$M$9000,0))="EUR",КурсEUR,1))*(1+IFERROR(INDEX(Работы!$I$2:$I$6000,MATCH($C395,Работы!$A$2:$A$6000,0))/100,0))*(1-MEDIAN(0,N(ДисконтТендер),1)),0))</f>
        <v>0</v>
      </c>
      <c r="L395" s="6">
        <f t="shared" si="37"/>
        <v>0</v>
      </c>
      <c r="M395" s="6">
        <f t="shared" si="38"/>
        <v>0</v>
      </c>
      <c r="N395" s="6">
        <f t="shared" si="39"/>
        <v>0</v>
      </c>
      <c r="O395" t="str">
        <f>IF($N395&gt;0,MAX($O$1:$O394)+1,"")</f>
        <v/>
      </c>
      <c r="P395" t="str">
        <f>IF($C395="","",IFERROR(INDEX(Работы!$D$2:$D$6000,MATCH($C395,Работы!$A$2:$A$6000,0)),""))</f>
        <v/>
      </c>
      <c r="Q395" t="str">
        <f t="shared" si="40"/>
        <v/>
      </c>
      <c r="R395" t="str">
        <f t="shared" si="41"/>
        <v/>
      </c>
      <c r="S395" t="str">
        <f>IF($P395="","",$P395&amp;" · "&amp;IFERROR(INDEX(Работы!$E$2:$E$6000,MATCH($C395,Работы!$A$2:$A$6000,0)),""))</f>
        <v/>
      </c>
    </row>
    <row r="396" spans="1:19" x14ac:dyDescent="0.3">
      <c r="A396" s="4"/>
      <c r="B396" s="4"/>
      <c r="C396" t="str">
        <f t="shared" si="36"/>
        <v/>
      </c>
      <c r="D396" s="5" t="str">
        <f>IF($C396="","",IF(AND(LEFT($F396,3)="ДОК",$H396&lt;&gt;""),IFERROR(INDEX(Документация!$G$2:$G$57,MATCH($H396,Документация!$F$2:$F$57,0)),"— вариант не найден —"),IFERROR(INDEX(Работы!$B$2:$B$6000,MATCH($C396,Работы!$A$2:$A$6000,0)),"— нет такого кода —")))</f>
        <v/>
      </c>
      <c r="E396" t="str">
        <f>IF($C396="","",IF(AND(LEFT($F396,3)="ДОК",$H396&lt;&gt;""),IFERROR(INDEX(Документация!$D$2:$D$57,MATCH($H396,Документация!$F$2:$F$57,0)),""),IFERROR(INDEX(Работы!$C$2:$C$6000,MATCH($C396,Работы!$A$2:$A$6000,0)),"")))</f>
        <v/>
      </c>
      <c r="F396" t="str">
        <f>IF($C396="","",IFERROR(INDEX(Работы!$G$2:$G$6000,MATCH($C396,Работы!$A$2:$A$6000,0))&amp;"",""))</f>
        <v/>
      </c>
      <c r="G396" s="4"/>
      <c r="H396" s="4"/>
      <c r="I396" s="5" t="str">
        <f>IF((LEFT($F396,3)="ДОК"),"",IF($H396="","",IFERROR(INDEX(Материалы!$B$2:$B$9000,MATCH($H396,Материалы!$M$2:$M$9000,0)),"")))</f>
        <v/>
      </c>
      <c r="J396" s="6">
        <f>IF(AND(LEFT($F396,3)="ДОК",$H396&lt;&gt;""),IFERROR(INDEX(Документация!$E$2:$E$57,MATCH($H396,Документация!$F$2:$F$57,0)),0),IFERROR(INDEX(Работы!$H$2:$H$6000,MATCH($C396,Работы!$A$2:$A$6000,0)),0))*(1-MEDIAN(0,N(ДисконтТендер),1))</f>
        <v>0</v>
      </c>
      <c r="K396" s="6">
        <f>IF(OR((LEFT($F396,3)="ДОК"),$H396=""),0,IFERROR(INDEX(Материалы!$H$2:$H$9000,MATCH($H396,Материалы!$M$2:$M$9000,0))*IF(INDEX(Материалы!$I$2:$I$9000,MATCH($H396,Материалы!$M$2:$M$9000,0))="USD",КурсUSD,IF(INDEX(Материалы!$I$2:$I$9000,MATCH($H396,Материалы!$M$2:$M$9000,0))="EUR",КурсEUR,1))*(1+IFERROR(INDEX(Работы!$I$2:$I$6000,MATCH($C396,Работы!$A$2:$A$6000,0))/100,0))*(1-MEDIAN(0,N(ДисконтТендер),1)),0))</f>
        <v>0</v>
      </c>
      <c r="L396" s="6">
        <f t="shared" si="37"/>
        <v>0</v>
      </c>
      <c r="M396" s="6">
        <f t="shared" si="38"/>
        <v>0</v>
      </c>
      <c r="N396" s="6">
        <f t="shared" si="39"/>
        <v>0</v>
      </c>
      <c r="O396" t="str">
        <f>IF($N396&gt;0,MAX($O$1:$O395)+1,"")</f>
        <v/>
      </c>
      <c r="P396" t="str">
        <f>IF($C396="","",IFERROR(INDEX(Работы!$D$2:$D$6000,MATCH($C396,Работы!$A$2:$A$6000,0)),""))</f>
        <v/>
      </c>
      <c r="Q396" t="str">
        <f t="shared" si="40"/>
        <v/>
      </c>
      <c r="R396" t="str">
        <f t="shared" si="41"/>
        <v/>
      </c>
      <c r="S396" t="str">
        <f>IF($P396="","",$P396&amp;" · "&amp;IFERROR(INDEX(Работы!$E$2:$E$6000,MATCH($C396,Работы!$A$2:$A$6000,0)),""))</f>
        <v/>
      </c>
    </row>
    <row r="397" spans="1:19" x14ac:dyDescent="0.3">
      <c r="A397" s="4"/>
      <c r="B397" s="4"/>
      <c r="C397" t="str">
        <f t="shared" si="36"/>
        <v/>
      </c>
      <c r="D397" s="5" t="str">
        <f>IF($C397="","",IF(AND(LEFT($F397,3)="ДОК",$H397&lt;&gt;""),IFERROR(INDEX(Документация!$G$2:$G$57,MATCH($H397,Документация!$F$2:$F$57,0)),"— вариант не найден —"),IFERROR(INDEX(Работы!$B$2:$B$6000,MATCH($C397,Работы!$A$2:$A$6000,0)),"— нет такого кода —")))</f>
        <v/>
      </c>
      <c r="E397" t="str">
        <f>IF($C397="","",IF(AND(LEFT($F397,3)="ДОК",$H397&lt;&gt;""),IFERROR(INDEX(Документация!$D$2:$D$57,MATCH($H397,Документация!$F$2:$F$57,0)),""),IFERROR(INDEX(Работы!$C$2:$C$6000,MATCH($C397,Работы!$A$2:$A$6000,0)),"")))</f>
        <v/>
      </c>
      <c r="F397" t="str">
        <f>IF($C397="","",IFERROR(INDEX(Работы!$G$2:$G$6000,MATCH($C397,Работы!$A$2:$A$6000,0))&amp;"",""))</f>
        <v/>
      </c>
      <c r="G397" s="4"/>
      <c r="H397" s="4"/>
      <c r="I397" s="5" t="str">
        <f>IF((LEFT($F397,3)="ДОК"),"",IF($H397="","",IFERROR(INDEX(Материалы!$B$2:$B$9000,MATCH($H397,Материалы!$M$2:$M$9000,0)),"")))</f>
        <v/>
      </c>
      <c r="J397" s="6">
        <f>IF(AND(LEFT($F397,3)="ДОК",$H397&lt;&gt;""),IFERROR(INDEX(Документация!$E$2:$E$57,MATCH($H397,Документация!$F$2:$F$57,0)),0),IFERROR(INDEX(Работы!$H$2:$H$6000,MATCH($C397,Работы!$A$2:$A$6000,0)),0))*(1-MEDIAN(0,N(ДисконтТендер),1))</f>
        <v>0</v>
      </c>
      <c r="K397" s="6">
        <f>IF(OR((LEFT($F397,3)="ДОК"),$H397=""),0,IFERROR(INDEX(Материалы!$H$2:$H$9000,MATCH($H397,Материалы!$M$2:$M$9000,0))*IF(INDEX(Материалы!$I$2:$I$9000,MATCH($H397,Материалы!$M$2:$M$9000,0))="USD",КурсUSD,IF(INDEX(Материалы!$I$2:$I$9000,MATCH($H397,Материалы!$M$2:$M$9000,0))="EUR",КурсEUR,1))*(1+IFERROR(INDEX(Работы!$I$2:$I$6000,MATCH($C397,Работы!$A$2:$A$6000,0))/100,0))*(1-MEDIAN(0,N(ДисконтТендер),1)),0))</f>
        <v>0</v>
      </c>
      <c r="L397" s="6">
        <f t="shared" si="37"/>
        <v>0</v>
      </c>
      <c r="M397" s="6">
        <f t="shared" si="38"/>
        <v>0</v>
      </c>
      <c r="N397" s="6">
        <f t="shared" si="39"/>
        <v>0</v>
      </c>
      <c r="O397" t="str">
        <f>IF($N397&gt;0,MAX($O$1:$O396)+1,"")</f>
        <v/>
      </c>
      <c r="P397" t="str">
        <f>IF($C397="","",IFERROR(INDEX(Работы!$D$2:$D$6000,MATCH($C397,Работы!$A$2:$A$6000,0)),""))</f>
        <v/>
      </c>
      <c r="Q397" t="str">
        <f t="shared" si="40"/>
        <v/>
      </c>
      <c r="R397" t="str">
        <f t="shared" si="41"/>
        <v/>
      </c>
      <c r="S397" t="str">
        <f>IF($P397="","",$P397&amp;" · "&amp;IFERROR(INDEX(Работы!$E$2:$E$6000,MATCH($C397,Работы!$A$2:$A$6000,0)),""))</f>
        <v/>
      </c>
    </row>
    <row r="398" spans="1:19" x14ac:dyDescent="0.3">
      <c r="A398" s="4"/>
      <c r="B398" s="4"/>
      <c r="C398" t="str">
        <f t="shared" si="36"/>
        <v/>
      </c>
      <c r="D398" s="5" t="str">
        <f>IF($C398="","",IF(AND(LEFT($F398,3)="ДОК",$H398&lt;&gt;""),IFERROR(INDEX(Документация!$G$2:$G$57,MATCH($H398,Документация!$F$2:$F$57,0)),"— вариант не найден —"),IFERROR(INDEX(Работы!$B$2:$B$6000,MATCH($C398,Работы!$A$2:$A$6000,0)),"— нет такого кода —")))</f>
        <v/>
      </c>
      <c r="E398" t="str">
        <f>IF($C398="","",IF(AND(LEFT($F398,3)="ДОК",$H398&lt;&gt;""),IFERROR(INDEX(Документация!$D$2:$D$57,MATCH($H398,Документация!$F$2:$F$57,0)),""),IFERROR(INDEX(Работы!$C$2:$C$6000,MATCH($C398,Работы!$A$2:$A$6000,0)),"")))</f>
        <v/>
      </c>
      <c r="F398" t="str">
        <f>IF($C398="","",IFERROR(INDEX(Работы!$G$2:$G$6000,MATCH($C398,Работы!$A$2:$A$6000,0))&amp;"",""))</f>
        <v/>
      </c>
      <c r="G398" s="4"/>
      <c r="H398" s="4"/>
      <c r="I398" s="5" t="str">
        <f>IF((LEFT($F398,3)="ДОК"),"",IF($H398="","",IFERROR(INDEX(Материалы!$B$2:$B$9000,MATCH($H398,Материалы!$M$2:$M$9000,0)),"")))</f>
        <v/>
      </c>
      <c r="J398" s="6">
        <f>IF(AND(LEFT($F398,3)="ДОК",$H398&lt;&gt;""),IFERROR(INDEX(Документация!$E$2:$E$57,MATCH($H398,Документация!$F$2:$F$57,0)),0),IFERROR(INDEX(Работы!$H$2:$H$6000,MATCH($C398,Работы!$A$2:$A$6000,0)),0))*(1-MEDIAN(0,N(ДисконтТендер),1))</f>
        <v>0</v>
      </c>
      <c r="K398" s="6">
        <f>IF(OR((LEFT($F398,3)="ДОК"),$H398=""),0,IFERROR(INDEX(Материалы!$H$2:$H$9000,MATCH($H398,Материалы!$M$2:$M$9000,0))*IF(INDEX(Материалы!$I$2:$I$9000,MATCH($H398,Материалы!$M$2:$M$9000,0))="USD",КурсUSD,IF(INDEX(Материалы!$I$2:$I$9000,MATCH($H398,Материалы!$M$2:$M$9000,0))="EUR",КурсEUR,1))*(1+IFERROR(INDEX(Работы!$I$2:$I$6000,MATCH($C398,Работы!$A$2:$A$6000,0))/100,0))*(1-MEDIAN(0,N(ДисконтТендер),1)),0))</f>
        <v>0</v>
      </c>
      <c r="L398" s="6">
        <f t="shared" si="37"/>
        <v>0</v>
      </c>
      <c r="M398" s="6">
        <f t="shared" si="38"/>
        <v>0</v>
      </c>
      <c r="N398" s="6">
        <f t="shared" si="39"/>
        <v>0</v>
      </c>
      <c r="O398" t="str">
        <f>IF($N398&gt;0,MAX($O$1:$O397)+1,"")</f>
        <v/>
      </c>
      <c r="P398" t="str">
        <f>IF($C398="","",IFERROR(INDEX(Работы!$D$2:$D$6000,MATCH($C398,Работы!$A$2:$A$6000,0)),""))</f>
        <v/>
      </c>
      <c r="Q398" t="str">
        <f t="shared" si="40"/>
        <v/>
      </c>
      <c r="R398" t="str">
        <f t="shared" si="41"/>
        <v/>
      </c>
      <c r="S398" t="str">
        <f>IF($P398="","",$P398&amp;" · "&amp;IFERROR(INDEX(Работы!$E$2:$E$6000,MATCH($C398,Работы!$A$2:$A$6000,0)),""))</f>
        <v/>
      </c>
    </row>
    <row r="399" spans="1:19" x14ac:dyDescent="0.3">
      <c r="A399" s="4"/>
      <c r="B399" s="4"/>
      <c r="C399" t="str">
        <f t="shared" si="36"/>
        <v/>
      </c>
      <c r="D399" s="5" t="str">
        <f>IF($C399="","",IF(AND(LEFT($F399,3)="ДОК",$H399&lt;&gt;""),IFERROR(INDEX(Документация!$G$2:$G$57,MATCH($H399,Документация!$F$2:$F$57,0)),"— вариант не найден —"),IFERROR(INDEX(Работы!$B$2:$B$6000,MATCH($C399,Работы!$A$2:$A$6000,0)),"— нет такого кода —")))</f>
        <v/>
      </c>
      <c r="E399" t="str">
        <f>IF($C399="","",IF(AND(LEFT($F399,3)="ДОК",$H399&lt;&gt;""),IFERROR(INDEX(Документация!$D$2:$D$57,MATCH($H399,Документация!$F$2:$F$57,0)),""),IFERROR(INDEX(Работы!$C$2:$C$6000,MATCH($C399,Работы!$A$2:$A$6000,0)),"")))</f>
        <v/>
      </c>
      <c r="F399" t="str">
        <f>IF($C399="","",IFERROR(INDEX(Работы!$G$2:$G$6000,MATCH($C399,Работы!$A$2:$A$6000,0))&amp;"",""))</f>
        <v/>
      </c>
      <c r="G399" s="4"/>
      <c r="H399" s="4"/>
      <c r="I399" s="5" t="str">
        <f>IF((LEFT($F399,3)="ДОК"),"",IF($H399="","",IFERROR(INDEX(Материалы!$B$2:$B$9000,MATCH($H399,Материалы!$M$2:$M$9000,0)),"")))</f>
        <v/>
      </c>
      <c r="J399" s="6">
        <f>IF(AND(LEFT($F399,3)="ДОК",$H399&lt;&gt;""),IFERROR(INDEX(Документация!$E$2:$E$57,MATCH($H399,Документация!$F$2:$F$57,0)),0),IFERROR(INDEX(Работы!$H$2:$H$6000,MATCH($C399,Работы!$A$2:$A$6000,0)),0))*(1-MEDIAN(0,N(ДисконтТендер),1))</f>
        <v>0</v>
      </c>
      <c r="K399" s="6">
        <f>IF(OR((LEFT($F399,3)="ДОК"),$H399=""),0,IFERROR(INDEX(Материалы!$H$2:$H$9000,MATCH($H399,Материалы!$M$2:$M$9000,0))*IF(INDEX(Материалы!$I$2:$I$9000,MATCH($H399,Материалы!$M$2:$M$9000,0))="USD",КурсUSD,IF(INDEX(Материалы!$I$2:$I$9000,MATCH($H399,Материалы!$M$2:$M$9000,0))="EUR",КурсEUR,1))*(1+IFERROR(INDEX(Работы!$I$2:$I$6000,MATCH($C399,Работы!$A$2:$A$6000,0))/100,0))*(1-MEDIAN(0,N(ДисконтТендер),1)),0))</f>
        <v>0</v>
      </c>
      <c r="L399" s="6">
        <f t="shared" si="37"/>
        <v>0</v>
      </c>
      <c r="M399" s="6">
        <f t="shared" si="38"/>
        <v>0</v>
      </c>
      <c r="N399" s="6">
        <f t="shared" si="39"/>
        <v>0</v>
      </c>
      <c r="O399" t="str">
        <f>IF($N399&gt;0,MAX($O$1:$O398)+1,"")</f>
        <v/>
      </c>
      <c r="P399" t="str">
        <f>IF($C399="","",IFERROR(INDEX(Работы!$D$2:$D$6000,MATCH($C399,Работы!$A$2:$A$6000,0)),""))</f>
        <v/>
      </c>
      <c r="Q399" t="str">
        <f t="shared" si="40"/>
        <v/>
      </c>
      <c r="R399" t="str">
        <f t="shared" si="41"/>
        <v/>
      </c>
      <c r="S399" t="str">
        <f>IF($P399="","",$P399&amp;" · "&amp;IFERROR(INDEX(Работы!$E$2:$E$6000,MATCH($C399,Работы!$A$2:$A$6000,0)),""))</f>
        <v/>
      </c>
    </row>
    <row r="400" spans="1:19" x14ac:dyDescent="0.3">
      <c r="A400" s="4"/>
      <c r="B400" s="4"/>
      <c r="C400" t="str">
        <f t="shared" si="36"/>
        <v/>
      </c>
      <c r="D400" s="5" t="str">
        <f>IF($C400="","",IF(AND(LEFT($F400,3)="ДОК",$H400&lt;&gt;""),IFERROR(INDEX(Документация!$G$2:$G$57,MATCH($H400,Документация!$F$2:$F$57,0)),"— вариант не найден —"),IFERROR(INDEX(Работы!$B$2:$B$6000,MATCH($C400,Работы!$A$2:$A$6000,0)),"— нет такого кода —")))</f>
        <v/>
      </c>
      <c r="E400" t="str">
        <f>IF($C400="","",IF(AND(LEFT($F400,3)="ДОК",$H400&lt;&gt;""),IFERROR(INDEX(Документация!$D$2:$D$57,MATCH($H400,Документация!$F$2:$F$57,0)),""),IFERROR(INDEX(Работы!$C$2:$C$6000,MATCH($C400,Работы!$A$2:$A$6000,0)),"")))</f>
        <v/>
      </c>
      <c r="F400" t="str">
        <f>IF($C400="","",IFERROR(INDEX(Работы!$G$2:$G$6000,MATCH($C400,Работы!$A$2:$A$6000,0))&amp;"",""))</f>
        <v/>
      </c>
      <c r="G400" s="4"/>
      <c r="H400" s="4"/>
      <c r="I400" s="5" t="str">
        <f>IF((LEFT($F400,3)="ДОК"),"",IF($H400="","",IFERROR(INDEX(Материалы!$B$2:$B$9000,MATCH($H400,Материалы!$M$2:$M$9000,0)),"")))</f>
        <v/>
      </c>
      <c r="J400" s="6">
        <f>IF(AND(LEFT($F400,3)="ДОК",$H400&lt;&gt;""),IFERROR(INDEX(Документация!$E$2:$E$57,MATCH($H400,Документация!$F$2:$F$57,0)),0),IFERROR(INDEX(Работы!$H$2:$H$6000,MATCH($C400,Работы!$A$2:$A$6000,0)),0))*(1-MEDIAN(0,N(ДисконтТендер),1))</f>
        <v>0</v>
      </c>
      <c r="K400" s="6">
        <f>IF(OR((LEFT($F400,3)="ДОК"),$H400=""),0,IFERROR(INDEX(Материалы!$H$2:$H$9000,MATCH($H400,Материалы!$M$2:$M$9000,0))*IF(INDEX(Материалы!$I$2:$I$9000,MATCH($H400,Материалы!$M$2:$M$9000,0))="USD",КурсUSD,IF(INDEX(Материалы!$I$2:$I$9000,MATCH($H400,Материалы!$M$2:$M$9000,0))="EUR",КурсEUR,1))*(1+IFERROR(INDEX(Работы!$I$2:$I$6000,MATCH($C400,Работы!$A$2:$A$6000,0))/100,0))*(1-MEDIAN(0,N(ДисконтТендер),1)),0))</f>
        <v>0</v>
      </c>
      <c r="L400" s="6">
        <f t="shared" si="37"/>
        <v>0</v>
      </c>
      <c r="M400" s="6">
        <f t="shared" si="38"/>
        <v>0</v>
      </c>
      <c r="N400" s="6">
        <f t="shared" si="39"/>
        <v>0</v>
      </c>
      <c r="O400" t="str">
        <f>IF($N400&gt;0,MAX($O$1:$O399)+1,"")</f>
        <v/>
      </c>
      <c r="P400" t="str">
        <f>IF($C400="","",IFERROR(INDEX(Работы!$D$2:$D$6000,MATCH($C400,Работы!$A$2:$A$6000,0)),""))</f>
        <v/>
      </c>
      <c r="Q400" t="str">
        <f t="shared" si="40"/>
        <v/>
      </c>
      <c r="R400" t="str">
        <f t="shared" si="41"/>
        <v/>
      </c>
      <c r="S400" t="str">
        <f>IF($P400="","",$P400&amp;" · "&amp;IFERROR(INDEX(Работы!$E$2:$E$6000,MATCH($C400,Работы!$A$2:$A$6000,0)),""))</f>
        <v/>
      </c>
    </row>
    <row r="401" spans="1:19" x14ac:dyDescent="0.3">
      <c r="A401" s="4"/>
      <c r="B401" s="4"/>
      <c r="C401" t="str">
        <f t="shared" si="36"/>
        <v/>
      </c>
      <c r="D401" s="5" t="str">
        <f>IF($C401="","",IF(AND(LEFT($F401,3)="ДОК",$H401&lt;&gt;""),IFERROR(INDEX(Документация!$G$2:$G$57,MATCH($H401,Документация!$F$2:$F$57,0)),"— вариант не найден —"),IFERROR(INDEX(Работы!$B$2:$B$6000,MATCH($C401,Работы!$A$2:$A$6000,0)),"— нет такого кода —")))</f>
        <v/>
      </c>
      <c r="E401" t="str">
        <f>IF($C401="","",IF(AND(LEFT($F401,3)="ДОК",$H401&lt;&gt;""),IFERROR(INDEX(Документация!$D$2:$D$57,MATCH($H401,Документация!$F$2:$F$57,0)),""),IFERROR(INDEX(Работы!$C$2:$C$6000,MATCH($C401,Работы!$A$2:$A$6000,0)),"")))</f>
        <v/>
      </c>
      <c r="F401" t="str">
        <f>IF($C401="","",IFERROR(INDEX(Работы!$G$2:$G$6000,MATCH($C401,Работы!$A$2:$A$6000,0))&amp;"",""))</f>
        <v/>
      </c>
      <c r="G401" s="4"/>
      <c r="H401" s="4"/>
      <c r="I401" s="5" t="str">
        <f>IF((LEFT($F401,3)="ДОК"),"",IF($H401="","",IFERROR(INDEX(Материалы!$B$2:$B$9000,MATCH($H401,Материалы!$M$2:$M$9000,0)),"")))</f>
        <v/>
      </c>
      <c r="J401" s="6">
        <f>IF(AND(LEFT($F401,3)="ДОК",$H401&lt;&gt;""),IFERROR(INDEX(Документация!$E$2:$E$57,MATCH($H401,Документация!$F$2:$F$57,0)),0),IFERROR(INDEX(Работы!$H$2:$H$6000,MATCH($C401,Работы!$A$2:$A$6000,0)),0))*(1-MEDIAN(0,N(ДисконтТендер),1))</f>
        <v>0</v>
      </c>
      <c r="K401" s="6">
        <f>IF(OR((LEFT($F401,3)="ДОК"),$H401=""),0,IFERROR(INDEX(Материалы!$H$2:$H$9000,MATCH($H401,Материалы!$M$2:$M$9000,0))*IF(INDEX(Материалы!$I$2:$I$9000,MATCH($H401,Материалы!$M$2:$M$9000,0))="USD",КурсUSD,IF(INDEX(Материалы!$I$2:$I$9000,MATCH($H401,Материалы!$M$2:$M$9000,0))="EUR",КурсEUR,1))*(1+IFERROR(INDEX(Работы!$I$2:$I$6000,MATCH($C401,Работы!$A$2:$A$6000,0))/100,0))*(1-MEDIAN(0,N(ДисконтТендер),1)),0))</f>
        <v>0</v>
      </c>
      <c r="L401" s="6">
        <f t="shared" si="37"/>
        <v>0</v>
      </c>
      <c r="M401" s="6">
        <f t="shared" si="38"/>
        <v>0</v>
      </c>
      <c r="N401" s="6">
        <f t="shared" si="39"/>
        <v>0</v>
      </c>
      <c r="O401" t="str">
        <f>IF($N401&gt;0,MAX($O$1:$O400)+1,"")</f>
        <v/>
      </c>
      <c r="P401" t="str">
        <f>IF($C401="","",IFERROR(INDEX(Работы!$D$2:$D$6000,MATCH($C401,Работы!$A$2:$A$6000,0)),""))</f>
        <v/>
      </c>
      <c r="Q401" t="str">
        <f t="shared" si="40"/>
        <v/>
      </c>
      <c r="R401" t="str">
        <f t="shared" si="41"/>
        <v/>
      </c>
      <c r="S401" t="str">
        <f>IF($P401="","",$P401&amp;" · "&amp;IFERROR(INDEX(Работы!$E$2:$E$6000,MATCH($C401,Работы!$A$2:$A$6000,0)),""))</f>
        <v/>
      </c>
    </row>
    <row r="402" spans="1:19" x14ac:dyDescent="0.3">
      <c r="A402" s="4"/>
      <c r="B402" s="4"/>
      <c r="C402" t="str">
        <f t="shared" si="36"/>
        <v/>
      </c>
      <c r="D402" s="5" t="str">
        <f>IF($C402="","",IF(AND(LEFT($F402,3)="ДОК",$H402&lt;&gt;""),IFERROR(INDEX(Документация!$G$2:$G$57,MATCH($H402,Документация!$F$2:$F$57,0)),"— вариант не найден —"),IFERROR(INDEX(Работы!$B$2:$B$6000,MATCH($C402,Работы!$A$2:$A$6000,0)),"— нет такого кода —")))</f>
        <v/>
      </c>
      <c r="E402" t="str">
        <f>IF($C402="","",IF(AND(LEFT($F402,3)="ДОК",$H402&lt;&gt;""),IFERROR(INDEX(Документация!$D$2:$D$57,MATCH($H402,Документация!$F$2:$F$57,0)),""),IFERROR(INDEX(Работы!$C$2:$C$6000,MATCH($C402,Работы!$A$2:$A$6000,0)),"")))</f>
        <v/>
      </c>
      <c r="F402" t="str">
        <f>IF($C402="","",IFERROR(INDEX(Работы!$G$2:$G$6000,MATCH($C402,Работы!$A$2:$A$6000,0))&amp;"",""))</f>
        <v/>
      </c>
      <c r="G402" s="4"/>
      <c r="H402" s="4"/>
      <c r="I402" s="5" t="str">
        <f>IF((LEFT($F402,3)="ДОК"),"",IF($H402="","",IFERROR(INDEX(Материалы!$B$2:$B$9000,MATCH($H402,Материалы!$M$2:$M$9000,0)),"")))</f>
        <v/>
      </c>
      <c r="J402" s="6">
        <f>IF(AND(LEFT($F402,3)="ДОК",$H402&lt;&gt;""),IFERROR(INDEX(Документация!$E$2:$E$57,MATCH($H402,Документация!$F$2:$F$57,0)),0),IFERROR(INDEX(Работы!$H$2:$H$6000,MATCH($C402,Работы!$A$2:$A$6000,0)),0))*(1-MEDIAN(0,N(ДисконтТендер),1))</f>
        <v>0</v>
      </c>
      <c r="K402" s="6">
        <f>IF(OR((LEFT($F402,3)="ДОК"),$H402=""),0,IFERROR(INDEX(Материалы!$H$2:$H$9000,MATCH($H402,Материалы!$M$2:$M$9000,0))*IF(INDEX(Материалы!$I$2:$I$9000,MATCH($H402,Материалы!$M$2:$M$9000,0))="USD",КурсUSD,IF(INDEX(Материалы!$I$2:$I$9000,MATCH($H402,Материалы!$M$2:$M$9000,0))="EUR",КурсEUR,1))*(1+IFERROR(INDEX(Работы!$I$2:$I$6000,MATCH($C402,Работы!$A$2:$A$6000,0))/100,0))*(1-MEDIAN(0,N(ДисконтТендер),1)),0))</f>
        <v>0</v>
      </c>
      <c r="L402" s="6">
        <f t="shared" si="37"/>
        <v>0</v>
      </c>
      <c r="M402" s="6">
        <f t="shared" si="38"/>
        <v>0</v>
      </c>
      <c r="N402" s="6">
        <f t="shared" si="39"/>
        <v>0</v>
      </c>
      <c r="O402" t="str">
        <f>IF($N402&gt;0,MAX($O$1:$O401)+1,"")</f>
        <v/>
      </c>
      <c r="P402" t="str">
        <f>IF($C402="","",IFERROR(INDEX(Работы!$D$2:$D$6000,MATCH($C402,Работы!$A$2:$A$6000,0)),""))</f>
        <v/>
      </c>
      <c r="Q402" t="str">
        <f t="shared" si="40"/>
        <v/>
      </c>
      <c r="R402" t="str">
        <f t="shared" si="41"/>
        <v/>
      </c>
      <c r="S402" t="str">
        <f>IF($P402="","",$P402&amp;" · "&amp;IFERROR(INDEX(Работы!$E$2:$E$6000,MATCH($C402,Работы!$A$2:$A$6000,0)),""))</f>
        <v/>
      </c>
    </row>
    <row r="403" spans="1:19" x14ac:dyDescent="0.3">
      <c r="A403" s="4"/>
      <c r="B403" s="4"/>
      <c r="C403" t="str">
        <f t="shared" si="36"/>
        <v/>
      </c>
      <c r="D403" s="5" t="str">
        <f>IF($C403="","",IF(AND(LEFT($F403,3)="ДОК",$H403&lt;&gt;""),IFERROR(INDEX(Документация!$G$2:$G$57,MATCH($H403,Документация!$F$2:$F$57,0)),"— вариант не найден —"),IFERROR(INDEX(Работы!$B$2:$B$6000,MATCH($C403,Работы!$A$2:$A$6000,0)),"— нет такого кода —")))</f>
        <v/>
      </c>
      <c r="E403" t="str">
        <f>IF($C403="","",IF(AND(LEFT($F403,3)="ДОК",$H403&lt;&gt;""),IFERROR(INDEX(Документация!$D$2:$D$57,MATCH($H403,Документация!$F$2:$F$57,0)),""),IFERROR(INDEX(Работы!$C$2:$C$6000,MATCH($C403,Работы!$A$2:$A$6000,0)),"")))</f>
        <v/>
      </c>
      <c r="F403" t="str">
        <f>IF($C403="","",IFERROR(INDEX(Работы!$G$2:$G$6000,MATCH($C403,Работы!$A$2:$A$6000,0))&amp;"",""))</f>
        <v/>
      </c>
      <c r="G403" s="4"/>
      <c r="H403" s="4"/>
      <c r="I403" s="5" t="str">
        <f>IF((LEFT($F403,3)="ДОК"),"",IF($H403="","",IFERROR(INDEX(Материалы!$B$2:$B$9000,MATCH($H403,Материалы!$M$2:$M$9000,0)),"")))</f>
        <v/>
      </c>
      <c r="J403" s="6">
        <f>IF(AND(LEFT($F403,3)="ДОК",$H403&lt;&gt;""),IFERROR(INDEX(Документация!$E$2:$E$57,MATCH($H403,Документация!$F$2:$F$57,0)),0),IFERROR(INDEX(Работы!$H$2:$H$6000,MATCH($C403,Работы!$A$2:$A$6000,0)),0))*(1-MEDIAN(0,N(ДисконтТендер),1))</f>
        <v>0</v>
      </c>
      <c r="K403" s="6">
        <f>IF(OR((LEFT($F403,3)="ДОК"),$H403=""),0,IFERROR(INDEX(Материалы!$H$2:$H$9000,MATCH($H403,Материалы!$M$2:$M$9000,0))*IF(INDEX(Материалы!$I$2:$I$9000,MATCH($H403,Материалы!$M$2:$M$9000,0))="USD",КурсUSD,IF(INDEX(Материалы!$I$2:$I$9000,MATCH($H403,Материалы!$M$2:$M$9000,0))="EUR",КурсEUR,1))*(1+IFERROR(INDEX(Работы!$I$2:$I$6000,MATCH($C403,Работы!$A$2:$A$6000,0))/100,0))*(1-MEDIAN(0,N(ДисконтТендер),1)),0))</f>
        <v>0</v>
      </c>
      <c r="L403" s="6">
        <f t="shared" si="37"/>
        <v>0</v>
      </c>
      <c r="M403" s="6">
        <f t="shared" si="38"/>
        <v>0</v>
      </c>
      <c r="N403" s="6">
        <f t="shared" si="39"/>
        <v>0</v>
      </c>
      <c r="O403" t="str">
        <f>IF($N403&gt;0,MAX($O$1:$O402)+1,"")</f>
        <v/>
      </c>
      <c r="P403" t="str">
        <f>IF($C403="","",IFERROR(INDEX(Работы!$D$2:$D$6000,MATCH($C403,Работы!$A$2:$A$6000,0)),""))</f>
        <v/>
      </c>
      <c r="Q403" t="str">
        <f t="shared" si="40"/>
        <v/>
      </c>
      <c r="R403" t="str">
        <f t="shared" si="41"/>
        <v/>
      </c>
      <c r="S403" t="str">
        <f>IF($P403="","",$P403&amp;" · "&amp;IFERROR(INDEX(Работы!$E$2:$E$6000,MATCH($C403,Работы!$A$2:$A$6000,0)),""))</f>
        <v/>
      </c>
    </row>
    <row r="404" spans="1:19" x14ac:dyDescent="0.3">
      <c r="A404" s="4"/>
      <c r="B404" s="4"/>
      <c r="C404" t="str">
        <f t="shared" si="36"/>
        <v/>
      </c>
      <c r="D404" s="5" t="str">
        <f>IF($C404="","",IF(AND(LEFT($F404,3)="ДОК",$H404&lt;&gt;""),IFERROR(INDEX(Документация!$G$2:$G$57,MATCH($H404,Документация!$F$2:$F$57,0)),"— вариант не найден —"),IFERROR(INDEX(Работы!$B$2:$B$6000,MATCH($C404,Работы!$A$2:$A$6000,0)),"— нет такого кода —")))</f>
        <v/>
      </c>
      <c r="E404" t="str">
        <f>IF($C404="","",IF(AND(LEFT($F404,3)="ДОК",$H404&lt;&gt;""),IFERROR(INDEX(Документация!$D$2:$D$57,MATCH($H404,Документация!$F$2:$F$57,0)),""),IFERROR(INDEX(Работы!$C$2:$C$6000,MATCH($C404,Работы!$A$2:$A$6000,0)),"")))</f>
        <v/>
      </c>
      <c r="F404" t="str">
        <f>IF($C404="","",IFERROR(INDEX(Работы!$G$2:$G$6000,MATCH($C404,Работы!$A$2:$A$6000,0))&amp;"",""))</f>
        <v/>
      </c>
      <c r="G404" s="4"/>
      <c r="H404" s="4"/>
      <c r="I404" s="5" t="str">
        <f>IF((LEFT($F404,3)="ДОК"),"",IF($H404="","",IFERROR(INDEX(Материалы!$B$2:$B$9000,MATCH($H404,Материалы!$M$2:$M$9000,0)),"")))</f>
        <v/>
      </c>
      <c r="J404" s="6">
        <f>IF(AND(LEFT($F404,3)="ДОК",$H404&lt;&gt;""),IFERROR(INDEX(Документация!$E$2:$E$57,MATCH($H404,Документация!$F$2:$F$57,0)),0),IFERROR(INDEX(Работы!$H$2:$H$6000,MATCH($C404,Работы!$A$2:$A$6000,0)),0))*(1-MEDIAN(0,N(ДисконтТендер),1))</f>
        <v>0</v>
      </c>
      <c r="K404" s="6">
        <f>IF(OR((LEFT($F404,3)="ДОК"),$H404=""),0,IFERROR(INDEX(Материалы!$H$2:$H$9000,MATCH($H404,Материалы!$M$2:$M$9000,0))*IF(INDEX(Материалы!$I$2:$I$9000,MATCH($H404,Материалы!$M$2:$M$9000,0))="USD",КурсUSD,IF(INDEX(Материалы!$I$2:$I$9000,MATCH($H404,Материалы!$M$2:$M$9000,0))="EUR",КурсEUR,1))*(1+IFERROR(INDEX(Работы!$I$2:$I$6000,MATCH($C404,Работы!$A$2:$A$6000,0))/100,0))*(1-MEDIAN(0,N(ДисконтТендер),1)),0))</f>
        <v>0</v>
      </c>
      <c r="L404" s="6">
        <f t="shared" si="37"/>
        <v>0</v>
      </c>
      <c r="M404" s="6">
        <f t="shared" si="38"/>
        <v>0</v>
      </c>
      <c r="N404" s="6">
        <f t="shared" si="39"/>
        <v>0</v>
      </c>
      <c r="O404" t="str">
        <f>IF($N404&gt;0,MAX($O$1:$O403)+1,"")</f>
        <v/>
      </c>
      <c r="P404" t="str">
        <f>IF($C404="","",IFERROR(INDEX(Работы!$D$2:$D$6000,MATCH($C404,Работы!$A$2:$A$6000,0)),""))</f>
        <v/>
      </c>
      <c r="Q404" t="str">
        <f t="shared" si="40"/>
        <v/>
      </c>
      <c r="R404" t="str">
        <f t="shared" si="41"/>
        <v/>
      </c>
      <c r="S404" t="str">
        <f>IF($P404="","",$P404&amp;" · "&amp;IFERROR(INDEX(Работы!$E$2:$E$6000,MATCH($C404,Работы!$A$2:$A$6000,0)),""))</f>
        <v/>
      </c>
    </row>
    <row r="405" spans="1:19" x14ac:dyDescent="0.3">
      <c r="A405" s="4"/>
      <c r="B405" s="4"/>
      <c r="C405" t="str">
        <f t="shared" si="36"/>
        <v/>
      </c>
      <c r="D405" s="5" t="str">
        <f>IF($C405="","",IF(AND(LEFT($F405,3)="ДОК",$H405&lt;&gt;""),IFERROR(INDEX(Документация!$G$2:$G$57,MATCH($H405,Документация!$F$2:$F$57,0)),"— вариант не найден —"),IFERROR(INDEX(Работы!$B$2:$B$6000,MATCH($C405,Работы!$A$2:$A$6000,0)),"— нет такого кода —")))</f>
        <v/>
      </c>
      <c r="E405" t="str">
        <f>IF($C405="","",IF(AND(LEFT($F405,3)="ДОК",$H405&lt;&gt;""),IFERROR(INDEX(Документация!$D$2:$D$57,MATCH($H405,Документация!$F$2:$F$57,0)),""),IFERROR(INDEX(Работы!$C$2:$C$6000,MATCH($C405,Работы!$A$2:$A$6000,0)),"")))</f>
        <v/>
      </c>
      <c r="F405" t="str">
        <f>IF($C405="","",IFERROR(INDEX(Работы!$G$2:$G$6000,MATCH($C405,Работы!$A$2:$A$6000,0))&amp;"",""))</f>
        <v/>
      </c>
      <c r="G405" s="4"/>
      <c r="H405" s="4"/>
      <c r="I405" s="5" t="str">
        <f>IF((LEFT($F405,3)="ДОК"),"",IF($H405="","",IFERROR(INDEX(Материалы!$B$2:$B$9000,MATCH($H405,Материалы!$M$2:$M$9000,0)),"")))</f>
        <v/>
      </c>
      <c r="J405" s="6">
        <f>IF(AND(LEFT($F405,3)="ДОК",$H405&lt;&gt;""),IFERROR(INDEX(Документация!$E$2:$E$57,MATCH($H405,Документация!$F$2:$F$57,0)),0),IFERROR(INDEX(Работы!$H$2:$H$6000,MATCH($C405,Работы!$A$2:$A$6000,0)),0))*(1-MEDIAN(0,N(ДисконтТендер),1))</f>
        <v>0</v>
      </c>
      <c r="K405" s="6">
        <f>IF(OR((LEFT($F405,3)="ДОК"),$H405=""),0,IFERROR(INDEX(Материалы!$H$2:$H$9000,MATCH($H405,Материалы!$M$2:$M$9000,0))*IF(INDEX(Материалы!$I$2:$I$9000,MATCH($H405,Материалы!$M$2:$M$9000,0))="USD",КурсUSD,IF(INDEX(Материалы!$I$2:$I$9000,MATCH($H405,Материалы!$M$2:$M$9000,0))="EUR",КурсEUR,1))*(1+IFERROR(INDEX(Работы!$I$2:$I$6000,MATCH($C405,Работы!$A$2:$A$6000,0))/100,0))*(1-MEDIAN(0,N(ДисконтТендер),1)),0))</f>
        <v>0</v>
      </c>
      <c r="L405" s="6">
        <f t="shared" si="37"/>
        <v>0</v>
      </c>
      <c r="M405" s="6">
        <f t="shared" si="38"/>
        <v>0</v>
      </c>
      <c r="N405" s="6">
        <f t="shared" si="39"/>
        <v>0</v>
      </c>
      <c r="O405" t="str">
        <f>IF($N405&gt;0,MAX($O$1:$O404)+1,"")</f>
        <v/>
      </c>
      <c r="P405" t="str">
        <f>IF($C405="","",IFERROR(INDEX(Работы!$D$2:$D$6000,MATCH($C405,Работы!$A$2:$A$6000,0)),""))</f>
        <v/>
      </c>
      <c r="Q405" t="str">
        <f t="shared" si="40"/>
        <v/>
      </c>
      <c r="R405" t="str">
        <f t="shared" si="41"/>
        <v/>
      </c>
      <c r="S405" t="str">
        <f>IF($P405="","",$P405&amp;" · "&amp;IFERROR(INDEX(Работы!$E$2:$E$6000,MATCH($C405,Работы!$A$2:$A$6000,0)),""))</f>
        <v/>
      </c>
    </row>
    <row r="406" spans="1:19" x14ac:dyDescent="0.3">
      <c r="A406" s="4"/>
      <c r="B406" s="4"/>
      <c r="C406" t="str">
        <f t="shared" si="36"/>
        <v/>
      </c>
      <c r="D406" s="5" t="str">
        <f>IF($C406="","",IF(AND(LEFT($F406,3)="ДОК",$H406&lt;&gt;""),IFERROR(INDEX(Документация!$G$2:$G$57,MATCH($H406,Документация!$F$2:$F$57,0)),"— вариант не найден —"),IFERROR(INDEX(Работы!$B$2:$B$6000,MATCH($C406,Работы!$A$2:$A$6000,0)),"— нет такого кода —")))</f>
        <v/>
      </c>
      <c r="E406" t="str">
        <f>IF($C406="","",IF(AND(LEFT($F406,3)="ДОК",$H406&lt;&gt;""),IFERROR(INDEX(Документация!$D$2:$D$57,MATCH($H406,Документация!$F$2:$F$57,0)),""),IFERROR(INDEX(Работы!$C$2:$C$6000,MATCH($C406,Работы!$A$2:$A$6000,0)),"")))</f>
        <v/>
      </c>
      <c r="F406" t="str">
        <f>IF($C406="","",IFERROR(INDEX(Работы!$G$2:$G$6000,MATCH($C406,Работы!$A$2:$A$6000,0))&amp;"",""))</f>
        <v/>
      </c>
      <c r="G406" s="4"/>
      <c r="H406" s="4"/>
      <c r="I406" s="5" t="str">
        <f>IF((LEFT($F406,3)="ДОК"),"",IF($H406="","",IFERROR(INDEX(Материалы!$B$2:$B$9000,MATCH($H406,Материалы!$M$2:$M$9000,0)),"")))</f>
        <v/>
      </c>
      <c r="J406" s="6">
        <f>IF(AND(LEFT($F406,3)="ДОК",$H406&lt;&gt;""),IFERROR(INDEX(Документация!$E$2:$E$57,MATCH($H406,Документация!$F$2:$F$57,0)),0),IFERROR(INDEX(Работы!$H$2:$H$6000,MATCH($C406,Работы!$A$2:$A$6000,0)),0))*(1-MEDIAN(0,N(ДисконтТендер),1))</f>
        <v>0</v>
      </c>
      <c r="K406" s="6">
        <f>IF(OR((LEFT($F406,3)="ДОК"),$H406=""),0,IFERROR(INDEX(Материалы!$H$2:$H$9000,MATCH($H406,Материалы!$M$2:$M$9000,0))*IF(INDEX(Материалы!$I$2:$I$9000,MATCH($H406,Материалы!$M$2:$M$9000,0))="USD",КурсUSD,IF(INDEX(Материалы!$I$2:$I$9000,MATCH($H406,Материалы!$M$2:$M$9000,0))="EUR",КурсEUR,1))*(1+IFERROR(INDEX(Работы!$I$2:$I$6000,MATCH($C406,Работы!$A$2:$A$6000,0))/100,0))*(1-MEDIAN(0,N(ДисконтТендер),1)),0))</f>
        <v>0</v>
      </c>
      <c r="L406" s="6">
        <f t="shared" si="37"/>
        <v>0</v>
      </c>
      <c r="M406" s="6">
        <f t="shared" si="38"/>
        <v>0</v>
      </c>
      <c r="N406" s="6">
        <f t="shared" si="39"/>
        <v>0</v>
      </c>
      <c r="O406" t="str">
        <f>IF($N406&gt;0,MAX($O$1:$O405)+1,"")</f>
        <v/>
      </c>
      <c r="P406" t="str">
        <f>IF($C406="","",IFERROR(INDEX(Работы!$D$2:$D$6000,MATCH($C406,Работы!$A$2:$A$6000,0)),""))</f>
        <v/>
      </c>
      <c r="Q406" t="str">
        <f t="shared" si="40"/>
        <v/>
      </c>
      <c r="R406" t="str">
        <f t="shared" si="41"/>
        <v/>
      </c>
      <c r="S406" t="str">
        <f>IF($P406="","",$P406&amp;" · "&amp;IFERROR(INDEX(Работы!$E$2:$E$6000,MATCH($C406,Работы!$A$2:$A$6000,0)),""))</f>
        <v/>
      </c>
    </row>
    <row r="407" spans="1:19" x14ac:dyDescent="0.3">
      <c r="A407" s="4"/>
      <c r="B407" s="4"/>
      <c r="C407" t="str">
        <f t="shared" si="36"/>
        <v/>
      </c>
      <c r="D407" s="5" t="str">
        <f>IF($C407="","",IF(AND(LEFT($F407,3)="ДОК",$H407&lt;&gt;""),IFERROR(INDEX(Документация!$G$2:$G$57,MATCH($H407,Документация!$F$2:$F$57,0)),"— вариант не найден —"),IFERROR(INDEX(Работы!$B$2:$B$6000,MATCH($C407,Работы!$A$2:$A$6000,0)),"— нет такого кода —")))</f>
        <v/>
      </c>
      <c r="E407" t="str">
        <f>IF($C407="","",IF(AND(LEFT($F407,3)="ДОК",$H407&lt;&gt;""),IFERROR(INDEX(Документация!$D$2:$D$57,MATCH($H407,Документация!$F$2:$F$57,0)),""),IFERROR(INDEX(Работы!$C$2:$C$6000,MATCH($C407,Работы!$A$2:$A$6000,0)),"")))</f>
        <v/>
      </c>
      <c r="F407" t="str">
        <f>IF($C407="","",IFERROR(INDEX(Работы!$G$2:$G$6000,MATCH($C407,Работы!$A$2:$A$6000,0))&amp;"",""))</f>
        <v/>
      </c>
      <c r="G407" s="4"/>
      <c r="H407" s="4"/>
      <c r="I407" s="5" t="str">
        <f>IF((LEFT($F407,3)="ДОК"),"",IF($H407="","",IFERROR(INDEX(Материалы!$B$2:$B$9000,MATCH($H407,Материалы!$M$2:$M$9000,0)),"")))</f>
        <v/>
      </c>
      <c r="J407" s="6">
        <f>IF(AND(LEFT($F407,3)="ДОК",$H407&lt;&gt;""),IFERROR(INDEX(Документация!$E$2:$E$57,MATCH($H407,Документация!$F$2:$F$57,0)),0),IFERROR(INDEX(Работы!$H$2:$H$6000,MATCH($C407,Работы!$A$2:$A$6000,0)),0))*(1-MEDIAN(0,N(ДисконтТендер),1))</f>
        <v>0</v>
      </c>
      <c r="K407" s="6">
        <f>IF(OR((LEFT($F407,3)="ДОК"),$H407=""),0,IFERROR(INDEX(Материалы!$H$2:$H$9000,MATCH($H407,Материалы!$M$2:$M$9000,0))*IF(INDEX(Материалы!$I$2:$I$9000,MATCH($H407,Материалы!$M$2:$M$9000,0))="USD",КурсUSD,IF(INDEX(Материалы!$I$2:$I$9000,MATCH($H407,Материалы!$M$2:$M$9000,0))="EUR",КурсEUR,1))*(1+IFERROR(INDEX(Работы!$I$2:$I$6000,MATCH($C407,Работы!$A$2:$A$6000,0))/100,0))*(1-MEDIAN(0,N(ДисконтТендер),1)),0))</f>
        <v>0</v>
      </c>
      <c r="L407" s="6">
        <f t="shared" si="37"/>
        <v>0</v>
      </c>
      <c r="M407" s="6">
        <f t="shared" si="38"/>
        <v>0</v>
      </c>
      <c r="N407" s="6">
        <f t="shared" si="39"/>
        <v>0</v>
      </c>
      <c r="O407" t="str">
        <f>IF($N407&gt;0,MAX($O$1:$O406)+1,"")</f>
        <v/>
      </c>
      <c r="P407" t="str">
        <f>IF($C407="","",IFERROR(INDEX(Работы!$D$2:$D$6000,MATCH($C407,Работы!$A$2:$A$6000,0)),""))</f>
        <v/>
      </c>
      <c r="Q407" t="str">
        <f t="shared" si="40"/>
        <v/>
      </c>
      <c r="R407" t="str">
        <f t="shared" si="41"/>
        <v/>
      </c>
      <c r="S407" t="str">
        <f>IF($P407="","",$P407&amp;" · "&amp;IFERROR(INDEX(Работы!$E$2:$E$6000,MATCH($C407,Работы!$A$2:$A$6000,0)),""))</f>
        <v/>
      </c>
    </row>
    <row r="408" spans="1:19" x14ac:dyDescent="0.3">
      <c r="A408" s="4"/>
      <c r="B408" s="4"/>
      <c r="C408" t="str">
        <f t="shared" si="36"/>
        <v/>
      </c>
      <c r="D408" s="5" t="str">
        <f>IF($C408="","",IF(AND(LEFT($F408,3)="ДОК",$H408&lt;&gt;""),IFERROR(INDEX(Документация!$G$2:$G$57,MATCH($H408,Документация!$F$2:$F$57,0)),"— вариант не найден —"),IFERROR(INDEX(Работы!$B$2:$B$6000,MATCH($C408,Работы!$A$2:$A$6000,0)),"— нет такого кода —")))</f>
        <v/>
      </c>
      <c r="E408" t="str">
        <f>IF($C408="","",IF(AND(LEFT($F408,3)="ДОК",$H408&lt;&gt;""),IFERROR(INDEX(Документация!$D$2:$D$57,MATCH($H408,Документация!$F$2:$F$57,0)),""),IFERROR(INDEX(Работы!$C$2:$C$6000,MATCH($C408,Работы!$A$2:$A$6000,0)),"")))</f>
        <v/>
      </c>
      <c r="F408" t="str">
        <f>IF($C408="","",IFERROR(INDEX(Работы!$G$2:$G$6000,MATCH($C408,Работы!$A$2:$A$6000,0))&amp;"",""))</f>
        <v/>
      </c>
      <c r="G408" s="4"/>
      <c r="H408" s="4"/>
      <c r="I408" s="5" t="str">
        <f>IF((LEFT($F408,3)="ДОК"),"",IF($H408="","",IFERROR(INDEX(Материалы!$B$2:$B$9000,MATCH($H408,Материалы!$M$2:$M$9000,0)),"")))</f>
        <v/>
      </c>
      <c r="J408" s="6">
        <f>IF(AND(LEFT($F408,3)="ДОК",$H408&lt;&gt;""),IFERROR(INDEX(Документация!$E$2:$E$57,MATCH($H408,Документация!$F$2:$F$57,0)),0),IFERROR(INDEX(Работы!$H$2:$H$6000,MATCH($C408,Работы!$A$2:$A$6000,0)),0))*(1-MEDIAN(0,N(ДисконтТендер),1))</f>
        <v>0</v>
      </c>
      <c r="K408" s="6">
        <f>IF(OR((LEFT($F408,3)="ДОК"),$H408=""),0,IFERROR(INDEX(Материалы!$H$2:$H$9000,MATCH($H408,Материалы!$M$2:$M$9000,0))*IF(INDEX(Материалы!$I$2:$I$9000,MATCH($H408,Материалы!$M$2:$M$9000,0))="USD",КурсUSD,IF(INDEX(Материалы!$I$2:$I$9000,MATCH($H408,Материалы!$M$2:$M$9000,0))="EUR",КурсEUR,1))*(1+IFERROR(INDEX(Работы!$I$2:$I$6000,MATCH($C408,Работы!$A$2:$A$6000,0))/100,0))*(1-MEDIAN(0,N(ДисконтТендер),1)),0))</f>
        <v>0</v>
      </c>
      <c r="L408" s="6">
        <f t="shared" si="37"/>
        <v>0</v>
      </c>
      <c r="M408" s="6">
        <f t="shared" si="38"/>
        <v>0</v>
      </c>
      <c r="N408" s="6">
        <f t="shared" si="39"/>
        <v>0</v>
      </c>
      <c r="O408" t="str">
        <f>IF($N408&gt;0,MAX($O$1:$O407)+1,"")</f>
        <v/>
      </c>
      <c r="P408" t="str">
        <f>IF($C408="","",IFERROR(INDEX(Работы!$D$2:$D$6000,MATCH($C408,Работы!$A$2:$A$6000,0)),""))</f>
        <v/>
      </c>
      <c r="Q408" t="str">
        <f t="shared" si="40"/>
        <v/>
      </c>
      <c r="R408" t="str">
        <f t="shared" si="41"/>
        <v/>
      </c>
      <c r="S408" t="str">
        <f>IF($P408="","",$P408&amp;" · "&amp;IFERROR(INDEX(Работы!$E$2:$E$6000,MATCH($C408,Работы!$A$2:$A$6000,0)),""))</f>
        <v/>
      </c>
    </row>
    <row r="409" spans="1:19" x14ac:dyDescent="0.3">
      <c r="A409" s="4"/>
      <c r="B409" s="4"/>
      <c r="C409" t="str">
        <f t="shared" si="36"/>
        <v/>
      </c>
      <c r="D409" s="5" t="str">
        <f>IF($C409="","",IF(AND(LEFT($F409,3)="ДОК",$H409&lt;&gt;""),IFERROR(INDEX(Документация!$G$2:$G$57,MATCH($H409,Документация!$F$2:$F$57,0)),"— вариант не найден —"),IFERROR(INDEX(Работы!$B$2:$B$6000,MATCH($C409,Работы!$A$2:$A$6000,0)),"— нет такого кода —")))</f>
        <v/>
      </c>
      <c r="E409" t="str">
        <f>IF($C409="","",IF(AND(LEFT($F409,3)="ДОК",$H409&lt;&gt;""),IFERROR(INDEX(Документация!$D$2:$D$57,MATCH($H409,Документация!$F$2:$F$57,0)),""),IFERROR(INDEX(Работы!$C$2:$C$6000,MATCH($C409,Работы!$A$2:$A$6000,0)),"")))</f>
        <v/>
      </c>
      <c r="F409" t="str">
        <f>IF($C409="","",IFERROR(INDEX(Работы!$G$2:$G$6000,MATCH($C409,Работы!$A$2:$A$6000,0))&amp;"",""))</f>
        <v/>
      </c>
      <c r="G409" s="4"/>
      <c r="H409" s="4"/>
      <c r="I409" s="5" t="str">
        <f>IF((LEFT($F409,3)="ДОК"),"",IF($H409="","",IFERROR(INDEX(Материалы!$B$2:$B$9000,MATCH($H409,Материалы!$M$2:$M$9000,0)),"")))</f>
        <v/>
      </c>
      <c r="J409" s="6">
        <f>IF(AND(LEFT($F409,3)="ДОК",$H409&lt;&gt;""),IFERROR(INDEX(Документация!$E$2:$E$57,MATCH($H409,Документация!$F$2:$F$57,0)),0),IFERROR(INDEX(Работы!$H$2:$H$6000,MATCH($C409,Работы!$A$2:$A$6000,0)),0))*(1-MEDIAN(0,N(ДисконтТендер),1))</f>
        <v>0</v>
      </c>
      <c r="K409" s="6">
        <f>IF(OR((LEFT($F409,3)="ДОК"),$H409=""),0,IFERROR(INDEX(Материалы!$H$2:$H$9000,MATCH($H409,Материалы!$M$2:$M$9000,0))*IF(INDEX(Материалы!$I$2:$I$9000,MATCH($H409,Материалы!$M$2:$M$9000,0))="USD",КурсUSD,IF(INDEX(Материалы!$I$2:$I$9000,MATCH($H409,Материалы!$M$2:$M$9000,0))="EUR",КурсEUR,1))*(1+IFERROR(INDEX(Работы!$I$2:$I$6000,MATCH($C409,Работы!$A$2:$A$6000,0))/100,0))*(1-MEDIAN(0,N(ДисконтТендер),1)),0))</f>
        <v>0</v>
      </c>
      <c r="L409" s="6">
        <f t="shared" si="37"/>
        <v>0</v>
      </c>
      <c r="M409" s="6">
        <f t="shared" si="38"/>
        <v>0</v>
      </c>
      <c r="N409" s="6">
        <f t="shared" si="39"/>
        <v>0</v>
      </c>
      <c r="O409" t="str">
        <f>IF($N409&gt;0,MAX($O$1:$O408)+1,"")</f>
        <v/>
      </c>
      <c r="P409" t="str">
        <f>IF($C409="","",IFERROR(INDEX(Работы!$D$2:$D$6000,MATCH($C409,Работы!$A$2:$A$6000,0)),""))</f>
        <v/>
      </c>
      <c r="Q409" t="str">
        <f t="shared" si="40"/>
        <v/>
      </c>
      <c r="R409" t="str">
        <f t="shared" si="41"/>
        <v/>
      </c>
      <c r="S409" t="str">
        <f>IF($P409="","",$P409&amp;" · "&amp;IFERROR(INDEX(Работы!$E$2:$E$6000,MATCH($C409,Работы!$A$2:$A$6000,0)),""))</f>
        <v/>
      </c>
    </row>
    <row r="410" spans="1:19" x14ac:dyDescent="0.3">
      <c r="A410" s="4"/>
      <c r="B410" s="4"/>
      <c r="C410" t="str">
        <f t="shared" si="36"/>
        <v/>
      </c>
      <c r="D410" s="5" t="str">
        <f>IF($C410="","",IF(AND(LEFT($F410,3)="ДОК",$H410&lt;&gt;""),IFERROR(INDEX(Документация!$G$2:$G$57,MATCH($H410,Документация!$F$2:$F$57,0)),"— вариант не найден —"),IFERROR(INDEX(Работы!$B$2:$B$6000,MATCH($C410,Работы!$A$2:$A$6000,0)),"— нет такого кода —")))</f>
        <v/>
      </c>
      <c r="E410" t="str">
        <f>IF($C410="","",IF(AND(LEFT($F410,3)="ДОК",$H410&lt;&gt;""),IFERROR(INDEX(Документация!$D$2:$D$57,MATCH($H410,Документация!$F$2:$F$57,0)),""),IFERROR(INDEX(Работы!$C$2:$C$6000,MATCH($C410,Работы!$A$2:$A$6000,0)),"")))</f>
        <v/>
      </c>
      <c r="F410" t="str">
        <f>IF($C410="","",IFERROR(INDEX(Работы!$G$2:$G$6000,MATCH($C410,Работы!$A$2:$A$6000,0))&amp;"",""))</f>
        <v/>
      </c>
      <c r="G410" s="4"/>
      <c r="H410" s="4"/>
      <c r="I410" s="5" t="str">
        <f>IF((LEFT($F410,3)="ДОК"),"",IF($H410="","",IFERROR(INDEX(Материалы!$B$2:$B$9000,MATCH($H410,Материалы!$M$2:$M$9000,0)),"")))</f>
        <v/>
      </c>
      <c r="J410" s="6">
        <f>IF(AND(LEFT($F410,3)="ДОК",$H410&lt;&gt;""),IFERROR(INDEX(Документация!$E$2:$E$57,MATCH($H410,Документация!$F$2:$F$57,0)),0),IFERROR(INDEX(Работы!$H$2:$H$6000,MATCH($C410,Работы!$A$2:$A$6000,0)),0))*(1-MEDIAN(0,N(ДисконтТендер),1))</f>
        <v>0</v>
      </c>
      <c r="K410" s="6">
        <f>IF(OR((LEFT($F410,3)="ДОК"),$H410=""),0,IFERROR(INDEX(Материалы!$H$2:$H$9000,MATCH($H410,Материалы!$M$2:$M$9000,0))*IF(INDEX(Материалы!$I$2:$I$9000,MATCH($H410,Материалы!$M$2:$M$9000,0))="USD",КурсUSD,IF(INDEX(Материалы!$I$2:$I$9000,MATCH($H410,Материалы!$M$2:$M$9000,0))="EUR",КурсEUR,1))*(1+IFERROR(INDEX(Работы!$I$2:$I$6000,MATCH($C410,Работы!$A$2:$A$6000,0))/100,0))*(1-MEDIAN(0,N(ДисконтТендер),1)),0))</f>
        <v>0</v>
      </c>
      <c r="L410" s="6">
        <f t="shared" si="37"/>
        <v>0</v>
      </c>
      <c r="M410" s="6">
        <f t="shared" si="38"/>
        <v>0</v>
      </c>
      <c r="N410" s="6">
        <f t="shared" si="39"/>
        <v>0</v>
      </c>
      <c r="O410" t="str">
        <f>IF($N410&gt;0,MAX($O$1:$O409)+1,"")</f>
        <v/>
      </c>
      <c r="P410" t="str">
        <f>IF($C410="","",IFERROR(INDEX(Работы!$D$2:$D$6000,MATCH($C410,Работы!$A$2:$A$6000,0)),""))</f>
        <v/>
      </c>
      <c r="Q410" t="str">
        <f t="shared" si="40"/>
        <v/>
      </c>
      <c r="R410" t="str">
        <f t="shared" si="41"/>
        <v/>
      </c>
      <c r="S410" t="str">
        <f>IF($P410="","",$P410&amp;" · "&amp;IFERROR(INDEX(Работы!$E$2:$E$6000,MATCH($C410,Работы!$A$2:$A$6000,0)),""))</f>
        <v/>
      </c>
    </row>
    <row r="411" spans="1:19" x14ac:dyDescent="0.3">
      <c r="A411" s="4"/>
      <c r="B411" s="4"/>
      <c r="C411" t="str">
        <f t="shared" si="36"/>
        <v/>
      </c>
      <c r="D411" s="5" t="str">
        <f>IF($C411="","",IF(AND(LEFT($F411,3)="ДОК",$H411&lt;&gt;""),IFERROR(INDEX(Документация!$G$2:$G$57,MATCH($H411,Документация!$F$2:$F$57,0)),"— вариант не найден —"),IFERROR(INDEX(Работы!$B$2:$B$6000,MATCH($C411,Работы!$A$2:$A$6000,0)),"— нет такого кода —")))</f>
        <v/>
      </c>
      <c r="E411" t="str">
        <f>IF($C411="","",IF(AND(LEFT($F411,3)="ДОК",$H411&lt;&gt;""),IFERROR(INDEX(Документация!$D$2:$D$57,MATCH($H411,Документация!$F$2:$F$57,0)),""),IFERROR(INDEX(Работы!$C$2:$C$6000,MATCH($C411,Работы!$A$2:$A$6000,0)),"")))</f>
        <v/>
      </c>
      <c r="F411" t="str">
        <f>IF($C411="","",IFERROR(INDEX(Работы!$G$2:$G$6000,MATCH($C411,Работы!$A$2:$A$6000,0))&amp;"",""))</f>
        <v/>
      </c>
      <c r="G411" s="4"/>
      <c r="H411" s="4"/>
      <c r="I411" s="5" t="str">
        <f>IF((LEFT($F411,3)="ДОК"),"",IF($H411="","",IFERROR(INDEX(Материалы!$B$2:$B$9000,MATCH($H411,Материалы!$M$2:$M$9000,0)),"")))</f>
        <v/>
      </c>
      <c r="J411" s="6">
        <f>IF(AND(LEFT($F411,3)="ДОК",$H411&lt;&gt;""),IFERROR(INDEX(Документация!$E$2:$E$57,MATCH($H411,Документация!$F$2:$F$57,0)),0),IFERROR(INDEX(Работы!$H$2:$H$6000,MATCH($C411,Работы!$A$2:$A$6000,0)),0))*(1-MEDIAN(0,N(ДисконтТендер),1))</f>
        <v>0</v>
      </c>
      <c r="K411" s="6">
        <f>IF(OR((LEFT($F411,3)="ДОК"),$H411=""),0,IFERROR(INDEX(Материалы!$H$2:$H$9000,MATCH($H411,Материалы!$M$2:$M$9000,0))*IF(INDEX(Материалы!$I$2:$I$9000,MATCH($H411,Материалы!$M$2:$M$9000,0))="USD",КурсUSD,IF(INDEX(Материалы!$I$2:$I$9000,MATCH($H411,Материалы!$M$2:$M$9000,0))="EUR",КурсEUR,1))*(1+IFERROR(INDEX(Работы!$I$2:$I$6000,MATCH($C411,Работы!$A$2:$A$6000,0))/100,0))*(1-MEDIAN(0,N(ДисконтТендер),1)),0))</f>
        <v>0</v>
      </c>
      <c r="L411" s="6">
        <f t="shared" si="37"/>
        <v>0</v>
      </c>
      <c r="M411" s="6">
        <f t="shared" si="38"/>
        <v>0</v>
      </c>
      <c r="N411" s="6">
        <f t="shared" si="39"/>
        <v>0</v>
      </c>
      <c r="O411" t="str">
        <f>IF($N411&gt;0,MAX($O$1:$O410)+1,"")</f>
        <v/>
      </c>
      <c r="P411" t="str">
        <f>IF($C411="","",IFERROR(INDEX(Работы!$D$2:$D$6000,MATCH($C411,Работы!$A$2:$A$6000,0)),""))</f>
        <v/>
      </c>
      <c r="Q411" t="str">
        <f t="shared" si="40"/>
        <v/>
      </c>
      <c r="R411" t="str">
        <f t="shared" si="41"/>
        <v/>
      </c>
      <c r="S411" t="str">
        <f>IF($P411="","",$P411&amp;" · "&amp;IFERROR(INDEX(Работы!$E$2:$E$6000,MATCH($C411,Работы!$A$2:$A$6000,0)),""))</f>
        <v/>
      </c>
    </row>
    <row r="412" spans="1:19" x14ac:dyDescent="0.3">
      <c r="A412" s="4"/>
      <c r="B412" s="4"/>
      <c r="C412" t="str">
        <f t="shared" si="36"/>
        <v/>
      </c>
      <c r="D412" s="5" t="str">
        <f>IF($C412="","",IF(AND(LEFT($F412,3)="ДОК",$H412&lt;&gt;""),IFERROR(INDEX(Документация!$G$2:$G$57,MATCH($H412,Документация!$F$2:$F$57,0)),"— вариант не найден —"),IFERROR(INDEX(Работы!$B$2:$B$6000,MATCH($C412,Работы!$A$2:$A$6000,0)),"— нет такого кода —")))</f>
        <v/>
      </c>
      <c r="E412" t="str">
        <f>IF($C412="","",IF(AND(LEFT($F412,3)="ДОК",$H412&lt;&gt;""),IFERROR(INDEX(Документация!$D$2:$D$57,MATCH($H412,Документация!$F$2:$F$57,0)),""),IFERROR(INDEX(Работы!$C$2:$C$6000,MATCH($C412,Работы!$A$2:$A$6000,0)),"")))</f>
        <v/>
      </c>
      <c r="F412" t="str">
        <f>IF($C412="","",IFERROR(INDEX(Работы!$G$2:$G$6000,MATCH($C412,Работы!$A$2:$A$6000,0))&amp;"",""))</f>
        <v/>
      </c>
      <c r="G412" s="4"/>
      <c r="H412" s="4"/>
      <c r="I412" s="5" t="str">
        <f>IF((LEFT($F412,3)="ДОК"),"",IF($H412="","",IFERROR(INDEX(Материалы!$B$2:$B$9000,MATCH($H412,Материалы!$M$2:$M$9000,0)),"")))</f>
        <v/>
      </c>
      <c r="J412" s="6">
        <f>IF(AND(LEFT($F412,3)="ДОК",$H412&lt;&gt;""),IFERROR(INDEX(Документация!$E$2:$E$57,MATCH($H412,Документация!$F$2:$F$57,0)),0),IFERROR(INDEX(Работы!$H$2:$H$6000,MATCH($C412,Работы!$A$2:$A$6000,0)),0))*(1-MEDIAN(0,N(ДисконтТендер),1))</f>
        <v>0</v>
      </c>
      <c r="K412" s="6">
        <f>IF(OR((LEFT($F412,3)="ДОК"),$H412=""),0,IFERROR(INDEX(Материалы!$H$2:$H$9000,MATCH($H412,Материалы!$M$2:$M$9000,0))*IF(INDEX(Материалы!$I$2:$I$9000,MATCH($H412,Материалы!$M$2:$M$9000,0))="USD",КурсUSD,IF(INDEX(Материалы!$I$2:$I$9000,MATCH($H412,Материалы!$M$2:$M$9000,0))="EUR",КурсEUR,1))*(1+IFERROR(INDEX(Работы!$I$2:$I$6000,MATCH($C412,Работы!$A$2:$A$6000,0))/100,0))*(1-MEDIAN(0,N(ДисконтТендер),1)),0))</f>
        <v>0</v>
      </c>
      <c r="L412" s="6">
        <f t="shared" si="37"/>
        <v>0</v>
      </c>
      <c r="M412" s="6">
        <f t="shared" si="38"/>
        <v>0</v>
      </c>
      <c r="N412" s="6">
        <f t="shared" si="39"/>
        <v>0</v>
      </c>
      <c r="O412" t="str">
        <f>IF($N412&gt;0,MAX($O$1:$O411)+1,"")</f>
        <v/>
      </c>
      <c r="P412" t="str">
        <f>IF($C412="","",IFERROR(INDEX(Работы!$D$2:$D$6000,MATCH($C412,Работы!$A$2:$A$6000,0)),""))</f>
        <v/>
      </c>
      <c r="Q412" t="str">
        <f t="shared" si="40"/>
        <v/>
      </c>
      <c r="R412" t="str">
        <f t="shared" si="41"/>
        <v/>
      </c>
      <c r="S412" t="str">
        <f>IF($P412="","",$P412&amp;" · "&amp;IFERROR(INDEX(Работы!$E$2:$E$6000,MATCH($C412,Работы!$A$2:$A$6000,0)),""))</f>
        <v/>
      </c>
    </row>
    <row r="413" spans="1:19" x14ac:dyDescent="0.3">
      <c r="A413" s="4"/>
      <c r="B413" s="4"/>
      <c r="C413" t="str">
        <f t="shared" si="36"/>
        <v/>
      </c>
      <c r="D413" s="5" t="str">
        <f>IF($C413="","",IF(AND(LEFT($F413,3)="ДОК",$H413&lt;&gt;""),IFERROR(INDEX(Документация!$G$2:$G$57,MATCH($H413,Документация!$F$2:$F$57,0)),"— вариант не найден —"),IFERROR(INDEX(Работы!$B$2:$B$6000,MATCH($C413,Работы!$A$2:$A$6000,0)),"— нет такого кода —")))</f>
        <v/>
      </c>
      <c r="E413" t="str">
        <f>IF($C413="","",IF(AND(LEFT($F413,3)="ДОК",$H413&lt;&gt;""),IFERROR(INDEX(Документация!$D$2:$D$57,MATCH($H413,Документация!$F$2:$F$57,0)),""),IFERROR(INDEX(Работы!$C$2:$C$6000,MATCH($C413,Работы!$A$2:$A$6000,0)),"")))</f>
        <v/>
      </c>
      <c r="F413" t="str">
        <f>IF($C413="","",IFERROR(INDEX(Работы!$G$2:$G$6000,MATCH($C413,Работы!$A$2:$A$6000,0))&amp;"",""))</f>
        <v/>
      </c>
      <c r="G413" s="4"/>
      <c r="H413" s="4"/>
      <c r="I413" s="5" t="str">
        <f>IF((LEFT($F413,3)="ДОК"),"",IF($H413="","",IFERROR(INDEX(Материалы!$B$2:$B$9000,MATCH($H413,Материалы!$M$2:$M$9000,0)),"")))</f>
        <v/>
      </c>
      <c r="J413" s="6">
        <f>IF(AND(LEFT($F413,3)="ДОК",$H413&lt;&gt;""),IFERROR(INDEX(Документация!$E$2:$E$57,MATCH($H413,Документация!$F$2:$F$57,0)),0),IFERROR(INDEX(Работы!$H$2:$H$6000,MATCH($C413,Работы!$A$2:$A$6000,0)),0))*(1-MEDIAN(0,N(ДисконтТендер),1))</f>
        <v>0</v>
      </c>
      <c r="K413" s="6">
        <f>IF(OR((LEFT($F413,3)="ДОК"),$H413=""),0,IFERROR(INDEX(Материалы!$H$2:$H$9000,MATCH($H413,Материалы!$M$2:$M$9000,0))*IF(INDEX(Материалы!$I$2:$I$9000,MATCH($H413,Материалы!$M$2:$M$9000,0))="USD",КурсUSD,IF(INDEX(Материалы!$I$2:$I$9000,MATCH($H413,Материалы!$M$2:$M$9000,0))="EUR",КурсEUR,1))*(1+IFERROR(INDEX(Работы!$I$2:$I$6000,MATCH($C413,Работы!$A$2:$A$6000,0))/100,0))*(1-MEDIAN(0,N(ДисконтТендер),1)),0))</f>
        <v>0</v>
      </c>
      <c r="L413" s="6">
        <f t="shared" si="37"/>
        <v>0</v>
      </c>
      <c r="M413" s="6">
        <f t="shared" si="38"/>
        <v>0</v>
      </c>
      <c r="N413" s="6">
        <f t="shared" si="39"/>
        <v>0</v>
      </c>
      <c r="O413" t="str">
        <f>IF($N413&gt;0,MAX($O$1:$O412)+1,"")</f>
        <v/>
      </c>
      <c r="P413" t="str">
        <f>IF($C413="","",IFERROR(INDEX(Работы!$D$2:$D$6000,MATCH($C413,Работы!$A$2:$A$6000,0)),""))</f>
        <v/>
      </c>
      <c r="Q413" t="str">
        <f t="shared" si="40"/>
        <v/>
      </c>
      <c r="R413" t="str">
        <f t="shared" si="41"/>
        <v/>
      </c>
      <c r="S413" t="str">
        <f>IF($P413="","",$P413&amp;" · "&amp;IFERROR(INDEX(Работы!$E$2:$E$6000,MATCH($C413,Работы!$A$2:$A$6000,0)),""))</f>
        <v/>
      </c>
    </row>
    <row r="414" spans="1:19" x14ac:dyDescent="0.3">
      <c r="A414" s="4"/>
      <c r="B414" s="4"/>
      <c r="C414" t="str">
        <f t="shared" si="36"/>
        <v/>
      </c>
      <c r="D414" s="5" t="str">
        <f>IF($C414="","",IF(AND(LEFT($F414,3)="ДОК",$H414&lt;&gt;""),IFERROR(INDEX(Документация!$G$2:$G$57,MATCH($H414,Документация!$F$2:$F$57,0)),"— вариант не найден —"),IFERROR(INDEX(Работы!$B$2:$B$6000,MATCH($C414,Работы!$A$2:$A$6000,0)),"— нет такого кода —")))</f>
        <v/>
      </c>
      <c r="E414" t="str">
        <f>IF($C414="","",IF(AND(LEFT($F414,3)="ДОК",$H414&lt;&gt;""),IFERROR(INDEX(Документация!$D$2:$D$57,MATCH($H414,Документация!$F$2:$F$57,0)),""),IFERROR(INDEX(Работы!$C$2:$C$6000,MATCH($C414,Работы!$A$2:$A$6000,0)),"")))</f>
        <v/>
      </c>
      <c r="F414" t="str">
        <f>IF($C414="","",IFERROR(INDEX(Работы!$G$2:$G$6000,MATCH($C414,Работы!$A$2:$A$6000,0))&amp;"",""))</f>
        <v/>
      </c>
      <c r="G414" s="4"/>
      <c r="H414" s="4"/>
      <c r="I414" s="5" t="str">
        <f>IF((LEFT($F414,3)="ДОК"),"",IF($H414="","",IFERROR(INDEX(Материалы!$B$2:$B$9000,MATCH($H414,Материалы!$M$2:$M$9000,0)),"")))</f>
        <v/>
      </c>
      <c r="J414" s="6">
        <f>IF(AND(LEFT($F414,3)="ДОК",$H414&lt;&gt;""),IFERROR(INDEX(Документация!$E$2:$E$57,MATCH($H414,Документация!$F$2:$F$57,0)),0),IFERROR(INDEX(Работы!$H$2:$H$6000,MATCH($C414,Работы!$A$2:$A$6000,0)),0))*(1-MEDIAN(0,N(ДисконтТендер),1))</f>
        <v>0</v>
      </c>
      <c r="K414" s="6">
        <f>IF(OR((LEFT($F414,3)="ДОК"),$H414=""),0,IFERROR(INDEX(Материалы!$H$2:$H$9000,MATCH($H414,Материалы!$M$2:$M$9000,0))*IF(INDEX(Материалы!$I$2:$I$9000,MATCH($H414,Материалы!$M$2:$M$9000,0))="USD",КурсUSD,IF(INDEX(Материалы!$I$2:$I$9000,MATCH($H414,Материалы!$M$2:$M$9000,0))="EUR",КурсEUR,1))*(1+IFERROR(INDEX(Работы!$I$2:$I$6000,MATCH($C414,Работы!$A$2:$A$6000,0))/100,0))*(1-MEDIAN(0,N(ДисконтТендер),1)),0))</f>
        <v>0</v>
      </c>
      <c r="L414" s="6">
        <f t="shared" si="37"/>
        <v>0</v>
      </c>
      <c r="M414" s="6">
        <f t="shared" si="38"/>
        <v>0</v>
      </c>
      <c r="N414" s="6">
        <f t="shared" si="39"/>
        <v>0</v>
      </c>
      <c r="O414" t="str">
        <f>IF($N414&gt;0,MAX($O$1:$O413)+1,"")</f>
        <v/>
      </c>
      <c r="P414" t="str">
        <f>IF($C414="","",IFERROR(INDEX(Работы!$D$2:$D$6000,MATCH($C414,Работы!$A$2:$A$6000,0)),""))</f>
        <v/>
      </c>
      <c r="Q414" t="str">
        <f t="shared" si="40"/>
        <v/>
      </c>
      <c r="R414" t="str">
        <f t="shared" si="41"/>
        <v/>
      </c>
      <c r="S414" t="str">
        <f>IF($P414="","",$P414&amp;" · "&amp;IFERROR(INDEX(Работы!$E$2:$E$6000,MATCH($C414,Работы!$A$2:$A$6000,0)),""))</f>
        <v/>
      </c>
    </row>
    <row r="415" spans="1:19" x14ac:dyDescent="0.3">
      <c r="A415" s="4"/>
      <c r="B415" s="4"/>
      <c r="C415" t="str">
        <f t="shared" si="36"/>
        <v/>
      </c>
      <c r="D415" s="5" t="str">
        <f>IF($C415="","",IF(AND(LEFT($F415,3)="ДОК",$H415&lt;&gt;""),IFERROR(INDEX(Документация!$G$2:$G$57,MATCH($H415,Документация!$F$2:$F$57,0)),"— вариант не найден —"),IFERROR(INDEX(Работы!$B$2:$B$6000,MATCH($C415,Работы!$A$2:$A$6000,0)),"— нет такого кода —")))</f>
        <v/>
      </c>
      <c r="E415" t="str">
        <f>IF($C415="","",IF(AND(LEFT($F415,3)="ДОК",$H415&lt;&gt;""),IFERROR(INDEX(Документация!$D$2:$D$57,MATCH($H415,Документация!$F$2:$F$57,0)),""),IFERROR(INDEX(Работы!$C$2:$C$6000,MATCH($C415,Работы!$A$2:$A$6000,0)),"")))</f>
        <v/>
      </c>
      <c r="F415" t="str">
        <f>IF($C415="","",IFERROR(INDEX(Работы!$G$2:$G$6000,MATCH($C415,Работы!$A$2:$A$6000,0))&amp;"",""))</f>
        <v/>
      </c>
      <c r="G415" s="4"/>
      <c r="H415" s="4"/>
      <c r="I415" s="5" t="str">
        <f>IF((LEFT($F415,3)="ДОК"),"",IF($H415="","",IFERROR(INDEX(Материалы!$B$2:$B$9000,MATCH($H415,Материалы!$M$2:$M$9000,0)),"")))</f>
        <v/>
      </c>
      <c r="J415" s="6">
        <f>IF(AND(LEFT($F415,3)="ДОК",$H415&lt;&gt;""),IFERROR(INDEX(Документация!$E$2:$E$57,MATCH($H415,Документация!$F$2:$F$57,0)),0),IFERROR(INDEX(Работы!$H$2:$H$6000,MATCH($C415,Работы!$A$2:$A$6000,0)),0))*(1-MEDIAN(0,N(ДисконтТендер),1))</f>
        <v>0</v>
      </c>
      <c r="K415" s="6">
        <f>IF(OR((LEFT($F415,3)="ДОК"),$H415=""),0,IFERROR(INDEX(Материалы!$H$2:$H$9000,MATCH($H415,Материалы!$M$2:$M$9000,0))*IF(INDEX(Материалы!$I$2:$I$9000,MATCH($H415,Материалы!$M$2:$M$9000,0))="USD",КурсUSD,IF(INDEX(Материалы!$I$2:$I$9000,MATCH($H415,Материалы!$M$2:$M$9000,0))="EUR",КурсEUR,1))*(1+IFERROR(INDEX(Работы!$I$2:$I$6000,MATCH($C415,Работы!$A$2:$A$6000,0))/100,0))*(1-MEDIAN(0,N(ДисконтТендер),1)),0))</f>
        <v>0</v>
      </c>
      <c r="L415" s="6">
        <f t="shared" si="37"/>
        <v>0</v>
      </c>
      <c r="M415" s="6">
        <f t="shared" si="38"/>
        <v>0</v>
      </c>
      <c r="N415" s="6">
        <f t="shared" si="39"/>
        <v>0</v>
      </c>
      <c r="O415" t="str">
        <f>IF($N415&gt;0,MAX($O$1:$O414)+1,"")</f>
        <v/>
      </c>
      <c r="P415" t="str">
        <f>IF($C415="","",IFERROR(INDEX(Работы!$D$2:$D$6000,MATCH($C415,Работы!$A$2:$A$6000,0)),""))</f>
        <v/>
      </c>
      <c r="Q415" t="str">
        <f t="shared" si="40"/>
        <v/>
      </c>
      <c r="R415" t="str">
        <f t="shared" si="41"/>
        <v/>
      </c>
      <c r="S415" t="str">
        <f>IF($P415="","",$P415&amp;" · "&amp;IFERROR(INDEX(Работы!$E$2:$E$6000,MATCH($C415,Работы!$A$2:$A$6000,0)),""))</f>
        <v/>
      </c>
    </row>
    <row r="416" spans="1:19" x14ac:dyDescent="0.3">
      <c r="A416" s="4"/>
      <c r="B416" s="4"/>
      <c r="C416" t="str">
        <f t="shared" si="36"/>
        <v/>
      </c>
      <c r="D416" s="5" t="str">
        <f>IF($C416="","",IF(AND(LEFT($F416,3)="ДОК",$H416&lt;&gt;""),IFERROR(INDEX(Документация!$G$2:$G$57,MATCH($H416,Документация!$F$2:$F$57,0)),"— вариант не найден —"),IFERROR(INDEX(Работы!$B$2:$B$6000,MATCH($C416,Работы!$A$2:$A$6000,0)),"— нет такого кода —")))</f>
        <v/>
      </c>
      <c r="E416" t="str">
        <f>IF($C416="","",IF(AND(LEFT($F416,3)="ДОК",$H416&lt;&gt;""),IFERROR(INDEX(Документация!$D$2:$D$57,MATCH($H416,Документация!$F$2:$F$57,0)),""),IFERROR(INDEX(Работы!$C$2:$C$6000,MATCH($C416,Работы!$A$2:$A$6000,0)),"")))</f>
        <v/>
      </c>
      <c r="F416" t="str">
        <f>IF($C416="","",IFERROR(INDEX(Работы!$G$2:$G$6000,MATCH($C416,Работы!$A$2:$A$6000,0))&amp;"",""))</f>
        <v/>
      </c>
      <c r="G416" s="4"/>
      <c r="H416" s="4"/>
      <c r="I416" s="5" t="str">
        <f>IF((LEFT($F416,3)="ДОК"),"",IF($H416="","",IFERROR(INDEX(Материалы!$B$2:$B$9000,MATCH($H416,Материалы!$M$2:$M$9000,0)),"")))</f>
        <v/>
      </c>
      <c r="J416" s="6">
        <f>IF(AND(LEFT($F416,3)="ДОК",$H416&lt;&gt;""),IFERROR(INDEX(Документация!$E$2:$E$57,MATCH($H416,Документация!$F$2:$F$57,0)),0),IFERROR(INDEX(Работы!$H$2:$H$6000,MATCH($C416,Работы!$A$2:$A$6000,0)),0))*(1-MEDIAN(0,N(ДисконтТендер),1))</f>
        <v>0</v>
      </c>
      <c r="K416" s="6">
        <f>IF(OR((LEFT($F416,3)="ДОК"),$H416=""),0,IFERROR(INDEX(Материалы!$H$2:$H$9000,MATCH($H416,Материалы!$M$2:$M$9000,0))*IF(INDEX(Материалы!$I$2:$I$9000,MATCH($H416,Материалы!$M$2:$M$9000,0))="USD",КурсUSD,IF(INDEX(Материалы!$I$2:$I$9000,MATCH($H416,Материалы!$M$2:$M$9000,0))="EUR",КурсEUR,1))*(1+IFERROR(INDEX(Работы!$I$2:$I$6000,MATCH($C416,Работы!$A$2:$A$6000,0))/100,0))*(1-MEDIAN(0,N(ДисконтТендер),1)),0))</f>
        <v>0</v>
      </c>
      <c r="L416" s="6">
        <f t="shared" si="37"/>
        <v>0</v>
      </c>
      <c r="M416" s="6">
        <f t="shared" si="38"/>
        <v>0</v>
      </c>
      <c r="N416" s="6">
        <f t="shared" si="39"/>
        <v>0</v>
      </c>
      <c r="O416" t="str">
        <f>IF($N416&gt;0,MAX($O$1:$O415)+1,"")</f>
        <v/>
      </c>
      <c r="P416" t="str">
        <f>IF($C416="","",IFERROR(INDEX(Работы!$D$2:$D$6000,MATCH($C416,Работы!$A$2:$A$6000,0)),""))</f>
        <v/>
      </c>
      <c r="Q416" t="str">
        <f t="shared" si="40"/>
        <v/>
      </c>
      <c r="R416" t="str">
        <f t="shared" si="41"/>
        <v/>
      </c>
      <c r="S416" t="str">
        <f>IF($P416="","",$P416&amp;" · "&amp;IFERROR(INDEX(Работы!$E$2:$E$6000,MATCH($C416,Работы!$A$2:$A$6000,0)),""))</f>
        <v/>
      </c>
    </row>
    <row r="417" spans="1:19" x14ac:dyDescent="0.3">
      <c r="A417" s="4"/>
      <c r="B417" s="4"/>
      <c r="C417" t="str">
        <f t="shared" si="36"/>
        <v/>
      </c>
      <c r="D417" s="5" t="str">
        <f>IF($C417="","",IF(AND(LEFT($F417,3)="ДОК",$H417&lt;&gt;""),IFERROR(INDEX(Документация!$G$2:$G$57,MATCH($H417,Документация!$F$2:$F$57,0)),"— вариант не найден —"),IFERROR(INDEX(Работы!$B$2:$B$6000,MATCH($C417,Работы!$A$2:$A$6000,0)),"— нет такого кода —")))</f>
        <v/>
      </c>
      <c r="E417" t="str">
        <f>IF($C417="","",IF(AND(LEFT($F417,3)="ДОК",$H417&lt;&gt;""),IFERROR(INDEX(Документация!$D$2:$D$57,MATCH($H417,Документация!$F$2:$F$57,0)),""),IFERROR(INDEX(Работы!$C$2:$C$6000,MATCH($C417,Работы!$A$2:$A$6000,0)),"")))</f>
        <v/>
      </c>
      <c r="F417" t="str">
        <f>IF($C417="","",IFERROR(INDEX(Работы!$G$2:$G$6000,MATCH($C417,Работы!$A$2:$A$6000,0))&amp;"",""))</f>
        <v/>
      </c>
      <c r="G417" s="4"/>
      <c r="H417" s="4"/>
      <c r="I417" s="5" t="str">
        <f>IF((LEFT($F417,3)="ДОК"),"",IF($H417="","",IFERROR(INDEX(Материалы!$B$2:$B$9000,MATCH($H417,Материалы!$M$2:$M$9000,0)),"")))</f>
        <v/>
      </c>
      <c r="J417" s="6">
        <f>IF(AND(LEFT($F417,3)="ДОК",$H417&lt;&gt;""),IFERROR(INDEX(Документация!$E$2:$E$57,MATCH($H417,Документация!$F$2:$F$57,0)),0),IFERROR(INDEX(Работы!$H$2:$H$6000,MATCH($C417,Работы!$A$2:$A$6000,0)),0))*(1-MEDIAN(0,N(ДисконтТендер),1))</f>
        <v>0</v>
      </c>
      <c r="K417" s="6">
        <f>IF(OR((LEFT($F417,3)="ДОК"),$H417=""),0,IFERROR(INDEX(Материалы!$H$2:$H$9000,MATCH($H417,Материалы!$M$2:$M$9000,0))*IF(INDEX(Материалы!$I$2:$I$9000,MATCH($H417,Материалы!$M$2:$M$9000,0))="USD",КурсUSD,IF(INDEX(Материалы!$I$2:$I$9000,MATCH($H417,Материалы!$M$2:$M$9000,0))="EUR",КурсEUR,1))*(1+IFERROR(INDEX(Работы!$I$2:$I$6000,MATCH($C417,Работы!$A$2:$A$6000,0))/100,0))*(1-MEDIAN(0,N(ДисконтТендер),1)),0))</f>
        <v>0</v>
      </c>
      <c r="L417" s="6">
        <f t="shared" si="37"/>
        <v>0</v>
      </c>
      <c r="M417" s="6">
        <f t="shared" si="38"/>
        <v>0</v>
      </c>
      <c r="N417" s="6">
        <f t="shared" si="39"/>
        <v>0</v>
      </c>
      <c r="O417" t="str">
        <f>IF($N417&gt;0,MAX($O$1:$O416)+1,"")</f>
        <v/>
      </c>
      <c r="P417" t="str">
        <f>IF($C417="","",IFERROR(INDEX(Работы!$D$2:$D$6000,MATCH($C417,Работы!$A$2:$A$6000,0)),""))</f>
        <v/>
      </c>
      <c r="Q417" t="str">
        <f t="shared" si="40"/>
        <v/>
      </c>
      <c r="R417" t="str">
        <f t="shared" si="41"/>
        <v/>
      </c>
      <c r="S417" t="str">
        <f>IF($P417="","",$P417&amp;" · "&amp;IFERROR(INDEX(Работы!$E$2:$E$6000,MATCH($C417,Работы!$A$2:$A$6000,0)),""))</f>
        <v/>
      </c>
    </row>
    <row r="418" spans="1:19" x14ac:dyDescent="0.3">
      <c r="A418" s="4"/>
      <c r="B418" s="4"/>
      <c r="C418" t="str">
        <f t="shared" si="36"/>
        <v/>
      </c>
      <c r="D418" s="5" t="str">
        <f>IF($C418="","",IF(AND(LEFT($F418,3)="ДОК",$H418&lt;&gt;""),IFERROR(INDEX(Документация!$G$2:$G$57,MATCH($H418,Документация!$F$2:$F$57,0)),"— вариант не найден —"),IFERROR(INDEX(Работы!$B$2:$B$6000,MATCH($C418,Работы!$A$2:$A$6000,0)),"— нет такого кода —")))</f>
        <v/>
      </c>
      <c r="E418" t="str">
        <f>IF($C418="","",IF(AND(LEFT($F418,3)="ДОК",$H418&lt;&gt;""),IFERROR(INDEX(Документация!$D$2:$D$57,MATCH($H418,Документация!$F$2:$F$57,0)),""),IFERROR(INDEX(Работы!$C$2:$C$6000,MATCH($C418,Работы!$A$2:$A$6000,0)),"")))</f>
        <v/>
      </c>
      <c r="F418" t="str">
        <f>IF($C418="","",IFERROR(INDEX(Работы!$G$2:$G$6000,MATCH($C418,Работы!$A$2:$A$6000,0))&amp;"",""))</f>
        <v/>
      </c>
      <c r="G418" s="4"/>
      <c r="H418" s="4"/>
      <c r="I418" s="5" t="str">
        <f>IF((LEFT($F418,3)="ДОК"),"",IF($H418="","",IFERROR(INDEX(Материалы!$B$2:$B$9000,MATCH($H418,Материалы!$M$2:$M$9000,0)),"")))</f>
        <v/>
      </c>
      <c r="J418" s="6">
        <f>IF(AND(LEFT($F418,3)="ДОК",$H418&lt;&gt;""),IFERROR(INDEX(Документация!$E$2:$E$57,MATCH($H418,Документация!$F$2:$F$57,0)),0),IFERROR(INDEX(Работы!$H$2:$H$6000,MATCH($C418,Работы!$A$2:$A$6000,0)),0))*(1-MEDIAN(0,N(ДисконтТендер),1))</f>
        <v>0</v>
      </c>
      <c r="K418" s="6">
        <f>IF(OR((LEFT($F418,3)="ДОК"),$H418=""),0,IFERROR(INDEX(Материалы!$H$2:$H$9000,MATCH($H418,Материалы!$M$2:$M$9000,0))*IF(INDEX(Материалы!$I$2:$I$9000,MATCH($H418,Материалы!$M$2:$M$9000,0))="USD",КурсUSD,IF(INDEX(Материалы!$I$2:$I$9000,MATCH($H418,Материалы!$M$2:$M$9000,0))="EUR",КурсEUR,1))*(1+IFERROR(INDEX(Работы!$I$2:$I$6000,MATCH($C418,Работы!$A$2:$A$6000,0))/100,0))*(1-MEDIAN(0,N(ДисконтТендер),1)),0))</f>
        <v>0</v>
      </c>
      <c r="L418" s="6">
        <f t="shared" si="37"/>
        <v>0</v>
      </c>
      <c r="M418" s="6">
        <f t="shared" si="38"/>
        <v>0</v>
      </c>
      <c r="N418" s="6">
        <f t="shared" si="39"/>
        <v>0</v>
      </c>
      <c r="O418" t="str">
        <f>IF($N418&gt;0,MAX($O$1:$O417)+1,"")</f>
        <v/>
      </c>
      <c r="P418" t="str">
        <f>IF($C418="","",IFERROR(INDEX(Работы!$D$2:$D$6000,MATCH($C418,Работы!$A$2:$A$6000,0)),""))</f>
        <v/>
      </c>
      <c r="Q418" t="str">
        <f t="shared" si="40"/>
        <v/>
      </c>
      <c r="R418" t="str">
        <f t="shared" si="41"/>
        <v/>
      </c>
      <c r="S418" t="str">
        <f>IF($P418="","",$P418&amp;" · "&amp;IFERROR(INDEX(Работы!$E$2:$E$6000,MATCH($C418,Работы!$A$2:$A$6000,0)),""))</f>
        <v/>
      </c>
    </row>
    <row r="419" spans="1:19" x14ac:dyDescent="0.3">
      <c r="A419" s="4"/>
      <c r="B419" s="4"/>
      <c r="C419" t="str">
        <f t="shared" si="36"/>
        <v/>
      </c>
      <c r="D419" s="5" t="str">
        <f>IF($C419="","",IF(AND(LEFT($F419,3)="ДОК",$H419&lt;&gt;""),IFERROR(INDEX(Документация!$G$2:$G$57,MATCH($H419,Документация!$F$2:$F$57,0)),"— вариант не найден —"),IFERROR(INDEX(Работы!$B$2:$B$6000,MATCH($C419,Работы!$A$2:$A$6000,0)),"— нет такого кода —")))</f>
        <v/>
      </c>
      <c r="E419" t="str">
        <f>IF($C419="","",IF(AND(LEFT($F419,3)="ДОК",$H419&lt;&gt;""),IFERROR(INDEX(Документация!$D$2:$D$57,MATCH($H419,Документация!$F$2:$F$57,0)),""),IFERROR(INDEX(Работы!$C$2:$C$6000,MATCH($C419,Работы!$A$2:$A$6000,0)),"")))</f>
        <v/>
      </c>
      <c r="F419" t="str">
        <f>IF($C419="","",IFERROR(INDEX(Работы!$G$2:$G$6000,MATCH($C419,Работы!$A$2:$A$6000,0))&amp;"",""))</f>
        <v/>
      </c>
      <c r="G419" s="4"/>
      <c r="H419" s="4"/>
      <c r="I419" s="5" t="str">
        <f>IF((LEFT($F419,3)="ДОК"),"",IF($H419="","",IFERROR(INDEX(Материалы!$B$2:$B$9000,MATCH($H419,Материалы!$M$2:$M$9000,0)),"")))</f>
        <v/>
      </c>
      <c r="J419" s="6">
        <f>IF(AND(LEFT($F419,3)="ДОК",$H419&lt;&gt;""),IFERROR(INDEX(Документация!$E$2:$E$57,MATCH($H419,Документация!$F$2:$F$57,0)),0),IFERROR(INDEX(Работы!$H$2:$H$6000,MATCH($C419,Работы!$A$2:$A$6000,0)),0))*(1-MEDIAN(0,N(ДисконтТендер),1))</f>
        <v>0</v>
      </c>
      <c r="K419" s="6">
        <f>IF(OR((LEFT($F419,3)="ДОК"),$H419=""),0,IFERROR(INDEX(Материалы!$H$2:$H$9000,MATCH($H419,Материалы!$M$2:$M$9000,0))*IF(INDEX(Материалы!$I$2:$I$9000,MATCH($H419,Материалы!$M$2:$M$9000,0))="USD",КурсUSD,IF(INDEX(Материалы!$I$2:$I$9000,MATCH($H419,Материалы!$M$2:$M$9000,0))="EUR",КурсEUR,1))*(1+IFERROR(INDEX(Работы!$I$2:$I$6000,MATCH($C419,Работы!$A$2:$A$6000,0))/100,0))*(1-MEDIAN(0,N(ДисконтТендер),1)),0))</f>
        <v>0</v>
      </c>
      <c r="L419" s="6">
        <f t="shared" si="37"/>
        <v>0</v>
      </c>
      <c r="M419" s="6">
        <f t="shared" si="38"/>
        <v>0</v>
      </c>
      <c r="N419" s="6">
        <f t="shared" si="39"/>
        <v>0</v>
      </c>
      <c r="O419" t="str">
        <f>IF($N419&gt;0,MAX($O$1:$O418)+1,"")</f>
        <v/>
      </c>
      <c r="P419" t="str">
        <f>IF($C419="","",IFERROR(INDEX(Работы!$D$2:$D$6000,MATCH($C419,Работы!$A$2:$A$6000,0)),""))</f>
        <v/>
      </c>
      <c r="Q419" t="str">
        <f t="shared" si="40"/>
        <v/>
      </c>
      <c r="R419" t="str">
        <f t="shared" si="41"/>
        <v/>
      </c>
      <c r="S419" t="str">
        <f>IF($P419="","",$P419&amp;" · "&amp;IFERROR(INDEX(Работы!$E$2:$E$6000,MATCH($C419,Работы!$A$2:$A$6000,0)),""))</f>
        <v/>
      </c>
    </row>
    <row r="420" spans="1:19" x14ac:dyDescent="0.3">
      <c r="A420" s="4"/>
      <c r="B420" s="4"/>
      <c r="C420" t="str">
        <f t="shared" si="36"/>
        <v/>
      </c>
      <c r="D420" s="5" t="str">
        <f>IF($C420="","",IF(AND(LEFT($F420,3)="ДОК",$H420&lt;&gt;""),IFERROR(INDEX(Документация!$G$2:$G$57,MATCH($H420,Документация!$F$2:$F$57,0)),"— вариант не найден —"),IFERROR(INDEX(Работы!$B$2:$B$6000,MATCH($C420,Работы!$A$2:$A$6000,0)),"— нет такого кода —")))</f>
        <v/>
      </c>
      <c r="E420" t="str">
        <f>IF($C420="","",IF(AND(LEFT($F420,3)="ДОК",$H420&lt;&gt;""),IFERROR(INDEX(Документация!$D$2:$D$57,MATCH($H420,Документация!$F$2:$F$57,0)),""),IFERROR(INDEX(Работы!$C$2:$C$6000,MATCH($C420,Работы!$A$2:$A$6000,0)),"")))</f>
        <v/>
      </c>
      <c r="F420" t="str">
        <f>IF($C420="","",IFERROR(INDEX(Работы!$G$2:$G$6000,MATCH($C420,Работы!$A$2:$A$6000,0))&amp;"",""))</f>
        <v/>
      </c>
      <c r="G420" s="4"/>
      <c r="H420" s="4"/>
      <c r="I420" s="5" t="str">
        <f>IF((LEFT($F420,3)="ДОК"),"",IF($H420="","",IFERROR(INDEX(Материалы!$B$2:$B$9000,MATCH($H420,Материалы!$M$2:$M$9000,0)),"")))</f>
        <v/>
      </c>
      <c r="J420" s="6">
        <f>IF(AND(LEFT($F420,3)="ДОК",$H420&lt;&gt;""),IFERROR(INDEX(Документация!$E$2:$E$57,MATCH($H420,Документация!$F$2:$F$57,0)),0),IFERROR(INDEX(Работы!$H$2:$H$6000,MATCH($C420,Работы!$A$2:$A$6000,0)),0))*(1-MEDIAN(0,N(ДисконтТендер),1))</f>
        <v>0</v>
      </c>
      <c r="K420" s="6">
        <f>IF(OR((LEFT($F420,3)="ДОК"),$H420=""),0,IFERROR(INDEX(Материалы!$H$2:$H$9000,MATCH($H420,Материалы!$M$2:$M$9000,0))*IF(INDEX(Материалы!$I$2:$I$9000,MATCH($H420,Материалы!$M$2:$M$9000,0))="USD",КурсUSD,IF(INDEX(Материалы!$I$2:$I$9000,MATCH($H420,Материалы!$M$2:$M$9000,0))="EUR",КурсEUR,1))*(1+IFERROR(INDEX(Работы!$I$2:$I$6000,MATCH($C420,Работы!$A$2:$A$6000,0))/100,0))*(1-MEDIAN(0,N(ДисконтТендер),1)),0))</f>
        <v>0</v>
      </c>
      <c r="L420" s="6">
        <f t="shared" si="37"/>
        <v>0</v>
      </c>
      <c r="M420" s="6">
        <f t="shared" si="38"/>
        <v>0</v>
      </c>
      <c r="N420" s="6">
        <f t="shared" si="39"/>
        <v>0</v>
      </c>
      <c r="O420" t="str">
        <f>IF($N420&gt;0,MAX($O$1:$O419)+1,"")</f>
        <v/>
      </c>
      <c r="P420" t="str">
        <f>IF($C420="","",IFERROR(INDEX(Работы!$D$2:$D$6000,MATCH($C420,Работы!$A$2:$A$6000,0)),""))</f>
        <v/>
      </c>
      <c r="Q420" t="str">
        <f t="shared" si="40"/>
        <v/>
      </c>
      <c r="R420" t="str">
        <f t="shared" si="41"/>
        <v/>
      </c>
      <c r="S420" t="str">
        <f>IF($P420="","",$P420&amp;" · "&amp;IFERROR(INDEX(Работы!$E$2:$E$6000,MATCH($C420,Работы!$A$2:$A$6000,0)),""))</f>
        <v/>
      </c>
    </row>
    <row r="421" spans="1:19" x14ac:dyDescent="0.3">
      <c r="A421" s="4"/>
      <c r="B421" s="4"/>
      <c r="C421" t="str">
        <f t="shared" si="36"/>
        <v/>
      </c>
      <c r="D421" s="5" t="str">
        <f>IF($C421="","",IF(AND(LEFT($F421,3)="ДОК",$H421&lt;&gt;""),IFERROR(INDEX(Документация!$G$2:$G$57,MATCH($H421,Документация!$F$2:$F$57,0)),"— вариант не найден —"),IFERROR(INDEX(Работы!$B$2:$B$6000,MATCH($C421,Работы!$A$2:$A$6000,0)),"— нет такого кода —")))</f>
        <v/>
      </c>
      <c r="E421" t="str">
        <f>IF($C421="","",IF(AND(LEFT($F421,3)="ДОК",$H421&lt;&gt;""),IFERROR(INDEX(Документация!$D$2:$D$57,MATCH($H421,Документация!$F$2:$F$57,0)),""),IFERROR(INDEX(Работы!$C$2:$C$6000,MATCH($C421,Работы!$A$2:$A$6000,0)),"")))</f>
        <v/>
      </c>
      <c r="F421" t="str">
        <f>IF($C421="","",IFERROR(INDEX(Работы!$G$2:$G$6000,MATCH($C421,Работы!$A$2:$A$6000,0))&amp;"",""))</f>
        <v/>
      </c>
      <c r="G421" s="4"/>
      <c r="H421" s="4"/>
      <c r="I421" s="5" t="str">
        <f>IF((LEFT($F421,3)="ДОК"),"",IF($H421="","",IFERROR(INDEX(Материалы!$B$2:$B$9000,MATCH($H421,Материалы!$M$2:$M$9000,0)),"")))</f>
        <v/>
      </c>
      <c r="J421" s="6">
        <f>IF(AND(LEFT($F421,3)="ДОК",$H421&lt;&gt;""),IFERROR(INDEX(Документация!$E$2:$E$57,MATCH($H421,Документация!$F$2:$F$57,0)),0),IFERROR(INDEX(Работы!$H$2:$H$6000,MATCH($C421,Работы!$A$2:$A$6000,0)),0))*(1-MEDIAN(0,N(ДисконтТендер),1))</f>
        <v>0</v>
      </c>
      <c r="K421" s="6">
        <f>IF(OR((LEFT($F421,3)="ДОК"),$H421=""),0,IFERROR(INDEX(Материалы!$H$2:$H$9000,MATCH($H421,Материалы!$M$2:$M$9000,0))*IF(INDEX(Материалы!$I$2:$I$9000,MATCH($H421,Материалы!$M$2:$M$9000,0))="USD",КурсUSD,IF(INDEX(Материалы!$I$2:$I$9000,MATCH($H421,Материалы!$M$2:$M$9000,0))="EUR",КурсEUR,1))*(1+IFERROR(INDEX(Работы!$I$2:$I$6000,MATCH($C421,Работы!$A$2:$A$6000,0))/100,0))*(1-MEDIAN(0,N(ДисконтТендер),1)),0))</f>
        <v>0</v>
      </c>
      <c r="L421" s="6">
        <f t="shared" si="37"/>
        <v>0</v>
      </c>
      <c r="M421" s="6">
        <f t="shared" si="38"/>
        <v>0</v>
      </c>
      <c r="N421" s="6">
        <f t="shared" si="39"/>
        <v>0</v>
      </c>
      <c r="O421" t="str">
        <f>IF($N421&gt;0,MAX($O$1:$O420)+1,"")</f>
        <v/>
      </c>
      <c r="P421" t="str">
        <f>IF($C421="","",IFERROR(INDEX(Работы!$D$2:$D$6000,MATCH($C421,Работы!$A$2:$A$6000,0)),""))</f>
        <v/>
      </c>
      <c r="Q421" t="str">
        <f t="shared" si="40"/>
        <v/>
      </c>
      <c r="R421" t="str">
        <f t="shared" si="41"/>
        <v/>
      </c>
      <c r="S421" t="str">
        <f>IF($P421="","",$P421&amp;" · "&amp;IFERROR(INDEX(Работы!$E$2:$E$6000,MATCH($C421,Работы!$A$2:$A$6000,0)),""))</f>
        <v/>
      </c>
    </row>
    <row r="422" spans="1:19" x14ac:dyDescent="0.3">
      <c r="A422" s="4"/>
      <c r="B422" s="4"/>
      <c r="C422" t="str">
        <f t="shared" si="36"/>
        <v/>
      </c>
      <c r="D422" s="5" t="str">
        <f>IF($C422="","",IF(AND(LEFT($F422,3)="ДОК",$H422&lt;&gt;""),IFERROR(INDEX(Документация!$G$2:$G$57,MATCH($H422,Документация!$F$2:$F$57,0)),"— вариант не найден —"),IFERROR(INDEX(Работы!$B$2:$B$6000,MATCH($C422,Работы!$A$2:$A$6000,0)),"— нет такого кода —")))</f>
        <v/>
      </c>
      <c r="E422" t="str">
        <f>IF($C422="","",IF(AND(LEFT($F422,3)="ДОК",$H422&lt;&gt;""),IFERROR(INDEX(Документация!$D$2:$D$57,MATCH($H422,Документация!$F$2:$F$57,0)),""),IFERROR(INDEX(Работы!$C$2:$C$6000,MATCH($C422,Работы!$A$2:$A$6000,0)),"")))</f>
        <v/>
      </c>
      <c r="F422" t="str">
        <f>IF($C422="","",IFERROR(INDEX(Работы!$G$2:$G$6000,MATCH($C422,Работы!$A$2:$A$6000,0))&amp;"",""))</f>
        <v/>
      </c>
      <c r="G422" s="4"/>
      <c r="H422" s="4"/>
      <c r="I422" s="5" t="str">
        <f>IF((LEFT($F422,3)="ДОК"),"",IF($H422="","",IFERROR(INDEX(Материалы!$B$2:$B$9000,MATCH($H422,Материалы!$M$2:$M$9000,0)),"")))</f>
        <v/>
      </c>
      <c r="J422" s="6">
        <f>IF(AND(LEFT($F422,3)="ДОК",$H422&lt;&gt;""),IFERROR(INDEX(Документация!$E$2:$E$57,MATCH($H422,Документация!$F$2:$F$57,0)),0),IFERROR(INDEX(Работы!$H$2:$H$6000,MATCH($C422,Работы!$A$2:$A$6000,0)),0))*(1-MEDIAN(0,N(ДисконтТендер),1))</f>
        <v>0</v>
      </c>
      <c r="K422" s="6">
        <f>IF(OR((LEFT($F422,3)="ДОК"),$H422=""),0,IFERROR(INDEX(Материалы!$H$2:$H$9000,MATCH($H422,Материалы!$M$2:$M$9000,0))*IF(INDEX(Материалы!$I$2:$I$9000,MATCH($H422,Материалы!$M$2:$M$9000,0))="USD",КурсUSD,IF(INDEX(Материалы!$I$2:$I$9000,MATCH($H422,Материалы!$M$2:$M$9000,0))="EUR",КурсEUR,1))*(1+IFERROR(INDEX(Работы!$I$2:$I$6000,MATCH($C422,Работы!$A$2:$A$6000,0))/100,0))*(1-MEDIAN(0,N(ДисконтТендер),1)),0))</f>
        <v>0</v>
      </c>
      <c r="L422" s="6">
        <f t="shared" si="37"/>
        <v>0</v>
      </c>
      <c r="M422" s="6">
        <f t="shared" si="38"/>
        <v>0</v>
      </c>
      <c r="N422" s="6">
        <f t="shared" si="39"/>
        <v>0</v>
      </c>
      <c r="O422" t="str">
        <f>IF($N422&gt;0,MAX($O$1:$O421)+1,"")</f>
        <v/>
      </c>
      <c r="P422" t="str">
        <f>IF($C422="","",IFERROR(INDEX(Работы!$D$2:$D$6000,MATCH($C422,Работы!$A$2:$A$6000,0)),""))</f>
        <v/>
      </c>
      <c r="Q422" t="str">
        <f t="shared" si="40"/>
        <v/>
      </c>
      <c r="R422" t="str">
        <f t="shared" si="41"/>
        <v/>
      </c>
      <c r="S422" t="str">
        <f>IF($P422="","",$P422&amp;" · "&amp;IFERROR(INDEX(Работы!$E$2:$E$6000,MATCH($C422,Работы!$A$2:$A$6000,0)),""))</f>
        <v/>
      </c>
    </row>
    <row r="423" spans="1:19" x14ac:dyDescent="0.3">
      <c r="A423" s="4"/>
      <c r="B423" s="4"/>
      <c r="C423" t="str">
        <f t="shared" si="36"/>
        <v/>
      </c>
      <c r="D423" s="5" t="str">
        <f>IF($C423="","",IF(AND(LEFT($F423,3)="ДОК",$H423&lt;&gt;""),IFERROR(INDEX(Документация!$G$2:$G$57,MATCH($H423,Документация!$F$2:$F$57,0)),"— вариант не найден —"),IFERROR(INDEX(Работы!$B$2:$B$6000,MATCH($C423,Работы!$A$2:$A$6000,0)),"— нет такого кода —")))</f>
        <v/>
      </c>
      <c r="E423" t="str">
        <f>IF($C423="","",IF(AND(LEFT($F423,3)="ДОК",$H423&lt;&gt;""),IFERROR(INDEX(Документация!$D$2:$D$57,MATCH($H423,Документация!$F$2:$F$57,0)),""),IFERROR(INDEX(Работы!$C$2:$C$6000,MATCH($C423,Работы!$A$2:$A$6000,0)),"")))</f>
        <v/>
      </c>
      <c r="F423" t="str">
        <f>IF($C423="","",IFERROR(INDEX(Работы!$G$2:$G$6000,MATCH($C423,Работы!$A$2:$A$6000,0))&amp;"",""))</f>
        <v/>
      </c>
      <c r="G423" s="4"/>
      <c r="H423" s="4"/>
      <c r="I423" s="5" t="str">
        <f>IF((LEFT($F423,3)="ДОК"),"",IF($H423="","",IFERROR(INDEX(Материалы!$B$2:$B$9000,MATCH($H423,Материалы!$M$2:$M$9000,0)),"")))</f>
        <v/>
      </c>
      <c r="J423" s="6">
        <f>IF(AND(LEFT($F423,3)="ДОК",$H423&lt;&gt;""),IFERROR(INDEX(Документация!$E$2:$E$57,MATCH($H423,Документация!$F$2:$F$57,0)),0),IFERROR(INDEX(Работы!$H$2:$H$6000,MATCH($C423,Работы!$A$2:$A$6000,0)),0))*(1-MEDIAN(0,N(ДисконтТендер),1))</f>
        <v>0</v>
      </c>
      <c r="K423" s="6">
        <f>IF(OR((LEFT($F423,3)="ДОК"),$H423=""),0,IFERROR(INDEX(Материалы!$H$2:$H$9000,MATCH($H423,Материалы!$M$2:$M$9000,0))*IF(INDEX(Материалы!$I$2:$I$9000,MATCH($H423,Материалы!$M$2:$M$9000,0))="USD",КурсUSD,IF(INDEX(Материалы!$I$2:$I$9000,MATCH($H423,Материалы!$M$2:$M$9000,0))="EUR",КурсEUR,1))*(1+IFERROR(INDEX(Работы!$I$2:$I$6000,MATCH($C423,Работы!$A$2:$A$6000,0))/100,0))*(1-MEDIAN(0,N(ДисконтТендер),1)),0))</f>
        <v>0</v>
      </c>
      <c r="L423" s="6">
        <f t="shared" si="37"/>
        <v>0</v>
      </c>
      <c r="M423" s="6">
        <f t="shared" si="38"/>
        <v>0</v>
      </c>
      <c r="N423" s="6">
        <f t="shared" si="39"/>
        <v>0</v>
      </c>
      <c r="O423" t="str">
        <f>IF($N423&gt;0,MAX($O$1:$O422)+1,"")</f>
        <v/>
      </c>
      <c r="P423" t="str">
        <f>IF($C423="","",IFERROR(INDEX(Работы!$D$2:$D$6000,MATCH($C423,Работы!$A$2:$A$6000,0)),""))</f>
        <v/>
      </c>
      <c r="Q423" t="str">
        <f t="shared" si="40"/>
        <v/>
      </c>
      <c r="R423" t="str">
        <f t="shared" si="41"/>
        <v/>
      </c>
      <c r="S423" t="str">
        <f>IF($P423="","",$P423&amp;" · "&amp;IFERROR(INDEX(Работы!$E$2:$E$6000,MATCH($C423,Работы!$A$2:$A$6000,0)),""))</f>
        <v/>
      </c>
    </row>
    <row r="424" spans="1:19" x14ac:dyDescent="0.3">
      <c r="A424" s="4"/>
      <c r="B424" s="4"/>
      <c r="C424" t="str">
        <f t="shared" si="36"/>
        <v/>
      </c>
      <c r="D424" s="5" t="str">
        <f>IF($C424="","",IF(AND(LEFT($F424,3)="ДОК",$H424&lt;&gt;""),IFERROR(INDEX(Документация!$G$2:$G$57,MATCH($H424,Документация!$F$2:$F$57,0)),"— вариант не найден —"),IFERROR(INDEX(Работы!$B$2:$B$6000,MATCH($C424,Работы!$A$2:$A$6000,0)),"— нет такого кода —")))</f>
        <v/>
      </c>
      <c r="E424" t="str">
        <f>IF($C424="","",IF(AND(LEFT($F424,3)="ДОК",$H424&lt;&gt;""),IFERROR(INDEX(Документация!$D$2:$D$57,MATCH($H424,Документация!$F$2:$F$57,0)),""),IFERROR(INDEX(Работы!$C$2:$C$6000,MATCH($C424,Работы!$A$2:$A$6000,0)),"")))</f>
        <v/>
      </c>
      <c r="F424" t="str">
        <f>IF($C424="","",IFERROR(INDEX(Работы!$G$2:$G$6000,MATCH($C424,Работы!$A$2:$A$6000,0))&amp;"",""))</f>
        <v/>
      </c>
      <c r="G424" s="4"/>
      <c r="H424" s="4"/>
      <c r="I424" s="5" t="str">
        <f>IF((LEFT($F424,3)="ДОК"),"",IF($H424="","",IFERROR(INDEX(Материалы!$B$2:$B$9000,MATCH($H424,Материалы!$M$2:$M$9000,0)),"")))</f>
        <v/>
      </c>
      <c r="J424" s="6">
        <f>IF(AND(LEFT($F424,3)="ДОК",$H424&lt;&gt;""),IFERROR(INDEX(Документация!$E$2:$E$57,MATCH($H424,Документация!$F$2:$F$57,0)),0),IFERROR(INDEX(Работы!$H$2:$H$6000,MATCH($C424,Работы!$A$2:$A$6000,0)),0))*(1-MEDIAN(0,N(ДисконтТендер),1))</f>
        <v>0</v>
      </c>
      <c r="K424" s="6">
        <f>IF(OR((LEFT($F424,3)="ДОК"),$H424=""),0,IFERROR(INDEX(Материалы!$H$2:$H$9000,MATCH($H424,Материалы!$M$2:$M$9000,0))*IF(INDEX(Материалы!$I$2:$I$9000,MATCH($H424,Материалы!$M$2:$M$9000,0))="USD",КурсUSD,IF(INDEX(Материалы!$I$2:$I$9000,MATCH($H424,Материалы!$M$2:$M$9000,0))="EUR",КурсEUR,1))*(1+IFERROR(INDEX(Работы!$I$2:$I$6000,MATCH($C424,Работы!$A$2:$A$6000,0))/100,0))*(1-MEDIAN(0,N(ДисконтТендер),1)),0))</f>
        <v>0</v>
      </c>
      <c r="L424" s="6">
        <f t="shared" si="37"/>
        <v>0</v>
      </c>
      <c r="M424" s="6">
        <f t="shared" si="38"/>
        <v>0</v>
      </c>
      <c r="N424" s="6">
        <f t="shared" si="39"/>
        <v>0</v>
      </c>
      <c r="O424" t="str">
        <f>IF($N424&gt;0,MAX($O$1:$O423)+1,"")</f>
        <v/>
      </c>
      <c r="P424" t="str">
        <f>IF($C424="","",IFERROR(INDEX(Работы!$D$2:$D$6000,MATCH($C424,Работы!$A$2:$A$6000,0)),""))</f>
        <v/>
      </c>
      <c r="Q424" t="str">
        <f t="shared" si="40"/>
        <v/>
      </c>
      <c r="R424" t="str">
        <f t="shared" si="41"/>
        <v/>
      </c>
      <c r="S424" t="str">
        <f>IF($P424="","",$P424&amp;" · "&amp;IFERROR(INDEX(Работы!$E$2:$E$6000,MATCH($C424,Работы!$A$2:$A$6000,0)),""))</f>
        <v/>
      </c>
    </row>
    <row r="425" spans="1:19" x14ac:dyDescent="0.3">
      <c r="A425" s="4"/>
      <c r="B425" s="4"/>
      <c r="C425" t="str">
        <f t="shared" si="36"/>
        <v/>
      </c>
      <c r="D425" s="5" t="str">
        <f>IF($C425="","",IF(AND(LEFT($F425,3)="ДОК",$H425&lt;&gt;""),IFERROR(INDEX(Документация!$G$2:$G$57,MATCH($H425,Документация!$F$2:$F$57,0)),"— вариант не найден —"),IFERROR(INDEX(Работы!$B$2:$B$6000,MATCH($C425,Работы!$A$2:$A$6000,0)),"— нет такого кода —")))</f>
        <v/>
      </c>
      <c r="E425" t="str">
        <f>IF($C425="","",IF(AND(LEFT($F425,3)="ДОК",$H425&lt;&gt;""),IFERROR(INDEX(Документация!$D$2:$D$57,MATCH($H425,Документация!$F$2:$F$57,0)),""),IFERROR(INDEX(Работы!$C$2:$C$6000,MATCH($C425,Работы!$A$2:$A$6000,0)),"")))</f>
        <v/>
      </c>
      <c r="F425" t="str">
        <f>IF($C425="","",IFERROR(INDEX(Работы!$G$2:$G$6000,MATCH($C425,Работы!$A$2:$A$6000,0))&amp;"",""))</f>
        <v/>
      </c>
      <c r="G425" s="4"/>
      <c r="H425" s="4"/>
      <c r="I425" s="5" t="str">
        <f>IF((LEFT($F425,3)="ДОК"),"",IF($H425="","",IFERROR(INDEX(Материалы!$B$2:$B$9000,MATCH($H425,Материалы!$M$2:$M$9000,0)),"")))</f>
        <v/>
      </c>
      <c r="J425" s="6">
        <f>IF(AND(LEFT($F425,3)="ДОК",$H425&lt;&gt;""),IFERROR(INDEX(Документация!$E$2:$E$57,MATCH($H425,Документация!$F$2:$F$57,0)),0),IFERROR(INDEX(Работы!$H$2:$H$6000,MATCH($C425,Работы!$A$2:$A$6000,0)),0))*(1-MEDIAN(0,N(ДисконтТендер),1))</f>
        <v>0</v>
      </c>
      <c r="K425" s="6">
        <f>IF(OR((LEFT($F425,3)="ДОК"),$H425=""),0,IFERROR(INDEX(Материалы!$H$2:$H$9000,MATCH($H425,Материалы!$M$2:$M$9000,0))*IF(INDEX(Материалы!$I$2:$I$9000,MATCH($H425,Материалы!$M$2:$M$9000,0))="USD",КурсUSD,IF(INDEX(Материалы!$I$2:$I$9000,MATCH($H425,Материалы!$M$2:$M$9000,0))="EUR",КурсEUR,1))*(1+IFERROR(INDEX(Работы!$I$2:$I$6000,MATCH($C425,Работы!$A$2:$A$6000,0))/100,0))*(1-MEDIAN(0,N(ДисконтТендер),1)),0))</f>
        <v>0</v>
      </c>
      <c r="L425" s="6">
        <f t="shared" si="37"/>
        <v>0</v>
      </c>
      <c r="M425" s="6">
        <f t="shared" si="38"/>
        <v>0</v>
      </c>
      <c r="N425" s="6">
        <f t="shared" si="39"/>
        <v>0</v>
      </c>
      <c r="O425" t="str">
        <f>IF($N425&gt;0,MAX($O$1:$O424)+1,"")</f>
        <v/>
      </c>
      <c r="P425" t="str">
        <f>IF($C425="","",IFERROR(INDEX(Работы!$D$2:$D$6000,MATCH($C425,Работы!$A$2:$A$6000,0)),""))</f>
        <v/>
      </c>
      <c r="Q425" t="str">
        <f t="shared" si="40"/>
        <v/>
      </c>
      <c r="R425" t="str">
        <f t="shared" si="41"/>
        <v/>
      </c>
      <c r="S425" t="str">
        <f>IF($P425="","",$P425&amp;" · "&amp;IFERROR(INDEX(Работы!$E$2:$E$6000,MATCH($C425,Работы!$A$2:$A$6000,0)),""))</f>
        <v/>
      </c>
    </row>
    <row r="426" spans="1:19" x14ac:dyDescent="0.3">
      <c r="A426" s="4"/>
      <c r="B426" s="4"/>
      <c r="C426" t="str">
        <f t="shared" si="36"/>
        <v/>
      </c>
      <c r="D426" s="5" t="str">
        <f>IF($C426="","",IF(AND(LEFT($F426,3)="ДОК",$H426&lt;&gt;""),IFERROR(INDEX(Документация!$G$2:$G$57,MATCH($H426,Документация!$F$2:$F$57,0)),"— вариант не найден —"),IFERROR(INDEX(Работы!$B$2:$B$6000,MATCH($C426,Работы!$A$2:$A$6000,0)),"— нет такого кода —")))</f>
        <v/>
      </c>
      <c r="E426" t="str">
        <f>IF($C426="","",IF(AND(LEFT($F426,3)="ДОК",$H426&lt;&gt;""),IFERROR(INDEX(Документация!$D$2:$D$57,MATCH($H426,Документация!$F$2:$F$57,0)),""),IFERROR(INDEX(Работы!$C$2:$C$6000,MATCH($C426,Работы!$A$2:$A$6000,0)),"")))</f>
        <v/>
      </c>
      <c r="F426" t="str">
        <f>IF($C426="","",IFERROR(INDEX(Работы!$G$2:$G$6000,MATCH($C426,Работы!$A$2:$A$6000,0))&amp;"",""))</f>
        <v/>
      </c>
      <c r="G426" s="4"/>
      <c r="H426" s="4"/>
      <c r="I426" s="5" t="str">
        <f>IF((LEFT($F426,3)="ДОК"),"",IF($H426="","",IFERROR(INDEX(Материалы!$B$2:$B$9000,MATCH($H426,Материалы!$M$2:$M$9000,0)),"")))</f>
        <v/>
      </c>
      <c r="J426" s="6">
        <f>IF(AND(LEFT($F426,3)="ДОК",$H426&lt;&gt;""),IFERROR(INDEX(Документация!$E$2:$E$57,MATCH($H426,Документация!$F$2:$F$57,0)),0),IFERROR(INDEX(Работы!$H$2:$H$6000,MATCH($C426,Работы!$A$2:$A$6000,0)),0))*(1-MEDIAN(0,N(ДисконтТендер),1))</f>
        <v>0</v>
      </c>
      <c r="K426" s="6">
        <f>IF(OR((LEFT($F426,3)="ДОК"),$H426=""),0,IFERROR(INDEX(Материалы!$H$2:$H$9000,MATCH($H426,Материалы!$M$2:$M$9000,0))*IF(INDEX(Материалы!$I$2:$I$9000,MATCH($H426,Материалы!$M$2:$M$9000,0))="USD",КурсUSD,IF(INDEX(Материалы!$I$2:$I$9000,MATCH($H426,Материалы!$M$2:$M$9000,0))="EUR",КурсEUR,1))*(1+IFERROR(INDEX(Работы!$I$2:$I$6000,MATCH($C426,Работы!$A$2:$A$6000,0))/100,0))*(1-MEDIAN(0,N(ДисконтТендер),1)),0))</f>
        <v>0</v>
      </c>
      <c r="L426" s="6">
        <f t="shared" si="37"/>
        <v>0</v>
      </c>
      <c r="M426" s="6">
        <f t="shared" si="38"/>
        <v>0</v>
      </c>
      <c r="N426" s="6">
        <f t="shared" si="39"/>
        <v>0</v>
      </c>
      <c r="O426" t="str">
        <f>IF($N426&gt;0,MAX($O$1:$O425)+1,"")</f>
        <v/>
      </c>
      <c r="P426" t="str">
        <f>IF($C426="","",IFERROR(INDEX(Работы!$D$2:$D$6000,MATCH($C426,Работы!$A$2:$A$6000,0)),""))</f>
        <v/>
      </c>
      <c r="Q426" t="str">
        <f t="shared" si="40"/>
        <v/>
      </c>
      <c r="R426" t="str">
        <f t="shared" si="41"/>
        <v/>
      </c>
      <c r="S426" t="str">
        <f>IF($P426="","",$P426&amp;" · "&amp;IFERROR(INDEX(Работы!$E$2:$E$6000,MATCH($C426,Работы!$A$2:$A$6000,0)),""))</f>
        <v/>
      </c>
    </row>
    <row r="427" spans="1:19" x14ac:dyDescent="0.3">
      <c r="A427" s="4"/>
      <c r="B427" s="4"/>
      <c r="C427" t="str">
        <f t="shared" si="36"/>
        <v/>
      </c>
      <c r="D427" s="5" t="str">
        <f>IF($C427="","",IF(AND(LEFT($F427,3)="ДОК",$H427&lt;&gt;""),IFERROR(INDEX(Документация!$G$2:$G$57,MATCH($H427,Документация!$F$2:$F$57,0)),"— вариант не найден —"),IFERROR(INDEX(Работы!$B$2:$B$6000,MATCH($C427,Работы!$A$2:$A$6000,0)),"— нет такого кода —")))</f>
        <v/>
      </c>
      <c r="E427" t="str">
        <f>IF($C427="","",IF(AND(LEFT($F427,3)="ДОК",$H427&lt;&gt;""),IFERROR(INDEX(Документация!$D$2:$D$57,MATCH($H427,Документация!$F$2:$F$57,0)),""),IFERROR(INDEX(Работы!$C$2:$C$6000,MATCH($C427,Работы!$A$2:$A$6000,0)),"")))</f>
        <v/>
      </c>
      <c r="F427" t="str">
        <f>IF($C427="","",IFERROR(INDEX(Работы!$G$2:$G$6000,MATCH($C427,Работы!$A$2:$A$6000,0))&amp;"",""))</f>
        <v/>
      </c>
      <c r="G427" s="4"/>
      <c r="H427" s="4"/>
      <c r="I427" s="5" t="str">
        <f>IF((LEFT($F427,3)="ДОК"),"",IF($H427="","",IFERROR(INDEX(Материалы!$B$2:$B$9000,MATCH($H427,Материалы!$M$2:$M$9000,0)),"")))</f>
        <v/>
      </c>
      <c r="J427" s="6">
        <f>IF(AND(LEFT($F427,3)="ДОК",$H427&lt;&gt;""),IFERROR(INDEX(Документация!$E$2:$E$57,MATCH($H427,Документация!$F$2:$F$57,0)),0),IFERROR(INDEX(Работы!$H$2:$H$6000,MATCH($C427,Работы!$A$2:$A$6000,0)),0))*(1-MEDIAN(0,N(ДисконтТендер),1))</f>
        <v>0</v>
      </c>
      <c r="K427" s="6">
        <f>IF(OR((LEFT($F427,3)="ДОК"),$H427=""),0,IFERROR(INDEX(Материалы!$H$2:$H$9000,MATCH($H427,Материалы!$M$2:$M$9000,0))*IF(INDEX(Материалы!$I$2:$I$9000,MATCH($H427,Материалы!$M$2:$M$9000,0))="USD",КурсUSD,IF(INDEX(Материалы!$I$2:$I$9000,MATCH($H427,Материалы!$M$2:$M$9000,0))="EUR",КурсEUR,1))*(1+IFERROR(INDEX(Работы!$I$2:$I$6000,MATCH($C427,Работы!$A$2:$A$6000,0))/100,0))*(1-MEDIAN(0,N(ДисконтТендер),1)),0))</f>
        <v>0</v>
      </c>
      <c r="L427" s="6">
        <f t="shared" si="37"/>
        <v>0</v>
      </c>
      <c r="M427" s="6">
        <f t="shared" si="38"/>
        <v>0</v>
      </c>
      <c r="N427" s="6">
        <f t="shared" si="39"/>
        <v>0</v>
      </c>
      <c r="O427" t="str">
        <f>IF($N427&gt;0,MAX($O$1:$O426)+1,"")</f>
        <v/>
      </c>
      <c r="P427" t="str">
        <f>IF($C427="","",IFERROR(INDEX(Работы!$D$2:$D$6000,MATCH($C427,Работы!$A$2:$A$6000,0)),""))</f>
        <v/>
      </c>
      <c r="Q427" t="str">
        <f t="shared" si="40"/>
        <v/>
      </c>
      <c r="R427" t="str">
        <f t="shared" si="41"/>
        <v/>
      </c>
      <c r="S427" t="str">
        <f>IF($P427="","",$P427&amp;" · "&amp;IFERROR(INDEX(Работы!$E$2:$E$6000,MATCH($C427,Работы!$A$2:$A$6000,0)),""))</f>
        <v/>
      </c>
    </row>
    <row r="428" spans="1:19" x14ac:dyDescent="0.3">
      <c r="A428" s="4"/>
      <c r="B428" s="4"/>
      <c r="C428" t="str">
        <f t="shared" si="36"/>
        <v/>
      </c>
      <c r="D428" s="5" t="str">
        <f>IF($C428="","",IF(AND(LEFT($F428,3)="ДОК",$H428&lt;&gt;""),IFERROR(INDEX(Документация!$G$2:$G$57,MATCH($H428,Документация!$F$2:$F$57,0)),"— вариант не найден —"),IFERROR(INDEX(Работы!$B$2:$B$6000,MATCH($C428,Работы!$A$2:$A$6000,0)),"— нет такого кода —")))</f>
        <v/>
      </c>
      <c r="E428" t="str">
        <f>IF($C428="","",IF(AND(LEFT($F428,3)="ДОК",$H428&lt;&gt;""),IFERROR(INDEX(Документация!$D$2:$D$57,MATCH($H428,Документация!$F$2:$F$57,0)),""),IFERROR(INDEX(Работы!$C$2:$C$6000,MATCH($C428,Работы!$A$2:$A$6000,0)),"")))</f>
        <v/>
      </c>
      <c r="F428" t="str">
        <f>IF($C428="","",IFERROR(INDEX(Работы!$G$2:$G$6000,MATCH($C428,Работы!$A$2:$A$6000,0))&amp;"",""))</f>
        <v/>
      </c>
      <c r="G428" s="4"/>
      <c r="H428" s="4"/>
      <c r="I428" s="5" t="str">
        <f>IF((LEFT($F428,3)="ДОК"),"",IF($H428="","",IFERROR(INDEX(Материалы!$B$2:$B$9000,MATCH($H428,Материалы!$M$2:$M$9000,0)),"")))</f>
        <v/>
      </c>
      <c r="J428" s="6">
        <f>IF(AND(LEFT($F428,3)="ДОК",$H428&lt;&gt;""),IFERROR(INDEX(Документация!$E$2:$E$57,MATCH($H428,Документация!$F$2:$F$57,0)),0),IFERROR(INDEX(Работы!$H$2:$H$6000,MATCH($C428,Работы!$A$2:$A$6000,0)),0))*(1-MEDIAN(0,N(ДисконтТендер),1))</f>
        <v>0</v>
      </c>
      <c r="K428" s="6">
        <f>IF(OR((LEFT($F428,3)="ДОК"),$H428=""),0,IFERROR(INDEX(Материалы!$H$2:$H$9000,MATCH($H428,Материалы!$M$2:$M$9000,0))*IF(INDEX(Материалы!$I$2:$I$9000,MATCH($H428,Материалы!$M$2:$M$9000,0))="USD",КурсUSD,IF(INDEX(Материалы!$I$2:$I$9000,MATCH($H428,Материалы!$M$2:$M$9000,0))="EUR",КурсEUR,1))*(1+IFERROR(INDEX(Работы!$I$2:$I$6000,MATCH($C428,Работы!$A$2:$A$6000,0))/100,0))*(1-MEDIAN(0,N(ДисконтТендер),1)),0))</f>
        <v>0</v>
      </c>
      <c r="L428" s="6">
        <f t="shared" si="37"/>
        <v>0</v>
      </c>
      <c r="M428" s="6">
        <f t="shared" si="38"/>
        <v>0</v>
      </c>
      <c r="N428" s="6">
        <f t="shared" si="39"/>
        <v>0</v>
      </c>
      <c r="O428" t="str">
        <f>IF($N428&gt;0,MAX($O$1:$O427)+1,"")</f>
        <v/>
      </c>
      <c r="P428" t="str">
        <f>IF($C428="","",IFERROR(INDEX(Работы!$D$2:$D$6000,MATCH($C428,Работы!$A$2:$A$6000,0)),""))</f>
        <v/>
      </c>
      <c r="Q428" t="str">
        <f t="shared" si="40"/>
        <v/>
      </c>
      <c r="R428" t="str">
        <f t="shared" si="41"/>
        <v/>
      </c>
      <c r="S428" t="str">
        <f>IF($P428="","",$P428&amp;" · "&amp;IFERROR(INDEX(Работы!$E$2:$E$6000,MATCH($C428,Работы!$A$2:$A$6000,0)),""))</f>
        <v/>
      </c>
    </row>
    <row r="429" spans="1:19" x14ac:dyDescent="0.3">
      <c r="A429" s="4"/>
      <c r="B429" s="4"/>
      <c r="C429" t="str">
        <f t="shared" si="36"/>
        <v/>
      </c>
      <c r="D429" s="5" t="str">
        <f>IF($C429="","",IF(AND(LEFT($F429,3)="ДОК",$H429&lt;&gt;""),IFERROR(INDEX(Документация!$G$2:$G$57,MATCH($H429,Документация!$F$2:$F$57,0)),"— вариант не найден —"),IFERROR(INDEX(Работы!$B$2:$B$6000,MATCH($C429,Работы!$A$2:$A$6000,0)),"— нет такого кода —")))</f>
        <v/>
      </c>
      <c r="E429" t="str">
        <f>IF($C429="","",IF(AND(LEFT($F429,3)="ДОК",$H429&lt;&gt;""),IFERROR(INDEX(Документация!$D$2:$D$57,MATCH($H429,Документация!$F$2:$F$57,0)),""),IFERROR(INDEX(Работы!$C$2:$C$6000,MATCH($C429,Работы!$A$2:$A$6000,0)),"")))</f>
        <v/>
      </c>
      <c r="F429" t="str">
        <f>IF($C429="","",IFERROR(INDEX(Работы!$G$2:$G$6000,MATCH($C429,Работы!$A$2:$A$6000,0))&amp;"",""))</f>
        <v/>
      </c>
      <c r="G429" s="4"/>
      <c r="H429" s="4"/>
      <c r="I429" s="5" t="str">
        <f>IF((LEFT($F429,3)="ДОК"),"",IF($H429="","",IFERROR(INDEX(Материалы!$B$2:$B$9000,MATCH($H429,Материалы!$M$2:$M$9000,0)),"")))</f>
        <v/>
      </c>
      <c r="J429" s="6">
        <f>IF(AND(LEFT($F429,3)="ДОК",$H429&lt;&gt;""),IFERROR(INDEX(Документация!$E$2:$E$57,MATCH($H429,Документация!$F$2:$F$57,0)),0),IFERROR(INDEX(Работы!$H$2:$H$6000,MATCH($C429,Работы!$A$2:$A$6000,0)),0))*(1-MEDIAN(0,N(ДисконтТендер),1))</f>
        <v>0</v>
      </c>
      <c r="K429" s="6">
        <f>IF(OR((LEFT($F429,3)="ДОК"),$H429=""),0,IFERROR(INDEX(Материалы!$H$2:$H$9000,MATCH($H429,Материалы!$M$2:$M$9000,0))*IF(INDEX(Материалы!$I$2:$I$9000,MATCH($H429,Материалы!$M$2:$M$9000,0))="USD",КурсUSD,IF(INDEX(Материалы!$I$2:$I$9000,MATCH($H429,Материалы!$M$2:$M$9000,0))="EUR",КурсEUR,1))*(1+IFERROR(INDEX(Работы!$I$2:$I$6000,MATCH($C429,Работы!$A$2:$A$6000,0))/100,0))*(1-MEDIAN(0,N(ДисконтТендер),1)),0))</f>
        <v>0</v>
      </c>
      <c r="L429" s="6">
        <f t="shared" si="37"/>
        <v>0</v>
      </c>
      <c r="M429" s="6">
        <f t="shared" si="38"/>
        <v>0</v>
      </c>
      <c r="N429" s="6">
        <f t="shared" si="39"/>
        <v>0</v>
      </c>
      <c r="O429" t="str">
        <f>IF($N429&gt;0,MAX($O$1:$O428)+1,"")</f>
        <v/>
      </c>
      <c r="P429" t="str">
        <f>IF($C429="","",IFERROR(INDEX(Работы!$D$2:$D$6000,MATCH($C429,Работы!$A$2:$A$6000,0)),""))</f>
        <v/>
      </c>
      <c r="Q429" t="str">
        <f t="shared" si="40"/>
        <v/>
      </c>
      <c r="R429" t="str">
        <f t="shared" si="41"/>
        <v/>
      </c>
      <c r="S429" t="str">
        <f>IF($P429="","",$P429&amp;" · "&amp;IFERROR(INDEX(Работы!$E$2:$E$6000,MATCH($C429,Работы!$A$2:$A$6000,0)),""))</f>
        <v/>
      </c>
    </row>
    <row r="430" spans="1:19" x14ac:dyDescent="0.3">
      <c r="A430" s="4"/>
      <c r="B430" s="4"/>
      <c r="C430" t="str">
        <f t="shared" si="36"/>
        <v/>
      </c>
      <c r="D430" s="5" t="str">
        <f>IF($C430="","",IF(AND(LEFT($F430,3)="ДОК",$H430&lt;&gt;""),IFERROR(INDEX(Документация!$G$2:$G$57,MATCH($H430,Документация!$F$2:$F$57,0)),"— вариант не найден —"),IFERROR(INDEX(Работы!$B$2:$B$6000,MATCH($C430,Работы!$A$2:$A$6000,0)),"— нет такого кода —")))</f>
        <v/>
      </c>
      <c r="E430" t="str">
        <f>IF($C430="","",IF(AND(LEFT($F430,3)="ДОК",$H430&lt;&gt;""),IFERROR(INDEX(Документация!$D$2:$D$57,MATCH($H430,Документация!$F$2:$F$57,0)),""),IFERROR(INDEX(Работы!$C$2:$C$6000,MATCH($C430,Работы!$A$2:$A$6000,0)),"")))</f>
        <v/>
      </c>
      <c r="F430" t="str">
        <f>IF($C430="","",IFERROR(INDEX(Работы!$G$2:$G$6000,MATCH($C430,Работы!$A$2:$A$6000,0))&amp;"",""))</f>
        <v/>
      </c>
      <c r="G430" s="4"/>
      <c r="H430" s="4"/>
      <c r="I430" s="5" t="str">
        <f>IF((LEFT($F430,3)="ДОК"),"",IF($H430="","",IFERROR(INDEX(Материалы!$B$2:$B$9000,MATCH($H430,Материалы!$M$2:$M$9000,0)),"")))</f>
        <v/>
      </c>
      <c r="J430" s="6">
        <f>IF(AND(LEFT($F430,3)="ДОК",$H430&lt;&gt;""),IFERROR(INDEX(Документация!$E$2:$E$57,MATCH($H430,Документация!$F$2:$F$57,0)),0),IFERROR(INDEX(Работы!$H$2:$H$6000,MATCH($C430,Работы!$A$2:$A$6000,0)),0))*(1-MEDIAN(0,N(ДисконтТендер),1))</f>
        <v>0</v>
      </c>
      <c r="K430" s="6">
        <f>IF(OR((LEFT($F430,3)="ДОК"),$H430=""),0,IFERROR(INDEX(Материалы!$H$2:$H$9000,MATCH($H430,Материалы!$M$2:$M$9000,0))*IF(INDEX(Материалы!$I$2:$I$9000,MATCH($H430,Материалы!$M$2:$M$9000,0))="USD",КурсUSD,IF(INDEX(Материалы!$I$2:$I$9000,MATCH($H430,Материалы!$M$2:$M$9000,0))="EUR",КурсEUR,1))*(1+IFERROR(INDEX(Работы!$I$2:$I$6000,MATCH($C430,Работы!$A$2:$A$6000,0))/100,0))*(1-MEDIAN(0,N(ДисконтТендер),1)),0))</f>
        <v>0</v>
      </c>
      <c r="L430" s="6">
        <f t="shared" si="37"/>
        <v>0</v>
      </c>
      <c r="M430" s="6">
        <f t="shared" si="38"/>
        <v>0</v>
      </c>
      <c r="N430" s="6">
        <f t="shared" si="39"/>
        <v>0</v>
      </c>
      <c r="O430" t="str">
        <f>IF($N430&gt;0,MAX($O$1:$O429)+1,"")</f>
        <v/>
      </c>
      <c r="P430" t="str">
        <f>IF($C430="","",IFERROR(INDEX(Работы!$D$2:$D$6000,MATCH($C430,Работы!$A$2:$A$6000,0)),""))</f>
        <v/>
      </c>
      <c r="Q430" t="str">
        <f t="shared" si="40"/>
        <v/>
      </c>
      <c r="R430" t="str">
        <f t="shared" si="41"/>
        <v/>
      </c>
      <c r="S430" t="str">
        <f>IF($P430="","",$P430&amp;" · "&amp;IFERROR(INDEX(Работы!$E$2:$E$6000,MATCH($C430,Работы!$A$2:$A$6000,0)),""))</f>
        <v/>
      </c>
    </row>
    <row r="431" spans="1:19" x14ac:dyDescent="0.3">
      <c r="A431" s="4"/>
      <c r="B431" s="4"/>
      <c r="C431" t="str">
        <f t="shared" si="36"/>
        <v/>
      </c>
      <c r="D431" s="5" t="str">
        <f>IF($C431="","",IF(AND(LEFT($F431,3)="ДОК",$H431&lt;&gt;""),IFERROR(INDEX(Документация!$G$2:$G$57,MATCH($H431,Документация!$F$2:$F$57,0)),"— вариант не найден —"),IFERROR(INDEX(Работы!$B$2:$B$6000,MATCH($C431,Работы!$A$2:$A$6000,0)),"— нет такого кода —")))</f>
        <v/>
      </c>
      <c r="E431" t="str">
        <f>IF($C431="","",IF(AND(LEFT($F431,3)="ДОК",$H431&lt;&gt;""),IFERROR(INDEX(Документация!$D$2:$D$57,MATCH($H431,Документация!$F$2:$F$57,0)),""),IFERROR(INDEX(Работы!$C$2:$C$6000,MATCH($C431,Работы!$A$2:$A$6000,0)),"")))</f>
        <v/>
      </c>
      <c r="F431" t="str">
        <f>IF($C431="","",IFERROR(INDEX(Работы!$G$2:$G$6000,MATCH($C431,Работы!$A$2:$A$6000,0))&amp;"",""))</f>
        <v/>
      </c>
      <c r="G431" s="4"/>
      <c r="H431" s="4"/>
      <c r="I431" s="5" t="str">
        <f>IF((LEFT($F431,3)="ДОК"),"",IF($H431="","",IFERROR(INDEX(Материалы!$B$2:$B$9000,MATCH($H431,Материалы!$M$2:$M$9000,0)),"")))</f>
        <v/>
      </c>
      <c r="J431" s="6">
        <f>IF(AND(LEFT($F431,3)="ДОК",$H431&lt;&gt;""),IFERROR(INDEX(Документация!$E$2:$E$57,MATCH($H431,Документация!$F$2:$F$57,0)),0),IFERROR(INDEX(Работы!$H$2:$H$6000,MATCH($C431,Работы!$A$2:$A$6000,0)),0))*(1-MEDIAN(0,N(ДисконтТендер),1))</f>
        <v>0</v>
      </c>
      <c r="K431" s="6">
        <f>IF(OR((LEFT($F431,3)="ДОК"),$H431=""),0,IFERROR(INDEX(Материалы!$H$2:$H$9000,MATCH($H431,Материалы!$M$2:$M$9000,0))*IF(INDEX(Материалы!$I$2:$I$9000,MATCH($H431,Материалы!$M$2:$M$9000,0))="USD",КурсUSD,IF(INDEX(Материалы!$I$2:$I$9000,MATCH($H431,Материалы!$M$2:$M$9000,0))="EUR",КурсEUR,1))*(1+IFERROR(INDEX(Работы!$I$2:$I$6000,MATCH($C431,Работы!$A$2:$A$6000,0))/100,0))*(1-MEDIAN(0,N(ДисконтТендер),1)),0))</f>
        <v>0</v>
      </c>
      <c r="L431" s="6">
        <f t="shared" si="37"/>
        <v>0</v>
      </c>
      <c r="M431" s="6">
        <f t="shared" si="38"/>
        <v>0</v>
      </c>
      <c r="N431" s="6">
        <f t="shared" si="39"/>
        <v>0</v>
      </c>
      <c r="O431" t="str">
        <f>IF($N431&gt;0,MAX($O$1:$O430)+1,"")</f>
        <v/>
      </c>
      <c r="P431" t="str">
        <f>IF($C431="","",IFERROR(INDEX(Работы!$D$2:$D$6000,MATCH($C431,Работы!$A$2:$A$6000,0)),""))</f>
        <v/>
      </c>
      <c r="Q431" t="str">
        <f t="shared" si="40"/>
        <v/>
      </c>
      <c r="R431" t="str">
        <f t="shared" si="41"/>
        <v/>
      </c>
      <c r="S431" t="str">
        <f>IF($P431="","",$P431&amp;" · "&amp;IFERROR(INDEX(Работы!$E$2:$E$6000,MATCH($C431,Работы!$A$2:$A$6000,0)),""))</f>
        <v/>
      </c>
    </row>
    <row r="432" spans="1:19" x14ac:dyDescent="0.3">
      <c r="A432" s="4"/>
      <c r="B432" s="4"/>
      <c r="C432" t="str">
        <f t="shared" si="36"/>
        <v/>
      </c>
      <c r="D432" s="5" t="str">
        <f>IF($C432="","",IF(AND(LEFT($F432,3)="ДОК",$H432&lt;&gt;""),IFERROR(INDEX(Документация!$G$2:$G$57,MATCH($H432,Документация!$F$2:$F$57,0)),"— вариант не найден —"),IFERROR(INDEX(Работы!$B$2:$B$6000,MATCH($C432,Работы!$A$2:$A$6000,0)),"— нет такого кода —")))</f>
        <v/>
      </c>
      <c r="E432" t="str">
        <f>IF($C432="","",IF(AND(LEFT($F432,3)="ДОК",$H432&lt;&gt;""),IFERROR(INDEX(Документация!$D$2:$D$57,MATCH($H432,Документация!$F$2:$F$57,0)),""),IFERROR(INDEX(Работы!$C$2:$C$6000,MATCH($C432,Работы!$A$2:$A$6000,0)),"")))</f>
        <v/>
      </c>
      <c r="F432" t="str">
        <f>IF($C432="","",IFERROR(INDEX(Работы!$G$2:$G$6000,MATCH($C432,Работы!$A$2:$A$6000,0))&amp;"",""))</f>
        <v/>
      </c>
      <c r="G432" s="4"/>
      <c r="H432" s="4"/>
      <c r="I432" s="5" t="str">
        <f>IF((LEFT($F432,3)="ДОК"),"",IF($H432="","",IFERROR(INDEX(Материалы!$B$2:$B$9000,MATCH($H432,Материалы!$M$2:$M$9000,0)),"")))</f>
        <v/>
      </c>
      <c r="J432" s="6">
        <f>IF(AND(LEFT($F432,3)="ДОК",$H432&lt;&gt;""),IFERROR(INDEX(Документация!$E$2:$E$57,MATCH($H432,Документация!$F$2:$F$57,0)),0),IFERROR(INDEX(Работы!$H$2:$H$6000,MATCH($C432,Работы!$A$2:$A$6000,0)),0))*(1-MEDIAN(0,N(ДисконтТендер),1))</f>
        <v>0</v>
      </c>
      <c r="K432" s="6">
        <f>IF(OR((LEFT($F432,3)="ДОК"),$H432=""),0,IFERROR(INDEX(Материалы!$H$2:$H$9000,MATCH($H432,Материалы!$M$2:$M$9000,0))*IF(INDEX(Материалы!$I$2:$I$9000,MATCH($H432,Материалы!$M$2:$M$9000,0))="USD",КурсUSD,IF(INDEX(Материалы!$I$2:$I$9000,MATCH($H432,Материалы!$M$2:$M$9000,0))="EUR",КурсEUR,1))*(1+IFERROR(INDEX(Работы!$I$2:$I$6000,MATCH($C432,Работы!$A$2:$A$6000,0))/100,0))*(1-MEDIAN(0,N(ДисконтТендер),1)),0))</f>
        <v>0</v>
      </c>
      <c r="L432" s="6">
        <f t="shared" si="37"/>
        <v>0</v>
      </c>
      <c r="M432" s="6">
        <f t="shared" si="38"/>
        <v>0</v>
      </c>
      <c r="N432" s="6">
        <f t="shared" si="39"/>
        <v>0</v>
      </c>
      <c r="O432" t="str">
        <f>IF($N432&gt;0,MAX($O$1:$O431)+1,"")</f>
        <v/>
      </c>
      <c r="P432" t="str">
        <f>IF($C432="","",IFERROR(INDEX(Работы!$D$2:$D$6000,MATCH($C432,Работы!$A$2:$A$6000,0)),""))</f>
        <v/>
      </c>
      <c r="Q432" t="str">
        <f t="shared" si="40"/>
        <v/>
      </c>
      <c r="R432" t="str">
        <f t="shared" si="41"/>
        <v/>
      </c>
      <c r="S432" t="str">
        <f>IF($P432="","",$P432&amp;" · "&amp;IFERROR(INDEX(Работы!$E$2:$E$6000,MATCH($C432,Работы!$A$2:$A$6000,0)),""))</f>
        <v/>
      </c>
    </row>
    <row r="433" spans="1:19" x14ac:dyDescent="0.3">
      <c r="A433" s="4"/>
      <c r="B433" s="4"/>
      <c r="C433" t="str">
        <f t="shared" si="36"/>
        <v/>
      </c>
      <c r="D433" s="5" t="str">
        <f>IF($C433="","",IF(AND(LEFT($F433,3)="ДОК",$H433&lt;&gt;""),IFERROR(INDEX(Документация!$G$2:$G$57,MATCH($H433,Документация!$F$2:$F$57,0)),"— вариант не найден —"),IFERROR(INDEX(Работы!$B$2:$B$6000,MATCH($C433,Работы!$A$2:$A$6000,0)),"— нет такого кода —")))</f>
        <v/>
      </c>
      <c r="E433" t="str">
        <f>IF($C433="","",IF(AND(LEFT($F433,3)="ДОК",$H433&lt;&gt;""),IFERROR(INDEX(Документация!$D$2:$D$57,MATCH($H433,Документация!$F$2:$F$57,0)),""),IFERROR(INDEX(Работы!$C$2:$C$6000,MATCH($C433,Работы!$A$2:$A$6000,0)),"")))</f>
        <v/>
      </c>
      <c r="F433" t="str">
        <f>IF($C433="","",IFERROR(INDEX(Работы!$G$2:$G$6000,MATCH($C433,Работы!$A$2:$A$6000,0))&amp;"",""))</f>
        <v/>
      </c>
      <c r="G433" s="4"/>
      <c r="H433" s="4"/>
      <c r="I433" s="5" t="str">
        <f>IF((LEFT($F433,3)="ДОК"),"",IF($H433="","",IFERROR(INDEX(Материалы!$B$2:$B$9000,MATCH($H433,Материалы!$M$2:$M$9000,0)),"")))</f>
        <v/>
      </c>
      <c r="J433" s="6">
        <f>IF(AND(LEFT($F433,3)="ДОК",$H433&lt;&gt;""),IFERROR(INDEX(Документация!$E$2:$E$57,MATCH($H433,Документация!$F$2:$F$57,0)),0),IFERROR(INDEX(Работы!$H$2:$H$6000,MATCH($C433,Работы!$A$2:$A$6000,0)),0))*(1-MEDIAN(0,N(ДисконтТендер),1))</f>
        <v>0</v>
      </c>
      <c r="K433" s="6">
        <f>IF(OR((LEFT($F433,3)="ДОК"),$H433=""),0,IFERROR(INDEX(Материалы!$H$2:$H$9000,MATCH($H433,Материалы!$M$2:$M$9000,0))*IF(INDEX(Материалы!$I$2:$I$9000,MATCH($H433,Материалы!$M$2:$M$9000,0))="USD",КурсUSD,IF(INDEX(Материалы!$I$2:$I$9000,MATCH($H433,Материалы!$M$2:$M$9000,0))="EUR",КурсEUR,1))*(1+IFERROR(INDEX(Работы!$I$2:$I$6000,MATCH($C433,Работы!$A$2:$A$6000,0))/100,0))*(1-MEDIAN(0,N(ДисконтТендер),1)),0))</f>
        <v>0</v>
      </c>
      <c r="L433" s="6">
        <f t="shared" si="37"/>
        <v>0</v>
      </c>
      <c r="M433" s="6">
        <f t="shared" si="38"/>
        <v>0</v>
      </c>
      <c r="N433" s="6">
        <f t="shared" si="39"/>
        <v>0</v>
      </c>
      <c r="O433" t="str">
        <f>IF($N433&gt;0,MAX($O$1:$O432)+1,"")</f>
        <v/>
      </c>
      <c r="P433" t="str">
        <f>IF($C433="","",IFERROR(INDEX(Работы!$D$2:$D$6000,MATCH($C433,Работы!$A$2:$A$6000,0)),""))</f>
        <v/>
      </c>
      <c r="Q433" t="str">
        <f t="shared" si="40"/>
        <v/>
      </c>
      <c r="R433" t="str">
        <f t="shared" si="41"/>
        <v/>
      </c>
      <c r="S433" t="str">
        <f>IF($P433="","",$P433&amp;" · "&amp;IFERROR(INDEX(Работы!$E$2:$E$6000,MATCH($C433,Работы!$A$2:$A$6000,0)),""))</f>
        <v/>
      </c>
    </row>
    <row r="434" spans="1:19" x14ac:dyDescent="0.3">
      <c r="A434" s="4"/>
      <c r="B434" s="4"/>
      <c r="C434" t="str">
        <f t="shared" si="36"/>
        <v/>
      </c>
      <c r="D434" s="5" t="str">
        <f>IF($C434="","",IF(AND(LEFT($F434,3)="ДОК",$H434&lt;&gt;""),IFERROR(INDEX(Документация!$G$2:$G$57,MATCH($H434,Документация!$F$2:$F$57,0)),"— вариант не найден —"),IFERROR(INDEX(Работы!$B$2:$B$6000,MATCH($C434,Работы!$A$2:$A$6000,0)),"— нет такого кода —")))</f>
        <v/>
      </c>
      <c r="E434" t="str">
        <f>IF($C434="","",IF(AND(LEFT($F434,3)="ДОК",$H434&lt;&gt;""),IFERROR(INDEX(Документация!$D$2:$D$57,MATCH($H434,Документация!$F$2:$F$57,0)),""),IFERROR(INDEX(Работы!$C$2:$C$6000,MATCH($C434,Работы!$A$2:$A$6000,0)),"")))</f>
        <v/>
      </c>
      <c r="F434" t="str">
        <f>IF($C434="","",IFERROR(INDEX(Работы!$G$2:$G$6000,MATCH($C434,Работы!$A$2:$A$6000,0))&amp;"",""))</f>
        <v/>
      </c>
      <c r="G434" s="4"/>
      <c r="H434" s="4"/>
      <c r="I434" s="5" t="str">
        <f>IF((LEFT($F434,3)="ДОК"),"",IF($H434="","",IFERROR(INDEX(Материалы!$B$2:$B$9000,MATCH($H434,Материалы!$M$2:$M$9000,0)),"")))</f>
        <v/>
      </c>
      <c r="J434" s="6">
        <f>IF(AND(LEFT($F434,3)="ДОК",$H434&lt;&gt;""),IFERROR(INDEX(Документация!$E$2:$E$57,MATCH($H434,Документация!$F$2:$F$57,0)),0),IFERROR(INDEX(Работы!$H$2:$H$6000,MATCH($C434,Работы!$A$2:$A$6000,0)),0))*(1-MEDIAN(0,N(ДисконтТендер),1))</f>
        <v>0</v>
      </c>
      <c r="K434" s="6">
        <f>IF(OR((LEFT($F434,3)="ДОК"),$H434=""),0,IFERROR(INDEX(Материалы!$H$2:$H$9000,MATCH($H434,Материалы!$M$2:$M$9000,0))*IF(INDEX(Материалы!$I$2:$I$9000,MATCH($H434,Материалы!$M$2:$M$9000,0))="USD",КурсUSD,IF(INDEX(Материалы!$I$2:$I$9000,MATCH($H434,Материалы!$M$2:$M$9000,0))="EUR",КурсEUR,1))*(1+IFERROR(INDEX(Работы!$I$2:$I$6000,MATCH($C434,Работы!$A$2:$A$6000,0))/100,0))*(1-MEDIAN(0,N(ДисконтТендер),1)),0))</f>
        <v>0</v>
      </c>
      <c r="L434" s="6">
        <f t="shared" si="37"/>
        <v>0</v>
      </c>
      <c r="M434" s="6">
        <f t="shared" si="38"/>
        <v>0</v>
      </c>
      <c r="N434" s="6">
        <f t="shared" si="39"/>
        <v>0</v>
      </c>
      <c r="O434" t="str">
        <f>IF($N434&gt;0,MAX($O$1:$O433)+1,"")</f>
        <v/>
      </c>
      <c r="P434" t="str">
        <f>IF($C434="","",IFERROR(INDEX(Работы!$D$2:$D$6000,MATCH($C434,Работы!$A$2:$A$6000,0)),""))</f>
        <v/>
      </c>
      <c r="Q434" t="str">
        <f t="shared" si="40"/>
        <v/>
      </c>
      <c r="R434" t="str">
        <f t="shared" si="41"/>
        <v/>
      </c>
      <c r="S434" t="str">
        <f>IF($P434="","",$P434&amp;" · "&amp;IFERROR(INDEX(Работы!$E$2:$E$6000,MATCH($C434,Работы!$A$2:$A$6000,0)),""))</f>
        <v/>
      </c>
    </row>
    <row r="435" spans="1:19" x14ac:dyDescent="0.3">
      <c r="A435" s="4"/>
      <c r="B435" s="4"/>
      <c r="C435" t="str">
        <f t="shared" si="36"/>
        <v/>
      </c>
      <c r="D435" s="5" t="str">
        <f>IF($C435="","",IF(AND(LEFT($F435,3)="ДОК",$H435&lt;&gt;""),IFERROR(INDEX(Документация!$G$2:$G$57,MATCH($H435,Документация!$F$2:$F$57,0)),"— вариант не найден —"),IFERROR(INDEX(Работы!$B$2:$B$6000,MATCH($C435,Работы!$A$2:$A$6000,0)),"— нет такого кода —")))</f>
        <v/>
      </c>
      <c r="E435" t="str">
        <f>IF($C435="","",IF(AND(LEFT($F435,3)="ДОК",$H435&lt;&gt;""),IFERROR(INDEX(Документация!$D$2:$D$57,MATCH($H435,Документация!$F$2:$F$57,0)),""),IFERROR(INDEX(Работы!$C$2:$C$6000,MATCH($C435,Работы!$A$2:$A$6000,0)),"")))</f>
        <v/>
      </c>
      <c r="F435" t="str">
        <f>IF($C435="","",IFERROR(INDEX(Работы!$G$2:$G$6000,MATCH($C435,Работы!$A$2:$A$6000,0))&amp;"",""))</f>
        <v/>
      </c>
      <c r="G435" s="4"/>
      <c r="H435" s="4"/>
      <c r="I435" s="5" t="str">
        <f>IF((LEFT($F435,3)="ДОК"),"",IF($H435="","",IFERROR(INDEX(Материалы!$B$2:$B$9000,MATCH($H435,Материалы!$M$2:$M$9000,0)),"")))</f>
        <v/>
      </c>
      <c r="J435" s="6">
        <f>IF(AND(LEFT($F435,3)="ДОК",$H435&lt;&gt;""),IFERROR(INDEX(Документация!$E$2:$E$57,MATCH($H435,Документация!$F$2:$F$57,0)),0),IFERROR(INDEX(Работы!$H$2:$H$6000,MATCH($C435,Работы!$A$2:$A$6000,0)),0))*(1-MEDIAN(0,N(ДисконтТендер),1))</f>
        <v>0</v>
      </c>
      <c r="K435" s="6">
        <f>IF(OR((LEFT($F435,3)="ДОК"),$H435=""),0,IFERROR(INDEX(Материалы!$H$2:$H$9000,MATCH($H435,Материалы!$M$2:$M$9000,0))*IF(INDEX(Материалы!$I$2:$I$9000,MATCH($H435,Материалы!$M$2:$M$9000,0))="USD",КурсUSD,IF(INDEX(Материалы!$I$2:$I$9000,MATCH($H435,Материалы!$M$2:$M$9000,0))="EUR",КурсEUR,1))*(1+IFERROR(INDEX(Работы!$I$2:$I$6000,MATCH($C435,Работы!$A$2:$A$6000,0))/100,0))*(1-MEDIAN(0,N(ДисконтТендер),1)),0))</f>
        <v>0</v>
      </c>
      <c r="L435" s="6">
        <f t="shared" si="37"/>
        <v>0</v>
      </c>
      <c r="M435" s="6">
        <f t="shared" si="38"/>
        <v>0</v>
      </c>
      <c r="N435" s="6">
        <f t="shared" si="39"/>
        <v>0</v>
      </c>
      <c r="O435" t="str">
        <f>IF($N435&gt;0,MAX($O$1:$O434)+1,"")</f>
        <v/>
      </c>
      <c r="P435" t="str">
        <f>IF($C435="","",IFERROR(INDEX(Работы!$D$2:$D$6000,MATCH($C435,Работы!$A$2:$A$6000,0)),""))</f>
        <v/>
      </c>
      <c r="Q435" t="str">
        <f t="shared" si="40"/>
        <v/>
      </c>
      <c r="R435" t="str">
        <f t="shared" si="41"/>
        <v/>
      </c>
      <c r="S435" t="str">
        <f>IF($P435="","",$P435&amp;" · "&amp;IFERROR(INDEX(Работы!$E$2:$E$6000,MATCH($C435,Работы!$A$2:$A$6000,0)),""))</f>
        <v/>
      </c>
    </row>
    <row r="436" spans="1:19" x14ac:dyDescent="0.3">
      <c r="A436" s="4"/>
      <c r="B436" s="4"/>
      <c r="C436" t="str">
        <f t="shared" si="36"/>
        <v/>
      </c>
      <c r="D436" s="5" t="str">
        <f>IF($C436="","",IF(AND(LEFT($F436,3)="ДОК",$H436&lt;&gt;""),IFERROR(INDEX(Документация!$G$2:$G$57,MATCH($H436,Документация!$F$2:$F$57,0)),"— вариант не найден —"),IFERROR(INDEX(Работы!$B$2:$B$6000,MATCH($C436,Работы!$A$2:$A$6000,0)),"— нет такого кода —")))</f>
        <v/>
      </c>
      <c r="E436" t="str">
        <f>IF($C436="","",IF(AND(LEFT($F436,3)="ДОК",$H436&lt;&gt;""),IFERROR(INDEX(Документация!$D$2:$D$57,MATCH($H436,Документация!$F$2:$F$57,0)),""),IFERROR(INDEX(Работы!$C$2:$C$6000,MATCH($C436,Работы!$A$2:$A$6000,0)),"")))</f>
        <v/>
      </c>
      <c r="F436" t="str">
        <f>IF($C436="","",IFERROR(INDEX(Работы!$G$2:$G$6000,MATCH($C436,Работы!$A$2:$A$6000,0))&amp;"",""))</f>
        <v/>
      </c>
      <c r="G436" s="4"/>
      <c r="H436" s="4"/>
      <c r="I436" s="5" t="str">
        <f>IF((LEFT($F436,3)="ДОК"),"",IF($H436="","",IFERROR(INDEX(Материалы!$B$2:$B$9000,MATCH($H436,Материалы!$M$2:$M$9000,0)),"")))</f>
        <v/>
      </c>
      <c r="J436" s="6">
        <f>IF(AND(LEFT($F436,3)="ДОК",$H436&lt;&gt;""),IFERROR(INDEX(Документация!$E$2:$E$57,MATCH($H436,Документация!$F$2:$F$57,0)),0),IFERROR(INDEX(Работы!$H$2:$H$6000,MATCH($C436,Работы!$A$2:$A$6000,0)),0))*(1-MEDIAN(0,N(ДисконтТендер),1))</f>
        <v>0</v>
      </c>
      <c r="K436" s="6">
        <f>IF(OR((LEFT($F436,3)="ДОК"),$H436=""),0,IFERROR(INDEX(Материалы!$H$2:$H$9000,MATCH($H436,Материалы!$M$2:$M$9000,0))*IF(INDEX(Материалы!$I$2:$I$9000,MATCH($H436,Материалы!$M$2:$M$9000,0))="USD",КурсUSD,IF(INDEX(Материалы!$I$2:$I$9000,MATCH($H436,Материалы!$M$2:$M$9000,0))="EUR",КурсEUR,1))*(1+IFERROR(INDEX(Работы!$I$2:$I$6000,MATCH($C436,Работы!$A$2:$A$6000,0))/100,0))*(1-MEDIAN(0,N(ДисконтТендер),1)),0))</f>
        <v>0</v>
      </c>
      <c r="L436" s="6">
        <f t="shared" si="37"/>
        <v>0</v>
      </c>
      <c r="M436" s="6">
        <f t="shared" si="38"/>
        <v>0</v>
      </c>
      <c r="N436" s="6">
        <f t="shared" si="39"/>
        <v>0</v>
      </c>
      <c r="O436" t="str">
        <f>IF($N436&gt;0,MAX($O$1:$O435)+1,"")</f>
        <v/>
      </c>
      <c r="P436" t="str">
        <f>IF($C436="","",IFERROR(INDEX(Работы!$D$2:$D$6000,MATCH($C436,Работы!$A$2:$A$6000,0)),""))</f>
        <v/>
      </c>
      <c r="Q436" t="str">
        <f t="shared" si="40"/>
        <v/>
      </c>
      <c r="R436" t="str">
        <f t="shared" si="41"/>
        <v/>
      </c>
      <c r="S436" t="str">
        <f>IF($P436="","",$P436&amp;" · "&amp;IFERROR(INDEX(Работы!$E$2:$E$6000,MATCH($C436,Работы!$A$2:$A$6000,0)),""))</f>
        <v/>
      </c>
    </row>
    <row r="437" spans="1:19" x14ac:dyDescent="0.3">
      <c r="A437" s="4"/>
      <c r="B437" s="4"/>
      <c r="C437" t="str">
        <f t="shared" si="36"/>
        <v/>
      </c>
      <c r="D437" s="5" t="str">
        <f>IF($C437="","",IF(AND(LEFT($F437,3)="ДОК",$H437&lt;&gt;""),IFERROR(INDEX(Документация!$G$2:$G$57,MATCH($H437,Документация!$F$2:$F$57,0)),"— вариант не найден —"),IFERROR(INDEX(Работы!$B$2:$B$6000,MATCH($C437,Работы!$A$2:$A$6000,0)),"— нет такого кода —")))</f>
        <v/>
      </c>
      <c r="E437" t="str">
        <f>IF($C437="","",IF(AND(LEFT($F437,3)="ДОК",$H437&lt;&gt;""),IFERROR(INDEX(Документация!$D$2:$D$57,MATCH($H437,Документация!$F$2:$F$57,0)),""),IFERROR(INDEX(Работы!$C$2:$C$6000,MATCH($C437,Работы!$A$2:$A$6000,0)),"")))</f>
        <v/>
      </c>
      <c r="F437" t="str">
        <f>IF($C437="","",IFERROR(INDEX(Работы!$G$2:$G$6000,MATCH($C437,Работы!$A$2:$A$6000,0))&amp;"",""))</f>
        <v/>
      </c>
      <c r="G437" s="4"/>
      <c r="H437" s="4"/>
      <c r="I437" s="5" t="str">
        <f>IF((LEFT($F437,3)="ДОК"),"",IF($H437="","",IFERROR(INDEX(Материалы!$B$2:$B$9000,MATCH($H437,Материалы!$M$2:$M$9000,0)),"")))</f>
        <v/>
      </c>
      <c r="J437" s="6">
        <f>IF(AND(LEFT($F437,3)="ДОК",$H437&lt;&gt;""),IFERROR(INDEX(Документация!$E$2:$E$57,MATCH($H437,Документация!$F$2:$F$57,0)),0),IFERROR(INDEX(Работы!$H$2:$H$6000,MATCH($C437,Работы!$A$2:$A$6000,0)),0))*(1-MEDIAN(0,N(ДисконтТендер),1))</f>
        <v>0</v>
      </c>
      <c r="K437" s="6">
        <f>IF(OR((LEFT($F437,3)="ДОК"),$H437=""),0,IFERROR(INDEX(Материалы!$H$2:$H$9000,MATCH($H437,Материалы!$M$2:$M$9000,0))*IF(INDEX(Материалы!$I$2:$I$9000,MATCH($H437,Материалы!$M$2:$M$9000,0))="USD",КурсUSD,IF(INDEX(Материалы!$I$2:$I$9000,MATCH($H437,Материалы!$M$2:$M$9000,0))="EUR",КурсEUR,1))*(1+IFERROR(INDEX(Работы!$I$2:$I$6000,MATCH($C437,Работы!$A$2:$A$6000,0))/100,0))*(1-MEDIAN(0,N(ДисконтТендер),1)),0))</f>
        <v>0</v>
      </c>
      <c r="L437" s="6">
        <f t="shared" si="37"/>
        <v>0</v>
      </c>
      <c r="M437" s="6">
        <f t="shared" si="38"/>
        <v>0</v>
      </c>
      <c r="N437" s="6">
        <f t="shared" si="39"/>
        <v>0</v>
      </c>
      <c r="O437" t="str">
        <f>IF($N437&gt;0,MAX($O$1:$O436)+1,"")</f>
        <v/>
      </c>
      <c r="P437" t="str">
        <f>IF($C437="","",IFERROR(INDEX(Работы!$D$2:$D$6000,MATCH($C437,Работы!$A$2:$A$6000,0)),""))</f>
        <v/>
      </c>
      <c r="Q437" t="str">
        <f t="shared" si="40"/>
        <v/>
      </c>
      <c r="R437" t="str">
        <f t="shared" si="41"/>
        <v/>
      </c>
      <c r="S437" t="str">
        <f>IF($P437="","",$P437&amp;" · "&amp;IFERROR(INDEX(Работы!$E$2:$E$6000,MATCH($C437,Работы!$A$2:$A$6000,0)),""))</f>
        <v/>
      </c>
    </row>
    <row r="438" spans="1:19" x14ac:dyDescent="0.3">
      <c r="A438" s="4"/>
      <c r="B438" s="4"/>
      <c r="C438" t="str">
        <f t="shared" si="36"/>
        <v/>
      </c>
      <c r="D438" s="5" t="str">
        <f>IF($C438="","",IF(AND(LEFT($F438,3)="ДОК",$H438&lt;&gt;""),IFERROR(INDEX(Документация!$G$2:$G$57,MATCH($H438,Документация!$F$2:$F$57,0)),"— вариант не найден —"),IFERROR(INDEX(Работы!$B$2:$B$6000,MATCH($C438,Работы!$A$2:$A$6000,0)),"— нет такого кода —")))</f>
        <v/>
      </c>
      <c r="E438" t="str">
        <f>IF($C438="","",IF(AND(LEFT($F438,3)="ДОК",$H438&lt;&gt;""),IFERROR(INDEX(Документация!$D$2:$D$57,MATCH($H438,Документация!$F$2:$F$57,0)),""),IFERROR(INDEX(Работы!$C$2:$C$6000,MATCH($C438,Работы!$A$2:$A$6000,0)),"")))</f>
        <v/>
      </c>
      <c r="F438" t="str">
        <f>IF($C438="","",IFERROR(INDEX(Работы!$G$2:$G$6000,MATCH($C438,Работы!$A$2:$A$6000,0))&amp;"",""))</f>
        <v/>
      </c>
      <c r="G438" s="4"/>
      <c r="H438" s="4"/>
      <c r="I438" s="5" t="str">
        <f>IF((LEFT($F438,3)="ДОК"),"",IF($H438="","",IFERROR(INDEX(Материалы!$B$2:$B$9000,MATCH($H438,Материалы!$M$2:$M$9000,0)),"")))</f>
        <v/>
      </c>
      <c r="J438" s="6">
        <f>IF(AND(LEFT($F438,3)="ДОК",$H438&lt;&gt;""),IFERROR(INDEX(Документация!$E$2:$E$57,MATCH($H438,Документация!$F$2:$F$57,0)),0),IFERROR(INDEX(Работы!$H$2:$H$6000,MATCH($C438,Работы!$A$2:$A$6000,0)),0))*(1-MEDIAN(0,N(ДисконтТендер),1))</f>
        <v>0</v>
      </c>
      <c r="K438" s="6">
        <f>IF(OR((LEFT($F438,3)="ДОК"),$H438=""),0,IFERROR(INDEX(Материалы!$H$2:$H$9000,MATCH($H438,Материалы!$M$2:$M$9000,0))*IF(INDEX(Материалы!$I$2:$I$9000,MATCH($H438,Материалы!$M$2:$M$9000,0))="USD",КурсUSD,IF(INDEX(Материалы!$I$2:$I$9000,MATCH($H438,Материалы!$M$2:$M$9000,0))="EUR",КурсEUR,1))*(1+IFERROR(INDEX(Работы!$I$2:$I$6000,MATCH($C438,Работы!$A$2:$A$6000,0))/100,0))*(1-MEDIAN(0,N(ДисконтТендер),1)),0))</f>
        <v>0</v>
      </c>
      <c r="L438" s="6">
        <f t="shared" si="37"/>
        <v>0</v>
      </c>
      <c r="M438" s="6">
        <f t="shared" si="38"/>
        <v>0</v>
      </c>
      <c r="N438" s="6">
        <f t="shared" si="39"/>
        <v>0</v>
      </c>
      <c r="O438" t="str">
        <f>IF($N438&gt;0,MAX($O$1:$O437)+1,"")</f>
        <v/>
      </c>
      <c r="P438" t="str">
        <f>IF($C438="","",IFERROR(INDEX(Работы!$D$2:$D$6000,MATCH($C438,Работы!$A$2:$A$6000,0)),""))</f>
        <v/>
      </c>
      <c r="Q438" t="str">
        <f t="shared" si="40"/>
        <v/>
      </c>
      <c r="R438" t="str">
        <f t="shared" si="41"/>
        <v/>
      </c>
      <c r="S438" t="str">
        <f>IF($P438="","",$P438&amp;" · "&amp;IFERROR(INDEX(Работы!$E$2:$E$6000,MATCH($C438,Работы!$A$2:$A$6000,0)),""))</f>
        <v/>
      </c>
    </row>
    <row r="439" spans="1:19" x14ac:dyDescent="0.3">
      <c r="A439" s="4"/>
      <c r="B439" s="4"/>
      <c r="C439" t="str">
        <f t="shared" si="36"/>
        <v/>
      </c>
      <c r="D439" s="5" t="str">
        <f>IF($C439="","",IF(AND(LEFT($F439,3)="ДОК",$H439&lt;&gt;""),IFERROR(INDEX(Документация!$G$2:$G$57,MATCH($H439,Документация!$F$2:$F$57,0)),"— вариант не найден —"),IFERROR(INDEX(Работы!$B$2:$B$6000,MATCH($C439,Работы!$A$2:$A$6000,0)),"— нет такого кода —")))</f>
        <v/>
      </c>
      <c r="E439" t="str">
        <f>IF($C439="","",IF(AND(LEFT($F439,3)="ДОК",$H439&lt;&gt;""),IFERROR(INDEX(Документация!$D$2:$D$57,MATCH($H439,Документация!$F$2:$F$57,0)),""),IFERROR(INDEX(Работы!$C$2:$C$6000,MATCH($C439,Работы!$A$2:$A$6000,0)),"")))</f>
        <v/>
      </c>
      <c r="F439" t="str">
        <f>IF($C439="","",IFERROR(INDEX(Работы!$G$2:$G$6000,MATCH($C439,Работы!$A$2:$A$6000,0))&amp;"",""))</f>
        <v/>
      </c>
      <c r="G439" s="4"/>
      <c r="H439" s="4"/>
      <c r="I439" s="5" t="str">
        <f>IF((LEFT($F439,3)="ДОК"),"",IF($H439="","",IFERROR(INDEX(Материалы!$B$2:$B$9000,MATCH($H439,Материалы!$M$2:$M$9000,0)),"")))</f>
        <v/>
      </c>
      <c r="J439" s="6">
        <f>IF(AND(LEFT($F439,3)="ДОК",$H439&lt;&gt;""),IFERROR(INDEX(Документация!$E$2:$E$57,MATCH($H439,Документация!$F$2:$F$57,0)),0),IFERROR(INDEX(Работы!$H$2:$H$6000,MATCH($C439,Работы!$A$2:$A$6000,0)),0))*(1-MEDIAN(0,N(ДисконтТендер),1))</f>
        <v>0</v>
      </c>
      <c r="K439" s="6">
        <f>IF(OR((LEFT($F439,3)="ДОК"),$H439=""),0,IFERROR(INDEX(Материалы!$H$2:$H$9000,MATCH($H439,Материалы!$M$2:$M$9000,0))*IF(INDEX(Материалы!$I$2:$I$9000,MATCH($H439,Материалы!$M$2:$M$9000,0))="USD",КурсUSD,IF(INDEX(Материалы!$I$2:$I$9000,MATCH($H439,Материалы!$M$2:$M$9000,0))="EUR",КурсEUR,1))*(1+IFERROR(INDEX(Работы!$I$2:$I$6000,MATCH($C439,Работы!$A$2:$A$6000,0))/100,0))*(1-MEDIAN(0,N(ДисконтТендер),1)),0))</f>
        <v>0</v>
      </c>
      <c r="L439" s="6">
        <f t="shared" si="37"/>
        <v>0</v>
      </c>
      <c r="M439" s="6">
        <f t="shared" si="38"/>
        <v>0</v>
      </c>
      <c r="N439" s="6">
        <f t="shared" si="39"/>
        <v>0</v>
      </c>
      <c r="O439" t="str">
        <f>IF($N439&gt;0,MAX($O$1:$O438)+1,"")</f>
        <v/>
      </c>
      <c r="P439" t="str">
        <f>IF($C439="","",IFERROR(INDEX(Работы!$D$2:$D$6000,MATCH($C439,Работы!$A$2:$A$6000,0)),""))</f>
        <v/>
      </c>
      <c r="Q439" t="str">
        <f t="shared" si="40"/>
        <v/>
      </c>
      <c r="R439" t="str">
        <f t="shared" si="41"/>
        <v/>
      </c>
      <c r="S439" t="str">
        <f>IF($P439="","",$P439&amp;" · "&amp;IFERROR(INDEX(Работы!$E$2:$E$6000,MATCH($C439,Работы!$A$2:$A$6000,0)),""))</f>
        <v/>
      </c>
    </row>
    <row r="440" spans="1:19" x14ac:dyDescent="0.3">
      <c r="A440" s="4"/>
      <c r="B440" s="4"/>
      <c r="C440" t="str">
        <f t="shared" si="36"/>
        <v/>
      </c>
      <c r="D440" s="5" t="str">
        <f>IF($C440="","",IF(AND(LEFT($F440,3)="ДОК",$H440&lt;&gt;""),IFERROR(INDEX(Документация!$G$2:$G$57,MATCH($H440,Документация!$F$2:$F$57,0)),"— вариант не найден —"),IFERROR(INDEX(Работы!$B$2:$B$6000,MATCH($C440,Работы!$A$2:$A$6000,0)),"— нет такого кода —")))</f>
        <v/>
      </c>
      <c r="E440" t="str">
        <f>IF($C440="","",IF(AND(LEFT($F440,3)="ДОК",$H440&lt;&gt;""),IFERROR(INDEX(Документация!$D$2:$D$57,MATCH($H440,Документация!$F$2:$F$57,0)),""),IFERROR(INDEX(Работы!$C$2:$C$6000,MATCH($C440,Работы!$A$2:$A$6000,0)),"")))</f>
        <v/>
      </c>
      <c r="F440" t="str">
        <f>IF($C440="","",IFERROR(INDEX(Работы!$G$2:$G$6000,MATCH($C440,Работы!$A$2:$A$6000,0))&amp;"",""))</f>
        <v/>
      </c>
      <c r="G440" s="4"/>
      <c r="H440" s="4"/>
      <c r="I440" s="5" t="str">
        <f>IF((LEFT($F440,3)="ДОК"),"",IF($H440="","",IFERROR(INDEX(Материалы!$B$2:$B$9000,MATCH($H440,Материалы!$M$2:$M$9000,0)),"")))</f>
        <v/>
      </c>
      <c r="J440" s="6">
        <f>IF(AND(LEFT($F440,3)="ДОК",$H440&lt;&gt;""),IFERROR(INDEX(Документация!$E$2:$E$57,MATCH($H440,Документация!$F$2:$F$57,0)),0),IFERROR(INDEX(Работы!$H$2:$H$6000,MATCH($C440,Работы!$A$2:$A$6000,0)),0))*(1-MEDIAN(0,N(ДисконтТендер),1))</f>
        <v>0</v>
      </c>
      <c r="K440" s="6">
        <f>IF(OR((LEFT($F440,3)="ДОК"),$H440=""),0,IFERROR(INDEX(Материалы!$H$2:$H$9000,MATCH($H440,Материалы!$M$2:$M$9000,0))*IF(INDEX(Материалы!$I$2:$I$9000,MATCH($H440,Материалы!$M$2:$M$9000,0))="USD",КурсUSD,IF(INDEX(Материалы!$I$2:$I$9000,MATCH($H440,Материалы!$M$2:$M$9000,0))="EUR",КурсEUR,1))*(1+IFERROR(INDEX(Работы!$I$2:$I$6000,MATCH($C440,Работы!$A$2:$A$6000,0))/100,0))*(1-MEDIAN(0,N(ДисконтТендер),1)),0))</f>
        <v>0</v>
      </c>
      <c r="L440" s="6">
        <f t="shared" si="37"/>
        <v>0</v>
      </c>
      <c r="M440" s="6">
        <f t="shared" si="38"/>
        <v>0</v>
      </c>
      <c r="N440" s="6">
        <f t="shared" si="39"/>
        <v>0</v>
      </c>
      <c r="O440" t="str">
        <f>IF($N440&gt;0,MAX($O$1:$O439)+1,"")</f>
        <v/>
      </c>
      <c r="P440" t="str">
        <f>IF($C440="","",IFERROR(INDEX(Работы!$D$2:$D$6000,MATCH($C440,Работы!$A$2:$A$6000,0)),""))</f>
        <v/>
      </c>
      <c r="Q440" t="str">
        <f t="shared" si="40"/>
        <v/>
      </c>
      <c r="R440" t="str">
        <f t="shared" si="41"/>
        <v/>
      </c>
      <c r="S440" t="str">
        <f>IF($P440="","",$P440&amp;" · "&amp;IFERROR(INDEX(Работы!$E$2:$E$6000,MATCH($C440,Работы!$A$2:$A$6000,0)),""))</f>
        <v/>
      </c>
    </row>
    <row r="441" spans="1:19" x14ac:dyDescent="0.3">
      <c r="A441" s="4"/>
      <c r="B441" s="4"/>
      <c r="C441" t="str">
        <f t="shared" si="36"/>
        <v/>
      </c>
      <c r="D441" s="5" t="str">
        <f>IF($C441="","",IF(AND(LEFT($F441,3)="ДОК",$H441&lt;&gt;""),IFERROR(INDEX(Документация!$G$2:$G$57,MATCH($H441,Документация!$F$2:$F$57,0)),"— вариант не найден —"),IFERROR(INDEX(Работы!$B$2:$B$6000,MATCH($C441,Работы!$A$2:$A$6000,0)),"— нет такого кода —")))</f>
        <v/>
      </c>
      <c r="E441" t="str">
        <f>IF($C441="","",IF(AND(LEFT($F441,3)="ДОК",$H441&lt;&gt;""),IFERROR(INDEX(Документация!$D$2:$D$57,MATCH($H441,Документация!$F$2:$F$57,0)),""),IFERROR(INDEX(Работы!$C$2:$C$6000,MATCH($C441,Работы!$A$2:$A$6000,0)),"")))</f>
        <v/>
      </c>
      <c r="F441" t="str">
        <f>IF($C441="","",IFERROR(INDEX(Работы!$G$2:$G$6000,MATCH($C441,Работы!$A$2:$A$6000,0))&amp;"",""))</f>
        <v/>
      </c>
      <c r="G441" s="4"/>
      <c r="H441" s="4"/>
      <c r="I441" s="5" t="str">
        <f>IF((LEFT($F441,3)="ДОК"),"",IF($H441="","",IFERROR(INDEX(Материалы!$B$2:$B$9000,MATCH($H441,Материалы!$M$2:$M$9000,0)),"")))</f>
        <v/>
      </c>
      <c r="J441" s="6">
        <f>IF(AND(LEFT($F441,3)="ДОК",$H441&lt;&gt;""),IFERROR(INDEX(Документация!$E$2:$E$57,MATCH($H441,Документация!$F$2:$F$57,0)),0),IFERROR(INDEX(Работы!$H$2:$H$6000,MATCH($C441,Работы!$A$2:$A$6000,0)),0))*(1-MEDIAN(0,N(ДисконтТендер),1))</f>
        <v>0</v>
      </c>
      <c r="K441" s="6">
        <f>IF(OR((LEFT($F441,3)="ДОК"),$H441=""),0,IFERROR(INDEX(Материалы!$H$2:$H$9000,MATCH($H441,Материалы!$M$2:$M$9000,0))*IF(INDEX(Материалы!$I$2:$I$9000,MATCH($H441,Материалы!$M$2:$M$9000,0))="USD",КурсUSD,IF(INDEX(Материалы!$I$2:$I$9000,MATCH($H441,Материалы!$M$2:$M$9000,0))="EUR",КурсEUR,1))*(1+IFERROR(INDEX(Работы!$I$2:$I$6000,MATCH($C441,Работы!$A$2:$A$6000,0))/100,0))*(1-MEDIAN(0,N(ДисконтТендер),1)),0))</f>
        <v>0</v>
      </c>
      <c r="L441" s="6">
        <f t="shared" si="37"/>
        <v>0</v>
      </c>
      <c r="M441" s="6">
        <f t="shared" si="38"/>
        <v>0</v>
      </c>
      <c r="N441" s="6">
        <f t="shared" si="39"/>
        <v>0</v>
      </c>
      <c r="O441" t="str">
        <f>IF($N441&gt;0,MAX($O$1:$O440)+1,"")</f>
        <v/>
      </c>
      <c r="P441" t="str">
        <f>IF($C441="","",IFERROR(INDEX(Работы!$D$2:$D$6000,MATCH($C441,Работы!$A$2:$A$6000,0)),""))</f>
        <v/>
      </c>
      <c r="Q441" t="str">
        <f t="shared" si="40"/>
        <v/>
      </c>
      <c r="R441" t="str">
        <f t="shared" si="41"/>
        <v/>
      </c>
      <c r="S441" t="str">
        <f>IF($P441="","",$P441&amp;" · "&amp;IFERROR(INDEX(Работы!$E$2:$E$6000,MATCH($C441,Работы!$A$2:$A$6000,0)),""))</f>
        <v/>
      </c>
    </row>
    <row r="442" spans="1:19" x14ac:dyDescent="0.3">
      <c r="A442" s="4"/>
      <c r="B442" s="4"/>
      <c r="C442" t="str">
        <f t="shared" si="36"/>
        <v/>
      </c>
      <c r="D442" s="5" t="str">
        <f>IF($C442="","",IF(AND(LEFT($F442,3)="ДОК",$H442&lt;&gt;""),IFERROR(INDEX(Документация!$G$2:$G$57,MATCH($H442,Документация!$F$2:$F$57,0)),"— вариант не найден —"),IFERROR(INDEX(Работы!$B$2:$B$6000,MATCH($C442,Работы!$A$2:$A$6000,0)),"— нет такого кода —")))</f>
        <v/>
      </c>
      <c r="E442" t="str">
        <f>IF($C442="","",IF(AND(LEFT($F442,3)="ДОК",$H442&lt;&gt;""),IFERROR(INDEX(Документация!$D$2:$D$57,MATCH($H442,Документация!$F$2:$F$57,0)),""),IFERROR(INDEX(Работы!$C$2:$C$6000,MATCH($C442,Работы!$A$2:$A$6000,0)),"")))</f>
        <v/>
      </c>
      <c r="F442" t="str">
        <f>IF($C442="","",IFERROR(INDEX(Работы!$G$2:$G$6000,MATCH($C442,Работы!$A$2:$A$6000,0))&amp;"",""))</f>
        <v/>
      </c>
      <c r="G442" s="4"/>
      <c r="H442" s="4"/>
      <c r="I442" s="5" t="str">
        <f>IF((LEFT($F442,3)="ДОК"),"",IF($H442="","",IFERROR(INDEX(Материалы!$B$2:$B$9000,MATCH($H442,Материалы!$M$2:$M$9000,0)),"")))</f>
        <v/>
      </c>
      <c r="J442" s="6">
        <f>IF(AND(LEFT($F442,3)="ДОК",$H442&lt;&gt;""),IFERROR(INDEX(Документация!$E$2:$E$57,MATCH($H442,Документация!$F$2:$F$57,0)),0),IFERROR(INDEX(Работы!$H$2:$H$6000,MATCH($C442,Работы!$A$2:$A$6000,0)),0))*(1-MEDIAN(0,N(ДисконтТендер),1))</f>
        <v>0</v>
      </c>
      <c r="K442" s="6">
        <f>IF(OR((LEFT($F442,3)="ДОК"),$H442=""),0,IFERROR(INDEX(Материалы!$H$2:$H$9000,MATCH($H442,Материалы!$M$2:$M$9000,0))*IF(INDEX(Материалы!$I$2:$I$9000,MATCH($H442,Материалы!$M$2:$M$9000,0))="USD",КурсUSD,IF(INDEX(Материалы!$I$2:$I$9000,MATCH($H442,Материалы!$M$2:$M$9000,0))="EUR",КурсEUR,1))*(1+IFERROR(INDEX(Работы!$I$2:$I$6000,MATCH($C442,Работы!$A$2:$A$6000,0))/100,0))*(1-MEDIAN(0,N(ДисконтТендер),1)),0))</f>
        <v>0</v>
      </c>
      <c r="L442" s="6">
        <f t="shared" si="37"/>
        <v>0</v>
      </c>
      <c r="M442" s="6">
        <f t="shared" si="38"/>
        <v>0</v>
      </c>
      <c r="N442" s="6">
        <f t="shared" si="39"/>
        <v>0</v>
      </c>
      <c r="O442" t="str">
        <f>IF($N442&gt;0,MAX($O$1:$O441)+1,"")</f>
        <v/>
      </c>
      <c r="P442" t="str">
        <f>IF($C442="","",IFERROR(INDEX(Работы!$D$2:$D$6000,MATCH($C442,Работы!$A$2:$A$6000,0)),""))</f>
        <v/>
      </c>
      <c r="Q442" t="str">
        <f t="shared" si="40"/>
        <v/>
      </c>
      <c r="R442" t="str">
        <f t="shared" si="41"/>
        <v/>
      </c>
      <c r="S442" t="str">
        <f>IF($P442="","",$P442&amp;" · "&amp;IFERROR(INDEX(Работы!$E$2:$E$6000,MATCH($C442,Работы!$A$2:$A$6000,0)),""))</f>
        <v/>
      </c>
    </row>
    <row r="443" spans="1:19" x14ac:dyDescent="0.3">
      <c r="A443" s="4"/>
      <c r="B443" s="4"/>
      <c r="C443" t="str">
        <f t="shared" si="36"/>
        <v/>
      </c>
      <c r="D443" s="5" t="str">
        <f>IF($C443="","",IF(AND(LEFT($F443,3)="ДОК",$H443&lt;&gt;""),IFERROR(INDEX(Документация!$G$2:$G$57,MATCH($H443,Документация!$F$2:$F$57,0)),"— вариант не найден —"),IFERROR(INDEX(Работы!$B$2:$B$6000,MATCH($C443,Работы!$A$2:$A$6000,0)),"— нет такого кода —")))</f>
        <v/>
      </c>
      <c r="E443" t="str">
        <f>IF($C443="","",IF(AND(LEFT($F443,3)="ДОК",$H443&lt;&gt;""),IFERROR(INDEX(Документация!$D$2:$D$57,MATCH($H443,Документация!$F$2:$F$57,0)),""),IFERROR(INDEX(Работы!$C$2:$C$6000,MATCH($C443,Работы!$A$2:$A$6000,0)),"")))</f>
        <v/>
      </c>
      <c r="F443" t="str">
        <f>IF($C443="","",IFERROR(INDEX(Работы!$G$2:$G$6000,MATCH($C443,Работы!$A$2:$A$6000,0))&amp;"",""))</f>
        <v/>
      </c>
      <c r="G443" s="4"/>
      <c r="H443" s="4"/>
      <c r="I443" s="5" t="str">
        <f>IF((LEFT($F443,3)="ДОК"),"",IF($H443="","",IFERROR(INDEX(Материалы!$B$2:$B$9000,MATCH($H443,Материалы!$M$2:$M$9000,0)),"")))</f>
        <v/>
      </c>
      <c r="J443" s="6">
        <f>IF(AND(LEFT($F443,3)="ДОК",$H443&lt;&gt;""),IFERROR(INDEX(Документация!$E$2:$E$57,MATCH($H443,Документация!$F$2:$F$57,0)),0),IFERROR(INDEX(Работы!$H$2:$H$6000,MATCH($C443,Работы!$A$2:$A$6000,0)),0))*(1-MEDIAN(0,N(ДисконтТендер),1))</f>
        <v>0</v>
      </c>
      <c r="K443" s="6">
        <f>IF(OR((LEFT($F443,3)="ДОК"),$H443=""),0,IFERROR(INDEX(Материалы!$H$2:$H$9000,MATCH($H443,Материалы!$M$2:$M$9000,0))*IF(INDEX(Материалы!$I$2:$I$9000,MATCH($H443,Материалы!$M$2:$M$9000,0))="USD",КурсUSD,IF(INDEX(Материалы!$I$2:$I$9000,MATCH($H443,Материалы!$M$2:$M$9000,0))="EUR",КурсEUR,1))*(1+IFERROR(INDEX(Работы!$I$2:$I$6000,MATCH($C443,Работы!$A$2:$A$6000,0))/100,0))*(1-MEDIAN(0,N(ДисконтТендер),1)),0))</f>
        <v>0</v>
      </c>
      <c r="L443" s="6">
        <f t="shared" si="37"/>
        <v>0</v>
      </c>
      <c r="M443" s="6">
        <f t="shared" si="38"/>
        <v>0</v>
      </c>
      <c r="N443" s="6">
        <f t="shared" si="39"/>
        <v>0</v>
      </c>
      <c r="O443" t="str">
        <f>IF($N443&gt;0,MAX($O$1:$O442)+1,"")</f>
        <v/>
      </c>
      <c r="P443" t="str">
        <f>IF($C443="","",IFERROR(INDEX(Работы!$D$2:$D$6000,MATCH($C443,Работы!$A$2:$A$6000,0)),""))</f>
        <v/>
      </c>
      <c r="Q443" t="str">
        <f t="shared" si="40"/>
        <v/>
      </c>
      <c r="R443" t="str">
        <f t="shared" si="41"/>
        <v/>
      </c>
      <c r="S443" t="str">
        <f>IF($P443="","",$P443&amp;" · "&amp;IFERROR(INDEX(Работы!$E$2:$E$6000,MATCH($C443,Работы!$A$2:$A$6000,0)),""))</f>
        <v/>
      </c>
    </row>
    <row r="444" spans="1:19" x14ac:dyDescent="0.3">
      <c r="A444" s="4"/>
      <c r="B444" s="4"/>
      <c r="C444" t="str">
        <f t="shared" si="36"/>
        <v/>
      </c>
      <c r="D444" s="5" t="str">
        <f>IF($C444="","",IF(AND(LEFT($F444,3)="ДОК",$H444&lt;&gt;""),IFERROR(INDEX(Документация!$G$2:$G$57,MATCH($H444,Документация!$F$2:$F$57,0)),"— вариант не найден —"),IFERROR(INDEX(Работы!$B$2:$B$6000,MATCH($C444,Работы!$A$2:$A$6000,0)),"— нет такого кода —")))</f>
        <v/>
      </c>
      <c r="E444" t="str">
        <f>IF($C444="","",IF(AND(LEFT($F444,3)="ДОК",$H444&lt;&gt;""),IFERROR(INDEX(Документация!$D$2:$D$57,MATCH($H444,Документация!$F$2:$F$57,0)),""),IFERROR(INDEX(Работы!$C$2:$C$6000,MATCH($C444,Работы!$A$2:$A$6000,0)),"")))</f>
        <v/>
      </c>
      <c r="F444" t="str">
        <f>IF($C444="","",IFERROR(INDEX(Работы!$G$2:$G$6000,MATCH($C444,Работы!$A$2:$A$6000,0))&amp;"",""))</f>
        <v/>
      </c>
      <c r="G444" s="4"/>
      <c r="H444" s="4"/>
      <c r="I444" s="5" t="str">
        <f>IF((LEFT($F444,3)="ДОК"),"",IF($H444="","",IFERROR(INDEX(Материалы!$B$2:$B$9000,MATCH($H444,Материалы!$M$2:$M$9000,0)),"")))</f>
        <v/>
      </c>
      <c r="J444" s="6">
        <f>IF(AND(LEFT($F444,3)="ДОК",$H444&lt;&gt;""),IFERROR(INDEX(Документация!$E$2:$E$57,MATCH($H444,Документация!$F$2:$F$57,0)),0),IFERROR(INDEX(Работы!$H$2:$H$6000,MATCH($C444,Работы!$A$2:$A$6000,0)),0))*(1-MEDIAN(0,N(ДисконтТендер),1))</f>
        <v>0</v>
      </c>
      <c r="K444" s="6">
        <f>IF(OR((LEFT($F444,3)="ДОК"),$H444=""),0,IFERROR(INDEX(Материалы!$H$2:$H$9000,MATCH($H444,Материалы!$M$2:$M$9000,0))*IF(INDEX(Материалы!$I$2:$I$9000,MATCH($H444,Материалы!$M$2:$M$9000,0))="USD",КурсUSD,IF(INDEX(Материалы!$I$2:$I$9000,MATCH($H444,Материалы!$M$2:$M$9000,0))="EUR",КурсEUR,1))*(1+IFERROR(INDEX(Работы!$I$2:$I$6000,MATCH($C444,Работы!$A$2:$A$6000,0))/100,0))*(1-MEDIAN(0,N(ДисконтТендер),1)),0))</f>
        <v>0</v>
      </c>
      <c r="L444" s="6">
        <f t="shared" si="37"/>
        <v>0</v>
      </c>
      <c r="M444" s="6">
        <f t="shared" si="38"/>
        <v>0</v>
      </c>
      <c r="N444" s="6">
        <f t="shared" si="39"/>
        <v>0</v>
      </c>
      <c r="O444" t="str">
        <f>IF($N444&gt;0,MAX($O$1:$O443)+1,"")</f>
        <v/>
      </c>
      <c r="P444" t="str">
        <f>IF($C444="","",IFERROR(INDEX(Работы!$D$2:$D$6000,MATCH($C444,Работы!$A$2:$A$6000,0)),""))</f>
        <v/>
      </c>
      <c r="Q444" t="str">
        <f t="shared" si="40"/>
        <v/>
      </c>
      <c r="R444" t="str">
        <f t="shared" si="41"/>
        <v/>
      </c>
      <c r="S444" t="str">
        <f>IF($P444="","",$P444&amp;" · "&amp;IFERROR(INDEX(Работы!$E$2:$E$6000,MATCH($C444,Работы!$A$2:$A$6000,0)),""))</f>
        <v/>
      </c>
    </row>
    <row r="445" spans="1:19" x14ac:dyDescent="0.3">
      <c r="A445" s="4"/>
      <c r="B445" s="4"/>
      <c r="C445" t="str">
        <f t="shared" si="36"/>
        <v/>
      </c>
      <c r="D445" s="5" t="str">
        <f>IF($C445="","",IF(AND(LEFT($F445,3)="ДОК",$H445&lt;&gt;""),IFERROR(INDEX(Документация!$G$2:$G$57,MATCH($H445,Документация!$F$2:$F$57,0)),"— вариант не найден —"),IFERROR(INDEX(Работы!$B$2:$B$6000,MATCH($C445,Работы!$A$2:$A$6000,0)),"— нет такого кода —")))</f>
        <v/>
      </c>
      <c r="E445" t="str">
        <f>IF($C445="","",IF(AND(LEFT($F445,3)="ДОК",$H445&lt;&gt;""),IFERROR(INDEX(Документация!$D$2:$D$57,MATCH($H445,Документация!$F$2:$F$57,0)),""),IFERROR(INDEX(Работы!$C$2:$C$6000,MATCH($C445,Работы!$A$2:$A$6000,0)),"")))</f>
        <v/>
      </c>
      <c r="F445" t="str">
        <f>IF($C445="","",IFERROR(INDEX(Работы!$G$2:$G$6000,MATCH($C445,Работы!$A$2:$A$6000,0))&amp;"",""))</f>
        <v/>
      </c>
      <c r="G445" s="4"/>
      <c r="H445" s="4"/>
      <c r="I445" s="5" t="str">
        <f>IF((LEFT($F445,3)="ДОК"),"",IF($H445="","",IFERROR(INDEX(Материалы!$B$2:$B$9000,MATCH($H445,Материалы!$M$2:$M$9000,0)),"")))</f>
        <v/>
      </c>
      <c r="J445" s="6">
        <f>IF(AND(LEFT($F445,3)="ДОК",$H445&lt;&gt;""),IFERROR(INDEX(Документация!$E$2:$E$57,MATCH($H445,Документация!$F$2:$F$57,0)),0),IFERROR(INDEX(Работы!$H$2:$H$6000,MATCH($C445,Работы!$A$2:$A$6000,0)),0))*(1-MEDIAN(0,N(ДисконтТендер),1))</f>
        <v>0</v>
      </c>
      <c r="K445" s="6">
        <f>IF(OR((LEFT($F445,3)="ДОК"),$H445=""),0,IFERROR(INDEX(Материалы!$H$2:$H$9000,MATCH($H445,Материалы!$M$2:$M$9000,0))*IF(INDEX(Материалы!$I$2:$I$9000,MATCH($H445,Материалы!$M$2:$M$9000,0))="USD",КурсUSD,IF(INDEX(Материалы!$I$2:$I$9000,MATCH($H445,Материалы!$M$2:$M$9000,0))="EUR",КурсEUR,1))*(1+IFERROR(INDEX(Работы!$I$2:$I$6000,MATCH($C445,Работы!$A$2:$A$6000,0))/100,0))*(1-MEDIAN(0,N(ДисконтТендер),1)),0))</f>
        <v>0</v>
      </c>
      <c r="L445" s="6">
        <f t="shared" si="37"/>
        <v>0</v>
      </c>
      <c r="M445" s="6">
        <f t="shared" si="38"/>
        <v>0</v>
      </c>
      <c r="N445" s="6">
        <f t="shared" si="39"/>
        <v>0</v>
      </c>
      <c r="O445" t="str">
        <f>IF($N445&gt;0,MAX($O$1:$O444)+1,"")</f>
        <v/>
      </c>
      <c r="P445" t="str">
        <f>IF($C445="","",IFERROR(INDEX(Работы!$D$2:$D$6000,MATCH($C445,Работы!$A$2:$A$6000,0)),""))</f>
        <v/>
      </c>
      <c r="Q445" t="str">
        <f t="shared" si="40"/>
        <v/>
      </c>
      <c r="R445" t="str">
        <f t="shared" si="41"/>
        <v/>
      </c>
      <c r="S445" t="str">
        <f>IF($P445="","",$P445&amp;" · "&amp;IFERROR(INDEX(Работы!$E$2:$E$6000,MATCH($C445,Работы!$A$2:$A$6000,0)),""))</f>
        <v/>
      </c>
    </row>
    <row r="446" spans="1:19" x14ac:dyDescent="0.3">
      <c r="A446" s="4"/>
      <c r="B446" s="4"/>
      <c r="C446" t="str">
        <f t="shared" si="36"/>
        <v/>
      </c>
      <c r="D446" s="5" t="str">
        <f>IF($C446="","",IF(AND(LEFT($F446,3)="ДОК",$H446&lt;&gt;""),IFERROR(INDEX(Документация!$G$2:$G$57,MATCH($H446,Документация!$F$2:$F$57,0)),"— вариант не найден —"),IFERROR(INDEX(Работы!$B$2:$B$6000,MATCH($C446,Работы!$A$2:$A$6000,0)),"— нет такого кода —")))</f>
        <v/>
      </c>
      <c r="E446" t="str">
        <f>IF($C446="","",IF(AND(LEFT($F446,3)="ДОК",$H446&lt;&gt;""),IFERROR(INDEX(Документация!$D$2:$D$57,MATCH($H446,Документация!$F$2:$F$57,0)),""),IFERROR(INDEX(Работы!$C$2:$C$6000,MATCH($C446,Работы!$A$2:$A$6000,0)),"")))</f>
        <v/>
      </c>
      <c r="F446" t="str">
        <f>IF($C446="","",IFERROR(INDEX(Работы!$G$2:$G$6000,MATCH($C446,Работы!$A$2:$A$6000,0))&amp;"",""))</f>
        <v/>
      </c>
      <c r="G446" s="4"/>
      <c r="H446" s="4"/>
      <c r="I446" s="5" t="str">
        <f>IF((LEFT($F446,3)="ДОК"),"",IF($H446="","",IFERROR(INDEX(Материалы!$B$2:$B$9000,MATCH($H446,Материалы!$M$2:$M$9000,0)),"")))</f>
        <v/>
      </c>
      <c r="J446" s="6">
        <f>IF(AND(LEFT($F446,3)="ДОК",$H446&lt;&gt;""),IFERROR(INDEX(Документация!$E$2:$E$57,MATCH($H446,Документация!$F$2:$F$57,0)),0),IFERROR(INDEX(Работы!$H$2:$H$6000,MATCH($C446,Работы!$A$2:$A$6000,0)),0))*(1-MEDIAN(0,N(ДисконтТендер),1))</f>
        <v>0</v>
      </c>
      <c r="K446" s="6">
        <f>IF(OR((LEFT($F446,3)="ДОК"),$H446=""),0,IFERROR(INDEX(Материалы!$H$2:$H$9000,MATCH($H446,Материалы!$M$2:$M$9000,0))*IF(INDEX(Материалы!$I$2:$I$9000,MATCH($H446,Материалы!$M$2:$M$9000,0))="USD",КурсUSD,IF(INDEX(Материалы!$I$2:$I$9000,MATCH($H446,Материалы!$M$2:$M$9000,0))="EUR",КурсEUR,1))*(1+IFERROR(INDEX(Работы!$I$2:$I$6000,MATCH($C446,Работы!$A$2:$A$6000,0))/100,0))*(1-MEDIAN(0,N(ДисконтТендер),1)),0))</f>
        <v>0</v>
      </c>
      <c r="L446" s="6">
        <f t="shared" si="37"/>
        <v>0</v>
      </c>
      <c r="M446" s="6">
        <f t="shared" si="38"/>
        <v>0</v>
      </c>
      <c r="N446" s="6">
        <f t="shared" si="39"/>
        <v>0</v>
      </c>
      <c r="O446" t="str">
        <f>IF($N446&gt;0,MAX($O$1:$O445)+1,"")</f>
        <v/>
      </c>
      <c r="P446" t="str">
        <f>IF($C446="","",IFERROR(INDEX(Работы!$D$2:$D$6000,MATCH($C446,Работы!$A$2:$A$6000,0)),""))</f>
        <v/>
      </c>
      <c r="Q446" t="str">
        <f t="shared" si="40"/>
        <v/>
      </c>
      <c r="R446" t="str">
        <f t="shared" si="41"/>
        <v/>
      </c>
      <c r="S446" t="str">
        <f>IF($P446="","",$P446&amp;" · "&amp;IFERROR(INDEX(Работы!$E$2:$E$6000,MATCH($C446,Работы!$A$2:$A$6000,0)),""))</f>
        <v/>
      </c>
    </row>
    <row r="447" spans="1:19" x14ac:dyDescent="0.3">
      <c r="A447" s="4"/>
      <c r="B447" s="4"/>
      <c r="C447" t="str">
        <f t="shared" si="36"/>
        <v/>
      </c>
      <c r="D447" s="5" t="str">
        <f>IF($C447="","",IF(AND(LEFT($F447,3)="ДОК",$H447&lt;&gt;""),IFERROR(INDEX(Документация!$G$2:$G$57,MATCH($H447,Документация!$F$2:$F$57,0)),"— вариант не найден —"),IFERROR(INDEX(Работы!$B$2:$B$6000,MATCH($C447,Работы!$A$2:$A$6000,0)),"— нет такого кода —")))</f>
        <v/>
      </c>
      <c r="E447" t="str">
        <f>IF($C447="","",IF(AND(LEFT($F447,3)="ДОК",$H447&lt;&gt;""),IFERROR(INDEX(Документация!$D$2:$D$57,MATCH($H447,Документация!$F$2:$F$57,0)),""),IFERROR(INDEX(Работы!$C$2:$C$6000,MATCH($C447,Работы!$A$2:$A$6000,0)),"")))</f>
        <v/>
      </c>
      <c r="F447" t="str">
        <f>IF($C447="","",IFERROR(INDEX(Работы!$G$2:$G$6000,MATCH($C447,Работы!$A$2:$A$6000,0))&amp;"",""))</f>
        <v/>
      </c>
      <c r="G447" s="4"/>
      <c r="H447" s="4"/>
      <c r="I447" s="5" t="str">
        <f>IF((LEFT($F447,3)="ДОК"),"",IF($H447="","",IFERROR(INDEX(Материалы!$B$2:$B$9000,MATCH($H447,Материалы!$M$2:$M$9000,0)),"")))</f>
        <v/>
      </c>
      <c r="J447" s="6">
        <f>IF(AND(LEFT($F447,3)="ДОК",$H447&lt;&gt;""),IFERROR(INDEX(Документация!$E$2:$E$57,MATCH($H447,Документация!$F$2:$F$57,0)),0),IFERROR(INDEX(Работы!$H$2:$H$6000,MATCH($C447,Работы!$A$2:$A$6000,0)),0))*(1-MEDIAN(0,N(ДисконтТендер),1))</f>
        <v>0</v>
      </c>
      <c r="K447" s="6">
        <f>IF(OR((LEFT($F447,3)="ДОК"),$H447=""),0,IFERROR(INDEX(Материалы!$H$2:$H$9000,MATCH($H447,Материалы!$M$2:$M$9000,0))*IF(INDEX(Материалы!$I$2:$I$9000,MATCH($H447,Материалы!$M$2:$M$9000,0))="USD",КурсUSD,IF(INDEX(Материалы!$I$2:$I$9000,MATCH($H447,Материалы!$M$2:$M$9000,0))="EUR",КурсEUR,1))*(1+IFERROR(INDEX(Работы!$I$2:$I$6000,MATCH($C447,Работы!$A$2:$A$6000,0))/100,0))*(1-MEDIAN(0,N(ДисконтТендер),1)),0))</f>
        <v>0</v>
      </c>
      <c r="L447" s="6">
        <f t="shared" si="37"/>
        <v>0</v>
      </c>
      <c r="M447" s="6">
        <f t="shared" si="38"/>
        <v>0</v>
      </c>
      <c r="N447" s="6">
        <f t="shared" si="39"/>
        <v>0</v>
      </c>
      <c r="O447" t="str">
        <f>IF($N447&gt;0,MAX($O$1:$O446)+1,"")</f>
        <v/>
      </c>
      <c r="P447" t="str">
        <f>IF($C447="","",IFERROR(INDEX(Работы!$D$2:$D$6000,MATCH($C447,Работы!$A$2:$A$6000,0)),""))</f>
        <v/>
      </c>
      <c r="Q447" t="str">
        <f t="shared" si="40"/>
        <v/>
      </c>
      <c r="R447" t="str">
        <f t="shared" si="41"/>
        <v/>
      </c>
      <c r="S447" t="str">
        <f>IF($P447="","",$P447&amp;" · "&amp;IFERROR(INDEX(Работы!$E$2:$E$6000,MATCH($C447,Работы!$A$2:$A$6000,0)),""))</f>
        <v/>
      </c>
    </row>
    <row r="448" spans="1:19" x14ac:dyDescent="0.3">
      <c r="A448" s="4"/>
      <c r="B448" s="4"/>
      <c r="C448" t="str">
        <f t="shared" si="36"/>
        <v/>
      </c>
      <c r="D448" s="5" t="str">
        <f>IF($C448="","",IF(AND(LEFT($F448,3)="ДОК",$H448&lt;&gt;""),IFERROR(INDEX(Документация!$G$2:$G$57,MATCH($H448,Документация!$F$2:$F$57,0)),"— вариант не найден —"),IFERROR(INDEX(Работы!$B$2:$B$6000,MATCH($C448,Работы!$A$2:$A$6000,0)),"— нет такого кода —")))</f>
        <v/>
      </c>
      <c r="E448" t="str">
        <f>IF($C448="","",IF(AND(LEFT($F448,3)="ДОК",$H448&lt;&gt;""),IFERROR(INDEX(Документация!$D$2:$D$57,MATCH($H448,Документация!$F$2:$F$57,0)),""),IFERROR(INDEX(Работы!$C$2:$C$6000,MATCH($C448,Работы!$A$2:$A$6000,0)),"")))</f>
        <v/>
      </c>
      <c r="F448" t="str">
        <f>IF($C448="","",IFERROR(INDEX(Работы!$G$2:$G$6000,MATCH($C448,Работы!$A$2:$A$6000,0))&amp;"",""))</f>
        <v/>
      </c>
      <c r="G448" s="4"/>
      <c r="H448" s="4"/>
      <c r="I448" s="5" t="str">
        <f>IF((LEFT($F448,3)="ДОК"),"",IF($H448="","",IFERROR(INDEX(Материалы!$B$2:$B$9000,MATCH($H448,Материалы!$M$2:$M$9000,0)),"")))</f>
        <v/>
      </c>
      <c r="J448" s="6">
        <f>IF(AND(LEFT($F448,3)="ДОК",$H448&lt;&gt;""),IFERROR(INDEX(Документация!$E$2:$E$57,MATCH($H448,Документация!$F$2:$F$57,0)),0),IFERROR(INDEX(Работы!$H$2:$H$6000,MATCH($C448,Работы!$A$2:$A$6000,0)),0))*(1-MEDIAN(0,N(ДисконтТендер),1))</f>
        <v>0</v>
      </c>
      <c r="K448" s="6">
        <f>IF(OR((LEFT($F448,3)="ДОК"),$H448=""),0,IFERROR(INDEX(Материалы!$H$2:$H$9000,MATCH($H448,Материалы!$M$2:$M$9000,0))*IF(INDEX(Материалы!$I$2:$I$9000,MATCH($H448,Материалы!$M$2:$M$9000,0))="USD",КурсUSD,IF(INDEX(Материалы!$I$2:$I$9000,MATCH($H448,Материалы!$M$2:$M$9000,0))="EUR",КурсEUR,1))*(1+IFERROR(INDEX(Работы!$I$2:$I$6000,MATCH($C448,Работы!$A$2:$A$6000,0))/100,0))*(1-MEDIAN(0,N(ДисконтТендер),1)),0))</f>
        <v>0</v>
      </c>
      <c r="L448" s="6">
        <f t="shared" si="37"/>
        <v>0</v>
      </c>
      <c r="M448" s="6">
        <f t="shared" si="38"/>
        <v>0</v>
      </c>
      <c r="N448" s="6">
        <f t="shared" si="39"/>
        <v>0</v>
      </c>
      <c r="O448" t="str">
        <f>IF($N448&gt;0,MAX($O$1:$O447)+1,"")</f>
        <v/>
      </c>
      <c r="P448" t="str">
        <f>IF($C448="","",IFERROR(INDEX(Работы!$D$2:$D$6000,MATCH($C448,Работы!$A$2:$A$6000,0)),""))</f>
        <v/>
      </c>
      <c r="Q448" t="str">
        <f t="shared" si="40"/>
        <v/>
      </c>
      <c r="R448" t="str">
        <f t="shared" si="41"/>
        <v/>
      </c>
      <c r="S448" t="str">
        <f>IF($P448="","",$P448&amp;" · "&amp;IFERROR(INDEX(Работы!$E$2:$E$6000,MATCH($C448,Работы!$A$2:$A$6000,0)),""))</f>
        <v/>
      </c>
    </row>
    <row r="449" spans="1:19" x14ac:dyDescent="0.3">
      <c r="A449" s="4"/>
      <c r="B449" s="4"/>
      <c r="C449" t="str">
        <f t="shared" si="36"/>
        <v/>
      </c>
      <c r="D449" s="5" t="str">
        <f>IF($C449="","",IF(AND(LEFT($F449,3)="ДОК",$H449&lt;&gt;""),IFERROR(INDEX(Документация!$G$2:$G$57,MATCH($H449,Документация!$F$2:$F$57,0)),"— вариант не найден —"),IFERROR(INDEX(Работы!$B$2:$B$6000,MATCH($C449,Работы!$A$2:$A$6000,0)),"— нет такого кода —")))</f>
        <v/>
      </c>
      <c r="E449" t="str">
        <f>IF($C449="","",IF(AND(LEFT($F449,3)="ДОК",$H449&lt;&gt;""),IFERROR(INDEX(Документация!$D$2:$D$57,MATCH($H449,Документация!$F$2:$F$57,0)),""),IFERROR(INDEX(Работы!$C$2:$C$6000,MATCH($C449,Работы!$A$2:$A$6000,0)),"")))</f>
        <v/>
      </c>
      <c r="F449" t="str">
        <f>IF($C449="","",IFERROR(INDEX(Работы!$G$2:$G$6000,MATCH($C449,Работы!$A$2:$A$6000,0))&amp;"",""))</f>
        <v/>
      </c>
      <c r="G449" s="4"/>
      <c r="H449" s="4"/>
      <c r="I449" s="5" t="str">
        <f>IF((LEFT($F449,3)="ДОК"),"",IF($H449="","",IFERROR(INDEX(Материалы!$B$2:$B$9000,MATCH($H449,Материалы!$M$2:$M$9000,0)),"")))</f>
        <v/>
      </c>
      <c r="J449" s="6">
        <f>IF(AND(LEFT($F449,3)="ДОК",$H449&lt;&gt;""),IFERROR(INDEX(Документация!$E$2:$E$57,MATCH($H449,Документация!$F$2:$F$57,0)),0),IFERROR(INDEX(Работы!$H$2:$H$6000,MATCH($C449,Работы!$A$2:$A$6000,0)),0))*(1-MEDIAN(0,N(ДисконтТендер),1))</f>
        <v>0</v>
      </c>
      <c r="K449" s="6">
        <f>IF(OR((LEFT($F449,3)="ДОК"),$H449=""),0,IFERROR(INDEX(Материалы!$H$2:$H$9000,MATCH($H449,Материалы!$M$2:$M$9000,0))*IF(INDEX(Материалы!$I$2:$I$9000,MATCH($H449,Материалы!$M$2:$M$9000,0))="USD",КурсUSD,IF(INDEX(Материалы!$I$2:$I$9000,MATCH($H449,Материалы!$M$2:$M$9000,0))="EUR",КурсEUR,1))*(1+IFERROR(INDEX(Работы!$I$2:$I$6000,MATCH($C449,Работы!$A$2:$A$6000,0))/100,0))*(1-MEDIAN(0,N(ДисконтТендер),1)),0))</f>
        <v>0</v>
      </c>
      <c r="L449" s="6">
        <f t="shared" si="37"/>
        <v>0</v>
      </c>
      <c r="M449" s="6">
        <f t="shared" si="38"/>
        <v>0</v>
      </c>
      <c r="N449" s="6">
        <f t="shared" si="39"/>
        <v>0</v>
      </c>
      <c r="O449" t="str">
        <f>IF($N449&gt;0,MAX($O$1:$O448)+1,"")</f>
        <v/>
      </c>
      <c r="P449" t="str">
        <f>IF($C449="","",IFERROR(INDEX(Работы!$D$2:$D$6000,MATCH($C449,Работы!$A$2:$A$6000,0)),""))</f>
        <v/>
      </c>
      <c r="Q449" t="str">
        <f t="shared" si="40"/>
        <v/>
      </c>
      <c r="R449" t="str">
        <f t="shared" si="41"/>
        <v/>
      </c>
      <c r="S449" t="str">
        <f>IF($P449="","",$P449&amp;" · "&amp;IFERROR(INDEX(Работы!$E$2:$E$6000,MATCH($C449,Работы!$A$2:$A$6000,0)),""))</f>
        <v/>
      </c>
    </row>
    <row r="450" spans="1:19" x14ac:dyDescent="0.3">
      <c r="A450" s="4"/>
      <c r="B450" s="4"/>
      <c r="C450" t="str">
        <f t="shared" ref="C450:C501" si="42">IF($B450="","",IFERROR(LEFT($B450,FIND(" — ",$B450)-1),$B450))</f>
        <v/>
      </c>
      <c r="D450" s="5" t="str">
        <f>IF($C450="","",IF(AND(LEFT($F450,3)="ДОК",$H450&lt;&gt;""),IFERROR(INDEX(Документация!$G$2:$G$57,MATCH($H450,Документация!$F$2:$F$57,0)),"— вариант не найден —"),IFERROR(INDEX(Работы!$B$2:$B$6000,MATCH($C450,Работы!$A$2:$A$6000,0)),"— нет такого кода —")))</f>
        <v/>
      </c>
      <c r="E450" t="str">
        <f>IF($C450="","",IF(AND(LEFT($F450,3)="ДОК",$H450&lt;&gt;""),IFERROR(INDEX(Документация!$D$2:$D$57,MATCH($H450,Документация!$F$2:$F$57,0)),""),IFERROR(INDEX(Работы!$C$2:$C$6000,MATCH($C450,Работы!$A$2:$A$6000,0)),"")))</f>
        <v/>
      </c>
      <c r="F450" t="str">
        <f>IF($C450="","",IFERROR(INDEX(Работы!$G$2:$G$6000,MATCH($C450,Работы!$A$2:$A$6000,0))&amp;"",""))</f>
        <v/>
      </c>
      <c r="G450" s="4"/>
      <c r="H450" s="4"/>
      <c r="I450" s="5" t="str">
        <f>IF((LEFT($F450,3)="ДОК"),"",IF($H450="","",IFERROR(INDEX(Материалы!$B$2:$B$9000,MATCH($H450,Материалы!$M$2:$M$9000,0)),"")))</f>
        <v/>
      </c>
      <c r="J450" s="6">
        <f>IF(AND(LEFT($F450,3)="ДОК",$H450&lt;&gt;""),IFERROR(INDEX(Документация!$E$2:$E$57,MATCH($H450,Документация!$F$2:$F$57,0)),0),IFERROR(INDEX(Работы!$H$2:$H$6000,MATCH($C450,Работы!$A$2:$A$6000,0)),0))*(1-MEDIAN(0,N(ДисконтТендер),1))</f>
        <v>0</v>
      </c>
      <c r="K450" s="6">
        <f>IF(OR((LEFT($F450,3)="ДОК"),$H450=""),0,IFERROR(INDEX(Материалы!$H$2:$H$9000,MATCH($H450,Материалы!$M$2:$M$9000,0))*IF(INDEX(Материалы!$I$2:$I$9000,MATCH($H450,Материалы!$M$2:$M$9000,0))="USD",КурсUSD,IF(INDEX(Материалы!$I$2:$I$9000,MATCH($H450,Материалы!$M$2:$M$9000,0))="EUR",КурсEUR,1))*(1+IFERROR(INDEX(Работы!$I$2:$I$6000,MATCH($C450,Работы!$A$2:$A$6000,0))/100,0))*(1-MEDIAN(0,N(ДисконтТендер),1)),0))</f>
        <v>0</v>
      </c>
      <c r="L450" s="6">
        <f t="shared" ref="L450:L501" si="43">IF($G450&lt;&gt;"",ROUND($G450*$J450,2),0)</f>
        <v>0</v>
      </c>
      <c r="M450" s="6">
        <f t="shared" ref="M450:M501" si="44">IF($G450&lt;&gt;"",ROUND($G450*$K450,2),0)</f>
        <v>0</v>
      </c>
      <c r="N450" s="6">
        <f t="shared" ref="N450:N501" si="45">$L450+$M450</f>
        <v>0</v>
      </c>
      <c r="O450" t="str">
        <f>IF($N450&gt;0,MAX($O$1:$O449)+1,"")</f>
        <v/>
      </c>
      <c r="P450" t="str">
        <f>IF($C450="","",IFERROR(INDEX(Работы!$D$2:$D$6000,MATCH($C450,Работы!$A$2:$A$6000,0)),""))</f>
        <v/>
      </c>
      <c r="Q450" t="str">
        <f t="shared" ref="Q450:Q501" si="46">IF($O450="","",IF($O450=1,1,IF($P450&lt;&gt;IFERROR(INDEX($P$2:$P$501,MATCH($O450-1,$O$2:$O$501,0)),"~"),1,0)))</f>
        <v/>
      </c>
      <c r="R450" t="str">
        <f t="shared" ref="R450:R501" si="47">IF($O450="","",$O450+SUMIFS($Q$2:$Q$501,$O$2:$O$501,"&lt;="&amp;$O450))</f>
        <v/>
      </c>
      <c r="S450" t="str">
        <f>IF($P450="","",$P450&amp;" · "&amp;IFERROR(INDEX(Работы!$E$2:$E$6000,MATCH($C450,Работы!$A$2:$A$6000,0)),""))</f>
        <v/>
      </c>
    </row>
    <row r="451" spans="1:19" x14ac:dyDescent="0.3">
      <c r="A451" s="4"/>
      <c r="B451" s="4"/>
      <c r="C451" t="str">
        <f t="shared" si="42"/>
        <v/>
      </c>
      <c r="D451" s="5" t="str">
        <f>IF($C451="","",IF(AND(LEFT($F451,3)="ДОК",$H451&lt;&gt;""),IFERROR(INDEX(Документация!$G$2:$G$57,MATCH($H451,Документация!$F$2:$F$57,0)),"— вариант не найден —"),IFERROR(INDEX(Работы!$B$2:$B$6000,MATCH($C451,Работы!$A$2:$A$6000,0)),"— нет такого кода —")))</f>
        <v/>
      </c>
      <c r="E451" t="str">
        <f>IF($C451="","",IF(AND(LEFT($F451,3)="ДОК",$H451&lt;&gt;""),IFERROR(INDEX(Документация!$D$2:$D$57,MATCH($H451,Документация!$F$2:$F$57,0)),""),IFERROR(INDEX(Работы!$C$2:$C$6000,MATCH($C451,Работы!$A$2:$A$6000,0)),"")))</f>
        <v/>
      </c>
      <c r="F451" t="str">
        <f>IF($C451="","",IFERROR(INDEX(Работы!$G$2:$G$6000,MATCH($C451,Работы!$A$2:$A$6000,0))&amp;"",""))</f>
        <v/>
      </c>
      <c r="G451" s="4"/>
      <c r="H451" s="4"/>
      <c r="I451" s="5" t="str">
        <f>IF((LEFT($F451,3)="ДОК"),"",IF($H451="","",IFERROR(INDEX(Материалы!$B$2:$B$9000,MATCH($H451,Материалы!$M$2:$M$9000,0)),"")))</f>
        <v/>
      </c>
      <c r="J451" s="6">
        <f>IF(AND(LEFT($F451,3)="ДОК",$H451&lt;&gt;""),IFERROR(INDEX(Документация!$E$2:$E$57,MATCH($H451,Документация!$F$2:$F$57,0)),0),IFERROR(INDEX(Работы!$H$2:$H$6000,MATCH($C451,Работы!$A$2:$A$6000,0)),0))*(1-MEDIAN(0,N(ДисконтТендер),1))</f>
        <v>0</v>
      </c>
      <c r="K451" s="6">
        <f>IF(OR((LEFT($F451,3)="ДОК"),$H451=""),0,IFERROR(INDEX(Материалы!$H$2:$H$9000,MATCH($H451,Материалы!$M$2:$M$9000,0))*IF(INDEX(Материалы!$I$2:$I$9000,MATCH($H451,Материалы!$M$2:$M$9000,0))="USD",КурсUSD,IF(INDEX(Материалы!$I$2:$I$9000,MATCH($H451,Материалы!$M$2:$M$9000,0))="EUR",КурсEUR,1))*(1+IFERROR(INDEX(Работы!$I$2:$I$6000,MATCH($C451,Работы!$A$2:$A$6000,0))/100,0))*(1-MEDIAN(0,N(ДисконтТендер),1)),0))</f>
        <v>0</v>
      </c>
      <c r="L451" s="6">
        <f t="shared" si="43"/>
        <v>0</v>
      </c>
      <c r="M451" s="6">
        <f t="shared" si="44"/>
        <v>0</v>
      </c>
      <c r="N451" s="6">
        <f t="shared" si="45"/>
        <v>0</v>
      </c>
      <c r="O451" t="str">
        <f>IF($N451&gt;0,MAX($O$1:$O450)+1,"")</f>
        <v/>
      </c>
      <c r="P451" t="str">
        <f>IF($C451="","",IFERROR(INDEX(Работы!$D$2:$D$6000,MATCH($C451,Работы!$A$2:$A$6000,0)),""))</f>
        <v/>
      </c>
      <c r="Q451" t="str">
        <f t="shared" si="46"/>
        <v/>
      </c>
      <c r="R451" t="str">
        <f t="shared" si="47"/>
        <v/>
      </c>
      <c r="S451" t="str">
        <f>IF($P451="","",$P451&amp;" · "&amp;IFERROR(INDEX(Работы!$E$2:$E$6000,MATCH($C451,Работы!$A$2:$A$6000,0)),""))</f>
        <v/>
      </c>
    </row>
    <row r="452" spans="1:19" x14ac:dyDescent="0.3">
      <c r="A452" s="4"/>
      <c r="B452" s="4"/>
      <c r="C452" t="str">
        <f t="shared" si="42"/>
        <v/>
      </c>
      <c r="D452" s="5" t="str">
        <f>IF($C452="","",IF(AND(LEFT($F452,3)="ДОК",$H452&lt;&gt;""),IFERROR(INDEX(Документация!$G$2:$G$57,MATCH($H452,Документация!$F$2:$F$57,0)),"— вариант не найден —"),IFERROR(INDEX(Работы!$B$2:$B$6000,MATCH($C452,Работы!$A$2:$A$6000,0)),"— нет такого кода —")))</f>
        <v/>
      </c>
      <c r="E452" t="str">
        <f>IF($C452="","",IF(AND(LEFT($F452,3)="ДОК",$H452&lt;&gt;""),IFERROR(INDEX(Документация!$D$2:$D$57,MATCH($H452,Документация!$F$2:$F$57,0)),""),IFERROR(INDEX(Работы!$C$2:$C$6000,MATCH($C452,Работы!$A$2:$A$6000,0)),"")))</f>
        <v/>
      </c>
      <c r="F452" t="str">
        <f>IF($C452="","",IFERROR(INDEX(Работы!$G$2:$G$6000,MATCH($C452,Работы!$A$2:$A$6000,0))&amp;"",""))</f>
        <v/>
      </c>
      <c r="G452" s="4"/>
      <c r="H452" s="4"/>
      <c r="I452" s="5" t="str">
        <f>IF((LEFT($F452,3)="ДОК"),"",IF($H452="","",IFERROR(INDEX(Материалы!$B$2:$B$9000,MATCH($H452,Материалы!$M$2:$M$9000,0)),"")))</f>
        <v/>
      </c>
      <c r="J452" s="6">
        <f>IF(AND(LEFT($F452,3)="ДОК",$H452&lt;&gt;""),IFERROR(INDEX(Документация!$E$2:$E$57,MATCH($H452,Документация!$F$2:$F$57,0)),0),IFERROR(INDEX(Работы!$H$2:$H$6000,MATCH($C452,Работы!$A$2:$A$6000,0)),0))*(1-MEDIAN(0,N(ДисконтТендер),1))</f>
        <v>0</v>
      </c>
      <c r="K452" s="6">
        <f>IF(OR((LEFT($F452,3)="ДОК"),$H452=""),0,IFERROR(INDEX(Материалы!$H$2:$H$9000,MATCH($H452,Материалы!$M$2:$M$9000,0))*IF(INDEX(Материалы!$I$2:$I$9000,MATCH($H452,Материалы!$M$2:$M$9000,0))="USD",КурсUSD,IF(INDEX(Материалы!$I$2:$I$9000,MATCH($H452,Материалы!$M$2:$M$9000,0))="EUR",КурсEUR,1))*(1+IFERROR(INDEX(Работы!$I$2:$I$6000,MATCH($C452,Работы!$A$2:$A$6000,0))/100,0))*(1-MEDIAN(0,N(ДисконтТендер),1)),0))</f>
        <v>0</v>
      </c>
      <c r="L452" s="6">
        <f t="shared" si="43"/>
        <v>0</v>
      </c>
      <c r="M452" s="6">
        <f t="shared" si="44"/>
        <v>0</v>
      </c>
      <c r="N452" s="6">
        <f t="shared" si="45"/>
        <v>0</v>
      </c>
      <c r="O452" t="str">
        <f>IF($N452&gt;0,MAX($O$1:$O451)+1,"")</f>
        <v/>
      </c>
      <c r="P452" t="str">
        <f>IF($C452="","",IFERROR(INDEX(Работы!$D$2:$D$6000,MATCH($C452,Работы!$A$2:$A$6000,0)),""))</f>
        <v/>
      </c>
      <c r="Q452" t="str">
        <f t="shared" si="46"/>
        <v/>
      </c>
      <c r="R452" t="str">
        <f t="shared" si="47"/>
        <v/>
      </c>
      <c r="S452" t="str">
        <f>IF($P452="","",$P452&amp;" · "&amp;IFERROR(INDEX(Работы!$E$2:$E$6000,MATCH($C452,Работы!$A$2:$A$6000,0)),""))</f>
        <v/>
      </c>
    </row>
    <row r="453" spans="1:19" x14ac:dyDescent="0.3">
      <c r="A453" s="4"/>
      <c r="B453" s="4"/>
      <c r="C453" t="str">
        <f t="shared" si="42"/>
        <v/>
      </c>
      <c r="D453" s="5" t="str">
        <f>IF($C453="","",IF(AND(LEFT($F453,3)="ДОК",$H453&lt;&gt;""),IFERROR(INDEX(Документация!$G$2:$G$57,MATCH($H453,Документация!$F$2:$F$57,0)),"— вариант не найден —"),IFERROR(INDEX(Работы!$B$2:$B$6000,MATCH($C453,Работы!$A$2:$A$6000,0)),"— нет такого кода —")))</f>
        <v/>
      </c>
      <c r="E453" t="str">
        <f>IF($C453="","",IF(AND(LEFT($F453,3)="ДОК",$H453&lt;&gt;""),IFERROR(INDEX(Документация!$D$2:$D$57,MATCH($H453,Документация!$F$2:$F$57,0)),""),IFERROR(INDEX(Работы!$C$2:$C$6000,MATCH($C453,Работы!$A$2:$A$6000,0)),"")))</f>
        <v/>
      </c>
      <c r="F453" t="str">
        <f>IF($C453="","",IFERROR(INDEX(Работы!$G$2:$G$6000,MATCH($C453,Работы!$A$2:$A$6000,0))&amp;"",""))</f>
        <v/>
      </c>
      <c r="G453" s="4"/>
      <c r="H453" s="4"/>
      <c r="I453" s="5" t="str">
        <f>IF((LEFT($F453,3)="ДОК"),"",IF($H453="","",IFERROR(INDEX(Материалы!$B$2:$B$9000,MATCH($H453,Материалы!$M$2:$M$9000,0)),"")))</f>
        <v/>
      </c>
      <c r="J453" s="6">
        <f>IF(AND(LEFT($F453,3)="ДОК",$H453&lt;&gt;""),IFERROR(INDEX(Документация!$E$2:$E$57,MATCH($H453,Документация!$F$2:$F$57,0)),0),IFERROR(INDEX(Работы!$H$2:$H$6000,MATCH($C453,Работы!$A$2:$A$6000,0)),0))*(1-MEDIAN(0,N(ДисконтТендер),1))</f>
        <v>0</v>
      </c>
      <c r="K453" s="6">
        <f>IF(OR((LEFT($F453,3)="ДОК"),$H453=""),0,IFERROR(INDEX(Материалы!$H$2:$H$9000,MATCH($H453,Материалы!$M$2:$M$9000,0))*IF(INDEX(Материалы!$I$2:$I$9000,MATCH($H453,Материалы!$M$2:$M$9000,0))="USD",КурсUSD,IF(INDEX(Материалы!$I$2:$I$9000,MATCH($H453,Материалы!$M$2:$M$9000,0))="EUR",КурсEUR,1))*(1+IFERROR(INDEX(Работы!$I$2:$I$6000,MATCH($C453,Работы!$A$2:$A$6000,0))/100,0))*(1-MEDIAN(0,N(ДисконтТендер),1)),0))</f>
        <v>0</v>
      </c>
      <c r="L453" s="6">
        <f t="shared" si="43"/>
        <v>0</v>
      </c>
      <c r="M453" s="6">
        <f t="shared" si="44"/>
        <v>0</v>
      </c>
      <c r="N453" s="6">
        <f t="shared" si="45"/>
        <v>0</v>
      </c>
      <c r="O453" t="str">
        <f>IF($N453&gt;0,MAX($O$1:$O452)+1,"")</f>
        <v/>
      </c>
      <c r="P453" t="str">
        <f>IF($C453="","",IFERROR(INDEX(Работы!$D$2:$D$6000,MATCH($C453,Работы!$A$2:$A$6000,0)),""))</f>
        <v/>
      </c>
      <c r="Q453" t="str">
        <f t="shared" si="46"/>
        <v/>
      </c>
      <c r="R453" t="str">
        <f t="shared" si="47"/>
        <v/>
      </c>
      <c r="S453" t="str">
        <f>IF($P453="","",$P453&amp;" · "&amp;IFERROR(INDEX(Работы!$E$2:$E$6000,MATCH($C453,Работы!$A$2:$A$6000,0)),""))</f>
        <v/>
      </c>
    </row>
    <row r="454" spans="1:19" x14ac:dyDescent="0.3">
      <c r="A454" s="4"/>
      <c r="B454" s="4"/>
      <c r="C454" t="str">
        <f t="shared" si="42"/>
        <v/>
      </c>
      <c r="D454" s="5" t="str">
        <f>IF($C454="","",IF(AND(LEFT($F454,3)="ДОК",$H454&lt;&gt;""),IFERROR(INDEX(Документация!$G$2:$G$57,MATCH($H454,Документация!$F$2:$F$57,0)),"— вариант не найден —"),IFERROR(INDEX(Работы!$B$2:$B$6000,MATCH($C454,Работы!$A$2:$A$6000,0)),"— нет такого кода —")))</f>
        <v/>
      </c>
      <c r="E454" t="str">
        <f>IF($C454="","",IF(AND(LEFT($F454,3)="ДОК",$H454&lt;&gt;""),IFERROR(INDEX(Документация!$D$2:$D$57,MATCH($H454,Документация!$F$2:$F$57,0)),""),IFERROR(INDEX(Работы!$C$2:$C$6000,MATCH($C454,Работы!$A$2:$A$6000,0)),"")))</f>
        <v/>
      </c>
      <c r="F454" t="str">
        <f>IF($C454="","",IFERROR(INDEX(Работы!$G$2:$G$6000,MATCH($C454,Работы!$A$2:$A$6000,0))&amp;"",""))</f>
        <v/>
      </c>
      <c r="G454" s="4"/>
      <c r="H454" s="4"/>
      <c r="I454" s="5" t="str">
        <f>IF((LEFT($F454,3)="ДОК"),"",IF($H454="","",IFERROR(INDEX(Материалы!$B$2:$B$9000,MATCH($H454,Материалы!$M$2:$M$9000,0)),"")))</f>
        <v/>
      </c>
      <c r="J454" s="6">
        <f>IF(AND(LEFT($F454,3)="ДОК",$H454&lt;&gt;""),IFERROR(INDEX(Документация!$E$2:$E$57,MATCH($H454,Документация!$F$2:$F$57,0)),0),IFERROR(INDEX(Работы!$H$2:$H$6000,MATCH($C454,Работы!$A$2:$A$6000,0)),0))*(1-MEDIAN(0,N(ДисконтТендер),1))</f>
        <v>0</v>
      </c>
      <c r="K454" s="6">
        <f>IF(OR((LEFT($F454,3)="ДОК"),$H454=""),0,IFERROR(INDEX(Материалы!$H$2:$H$9000,MATCH($H454,Материалы!$M$2:$M$9000,0))*IF(INDEX(Материалы!$I$2:$I$9000,MATCH($H454,Материалы!$M$2:$M$9000,0))="USD",КурсUSD,IF(INDEX(Материалы!$I$2:$I$9000,MATCH($H454,Материалы!$M$2:$M$9000,0))="EUR",КурсEUR,1))*(1+IFERROR(INDEX(Работы!$I$2:$I$6000,MATCH($C454,Работы!$A$2:$A$6000,0))/100,0))*(1-MEDIAN(0,N(ДисконтТендер),1)),0))</f>
        <v>0</v>
      </c>
      <c r="L454" s="6">
        <f t="shared" si="43"/>
        <v>0</v>
      </c>
      <c r="M454" s="6">
        <f t="shared" si="44"/>
        <v>0</v>
      </c>
      <c r="N454" s="6">
        <f t="shared" si="45"/>
        <v>0</v>
      </c>
      <c r="O454" t="str">
        <f>IF($N454&gt;0,MAX($O$1:$O453)+1,"")</f>
        <v/>
      </c>
      <c r="P454" t="str">
        <f>IF($C454="","",IFERROR(INDEX(Работы!$D$2:$D$6000,MATCH($C454,Работы!$A$2:$A$6000,0)),""))</f>
        <v/>
      </c>
      <c r="Q454" t="str">
        <f t="shared" si="46"/>
        <v/>
      </c>
      <c r="R454" t="str">
        <f t="shared" si="47"/>
        <v/>
      </c>
      <c r="S454" t="str">
        <f>IF($P454="","",$P454&amp;" · "&amp;IFERROR(INDEX(Работы!$E$2:$E$6000,MATCH($C454,Работы!$A$2:$A$6000,0)),""))</f>
        <v/>
      </c>
    </row>
    <row r="455" spans="1:19" x14ac:dyDescent="0.3">
      <c r="A455" s="4"/>
      <c r="B455" s="4"/>
      <c r="C455" t="str">
        <f t="shared" si="42"/>
        <v/>
      </c>
      <c r="D455" s="5" t="str">
        <f>IF($C455="","",IF(AND(LEFT($F455,3)="ДОК",$H455&lt;&gt;""),IFERROR(INDEX(Документация!$G$2:$G$57,MATCH($H455,Документация!$F$2:$F$57,0)),"— вариант не найден —"),IFERROR(INDEX(Работы!$B$2:$B$6000,MATCH($C455,Работы!$A$2:$A$6000,0)),"— нет такого кода —")))</f>
        <v/>
      </c>
      <c r="E455" t="str">
        <f>IF($C455="","",IF(AND(LEFT($F455,3)="ДОК",$H455&lt;&gt;""),IFERROR(INDEX(Документация!$D$2:$D$57,MATCH($H455,Документация!$F$2:$F$57,0)),""),IFERROR(INDEX(Работы!$C$2:$C$6000,MATCH($C455,Работы!$A$2:$A$6000,0)),"")))</f>
        <v/>
      </c>
      <c r="F455" t="str">
        <f>IF($C455="","",IFERROR(INDEX(Работы!$G$2:$G$6000,MATCH($C455,Работы!$A$2:$A$6000,0))&amp;"",""))</f>
        <v/>
      </c>
      <c r="G455" s="4"/>
      <c r="H455" s="4"/>
      <c r="I455" s="5" t="str">
        <f>IF((LEFT($F455,3)="ДОК"),"",IF($H455="","",IFERROR(INDEX(Материалы!$B$2:$B$9000,MATCH($H455,Материалы!$M$2:$M$9000,0)),"")))</f>
        <v/>
      </c>
      <c r="J455" s="6">
        <f>IF(AND(LEFT($F455,3)="ДОК",$H455&lt;&gt;""),IFERROR(INDEX(Документация!$E$2:$E$57,MATCH($H455,Документация!$F$2:$F$57,0)),0),IFERROR(INDEX(Работы!$H$2:$H$6000,MATCH($C455,Работы!$A$2:$A$6000,0)),0))*(1-MEDIAN(0,N(ДисконтТендер),1))</f>
        <v>0</v>
      </c>
      <c r="K455" s="6">
        <f>IF(OR((LEFT($F455,3)="ДОК"),$H455=""),0,IFERROR(INDEX(Материалы!$H$2:$H$9000,MATCH($H455,Материалы!$M$2:$M$9000,0))*IF(INDEX(Материалы!$I$2:$I$9000,MATCH($H455,Материалы!$M$2:$M$9000,0))="USD",КурсUSD,IF(INDEX(Материалы!$I$2:$I$9000,MATCH($H455,Материалы!$M$2:$M$9000,0))="EUR",КурсEUR,1))*(1+IFERROR(INDEX(Работы!$I$2:$I$6000,MATCH($C455,Работы!$A$2:$A$6000,0))/100,0))*(1-MEDIAN(0,N(ДисконтТендер),1)),0))</f>
        <v>0</v>
      </c>
      <c r="L455" s="6">
        <f t="shared" si="43"/>
        <v>0</v>
      </c>
      <c r="M455" s="6">
        <f t="shared" si="44"/>
        <v>0</v>
      </c>
      <c r="N455" s="6">
        <f t="shared" si="45"/>
        <v>0</v>
      </c>
      <c r="O455" t="str">
        <f>IF($N455&gt;0,MAX($O$1:$O454)+1,"")</f>
        <v/>
      </c>
      <c r="P455" t="str">
        <f>IF($C455="","",IFERROR(INDEX(Работы!$D$2:$D$6000,MATCH($C455,Работы!$A$2:$A$6000,0)),""))</f>
        <v/>
      </c>
      <c r="Q455" t="str">
        <f t="shared" si="46"/>
        <v/>
      </c>
      <c r="R455" t="str">
        <f t="shared" si="47"/>
        <v/>
      </c>
      <c r="S455" t="str">
        <f>IF($P455="","",$P455&amp;" · "&amp;IFERROR(INDEX(Работы!$E$2:$E$6000,MATCH($C455,Работы!$A$2:$A$6000,0)),""))</f>
        <v/>
      </c>
    </row>
    <row r="456" spans="1:19" x14ac:dyDescent="0.3">
      <c r="A456" s="4"/>
      <c r="B456" s="4"/>
      <c r="C456" t="str">
        <f t="shared" si="42"/>
        <v/>
      </c>
      <c r="D456" s="5" t="str">
        <f>IF($C456="","",IF(AND(LEFT($F456,3)="ДОК",$H456&lt;&gt;""),IFERROR(INDEX(Документация!$G$2:$G$57,MATCH($H456,Документация!$F$2:$F$57,0)),"— вариант не найден —"),IFERROR(INDEX(Работы!$B$2:$B$6000,MATCH($C456,Работы!$A$2:$A$6000,0)),"— нет такого кода —")))</f>
        <v/>
      </c>
      <c r="E456" t="str">
        <f>IF($C456="","",IF(AND(LEFT($F456,3)="ДОК",$H456&lt;&gt;""),IFERROR(INDEX(Документация!$D$2:$D$57,MATCH($H456,Документация!$F$2:$F$57,0)),""),IFERROR(INDEX(Работы!$C$2:$C$6000,MATCH($C456,Работы!$A$2:$A$6000,0)),"")))</f>
        <v/>
      </c>
      <c r="F456" t="str">
        <f>IF($C456="","",IFERROR(INDEX(Работы!$G$2:$G$6000,MATCH($C456,Работы!$A$2:$A$6000,0))&amp;"",""))</f>
        <v/>
      </c>
      <c r="G456" s="4"/>
      <c r="H456" s="4"/>
      <c r="I456" s="5" t="str">
        <f>IF((LEFT($F456,3)="ДОК"),"",IF($H456="","",IFERROR(INDEX(Материалы!$B$2:$B$9000,MATCH($H456,Материалы!$M$2:$M$9000,0)),"")))</f>
        <v/>
      </c>
      <c r="J456" s="6">
        <f>IF(AND(LEFT($F456,3)="ДОК",$H456&lt;&gt;""),IFERROR(INDEX(Документация!$E$2:$E$57,MATCH($H456,Документация!$F$2:$F$57,0)),0),IFERROR(INDEX(Работы!$H$2:$H$6000,MATCH($C456,Работы!$A$2:$A$6000,0)),0))*(1-MEDIAN(0,N(ДисконтТендер),1))</f>
        <v>0</v>
      </c>
      <c r="K456" s="6">
        <f>IF(OR((LEFT($F456,3)="ДОК"),$H456=""),0,IFERROR(INDEX(Материалы!$H$2:$H$9000,MATCH($H456,Материалы!$M$2:$M$9000,0))*IF(INDEX(Материалы!$I$2:$I$9000,MATCH($H456,Материалы!$M$2:$M$9000,0))="USD",КурсUSD,IF(INDEX(Материалы!$I$2:$I$9000,MATCH($H456,Материалы!$M$2:$M$9000,0))="EUR",КурсEUR,1))*(1+IFERROR(INDEX(Работы!$I$2:$I$6000,MATCH($C456,Работы!$A$2:$A$6000,0))/100,0))*(1-MEDIAN(0,N(ДисконтТендер),1)),0))</f>
        <v>0</v>
      </c>
      <c r="L456" s="6">
        <f t="shared" si="43"/>
        <v>0</v>
      </c>
      <c r="M456" s="6">
        <f t="shared" si="44"/>
        <v>0</v>
      </c>
      <c r="N456" s="6">
        <f t="shared" si="45"/>
        <v>0</v>
      </c>
      <c r="O456" t="str">
        <f>IF($N456&gt;0,MAX($O$1:$O455)+1,"")</f>
        <v/>
      </c>
      <c r="P456" t="str">
        <f>IF($C456="","",IFERROR(INDEX(Работы!$D$2:$D$6000,MATCH($C456,Работы!$A$2:$A$6000,0)),""))</f>
        <v/>
      </c>
      <c r="Q456" t="str">
        <f t="shared" si="46"/>
        <v/>
      </c>
      <c r="R456" t="str">
        <f t="shared" si="47"/>
        <v/>
      </c>
      <c r="S456" t="str">
        <f>IF($P456="","",$P456&amp;" · "&amp;IFERROR(INDEX(Работы!$E$2:$E$6000,MATCH($C456,Работы!$A$2:$A$6000,0)),""))</f>
        <v/>
      </c>
    </row>
    <row r="457" spans="1:19" x14ac:dyDescent="0.3">
      <c r="A457" s="4"/>
      <c r="B457" s="4"/>
      <c r="C457" t="str">
        <f t="shared" si="42"/>
        <v/>
      </c>
      <c r="D457" s="5" t="str">
        <f>IF($C457="","",IF(AND(LEFT($F457,3)="ДОК",$H457&lt;&gt;""),IFERROR(INDEX(Документация!$G$2:$G$57,MATCH($H457,Документация!$F$2:$F$57,0)),"— вариант не найден —"),IFERROR(INDEX(Работы!$B$2:$B$6000,MATCH($C457,Работы!$A$2:$A$6000,0)),"— нет такого кода —")))</f>
        <v/>
      </c>
      <c r="E457" t="str">
        <f>IF($C457="","",IF(AND(LEFT($F457,3)="ДОК",$H457&lt;&gt;""),IFERROR(INDEX(Документация!$D$2:$D$57,MATCH($H457,Документация!$F$2:$F$57,0)),""),IFERROR(INDEX(Работы!$C$2:$C$6000,MATCH($C457,Работы!$A$2:$A$6000,0)),"")))</f>
        <v/>
      </c>
      <c r="F457" t="str">
        <f>IF($C457="","",IFERROR(INDEX(Работы!$G$2:$G$6000,MATCH($C457,Работы!$A$2:$A$6000,0))&amp;"",""))</f>
        <v/>
      </c>
      <c r="G457" s="4"/>
      <c r="H457" s="4"/>
      <c r="I457" s="5" t="str">
        <f>IF((LEFT($F457,3)="ДОК"),"",IF($H457="","",IFERROR(INDEX(Материалы!$B$2:$B$9000,MATCH($H457,Материалы!$M$2:$M$9000,0)),"")))</f>
        <v/>
      </c>
      <c r="J457" s="6">
        <f>IF(AND(LEFT($F457,3)="ДОК",$H457&lt;&gt;""),IFERROR(INDEX(Документация!$E$2:$E$57,MATCH($H457,Документация!$F$2:$F$57,0)),0),IFERROR(INDEX(Работы!$H$2:$H$6000,MATCH($C457,Работы!$A$2:$A$6000,0)),0))*(1-MEDIAN(0,N(ДисконтТендер),1))</f>
        <v>0</v>
      </c>
      <c r="K457" s="6">
        <f>IF(OR((LEFT($F457,3)="ДОК"),$H457=""),0,IFERROR(INDEX(Материалы!$H$2:$H$9000,MATCH($H457,Материалы!$M$2:$M$9000,0))*IF(INDEX(Материалы!$I$2:$I$9000,MATCH($H457,Материалы!$M$2:$M$9000,0))="USD",КурсUSD,IF(INDEX(Материалы!$I$2:$I$9000,MATCH($H457,Материалы!$M$2:$M$9000,0))="EUR",КурсEUR,1))*(1+IFERROR(INDEX(Работы!$I$2:$I$6000,MATCH($C457,Работы!$A$2:$A$6000,0))/100,0))*(1-MEDIAN(0,N(ДисконтТендер),1)),0))</f>
        <v>0</v>
      </c>
      <c r="L457" s="6">
        <f t="shared" si="43"/>
        <v>0</v>
      </c>
      <c r="M457" s="6">
        <f t="shared" si="44"/>
        <v>0</v>
      </c>
      <c r="N457" s="6">
        <f t="shared" si="45"/>
        <v>0</v>
      </c>
      <c r="O457" t="str">
        <f>IF($N457&gt;0,MAX($O$1:$O456)+1,"")</f>
        <v/>
      </c>
      <c r="P457" t="str">
        <f>IF($C457="","",IFERROR(INDEX(Работы!$D$2:$D$6000,MATCH($C457,Работы!$A$2:$A$6000,0)),""))</f>
        <v/>
      </c>
      <c r="Q457" t="str">
        <f t="shared" si="46"/>
        <v/>
      </c>
      <c r="R457" t="str">
        <f t="shared" si="47"/>
        <v/>
      </c>
      <c r="S457" t="str">
        <f>IF($P457="","",$P457&amp;" · "&amp;IFERROR(INDEX(Работы!$E$2:$E$6000,MATCH($C457,Работы!$A$2:$A$6000,0)),""))</f>
        <v/>
      </c>
    </row>
    <row r="458" spans="1:19" x14ac:dyDescent="0.3">
      <c r="A458" s="4"/>
      <c r="B458" s="4"/>
      <c r="C458" t="str">
        <f t="shared" si="42"/>
        <v/>
      </c>
      <c r="D458" s="5" t="str">
        <f>IF($C458="","",IF(AND(LEFT($F458,3)="ДОК",$H458&lt;&gt;""),IFERROR(INDEX(Документация!$G$2:$G$57,MATCH($H458,Документация!$F$2:$F$57,0)),"— вариант не найден —"),IFERROR(INDEX(Работы!$B$2:$B$6000,MATCH($C458,Работы!$A$2:$A$6000,0)),"— нет такого кода —")))</f>
        <v/>
      </c>
      <c r="E458" t="str">
        <f>IF($C458="","",IF(AND(LEFT($F458,3)="ДОК",$H458&lt;&gt;""),IFERROR(INDEX(Документация!$D$2:$D$57,MATCH($H458,Документация!$F$2:$F$57,0)),""),IFERROR(INDEX(Работы!$C$2:$C$6000,MATCH($C458,Работы!$A$2:$A$6000,0)),"")))</f>
        <v/>
      </c>
      <c r="F458" t="str">
        <f>IF($C458="","",IFERROR(INDEX(Работы!$G$2:$G$6000,MATCH($C458,Работы!$A$2:$A$6000,0))&amp;"",""))</f>
        <v/>
      </c>
      <c r="G458" s="4"/>
      <c r="H458" s="4"/>
      <c r="I458" s="5" t="str">
        <f>IF((LEFT($F458,3)="ДОК"),"",IF($H458="","",IFERROR(INDEX(Материалы!$B$2:$B$9000,MATCH($H458,Материалы!$M$2:$M$9000,0)),"")))</f>
        <v/>
      </c>
      <c r="J458" s="6">
        <f>IF(AND(LEFT($F458,3)="ДОК",$H458&lt;&gt;""),IFERROR(INDEX(Документация!$E$2:$E$57,MATCH($H458,Документация!$F$2:$F$57,0)),0),IFERROR(INDEX(Работы!$H$2:$H$6000,MATCH($C458,Работы!$A$2:$A$6000,0)),0))*(1-MEDIAN(0,N(ДисконтТендер),1))</f>
        <v>0</v>
      </c>
      <c r="K458" s="6">
        <f>IF(OR((LEFT($F458,3)="ДОК"),$H458=""),0,IFERROR(INDEX(Материалы!$H$2:$H$9000,MATCH($H458,Материалы!$M$2:$M$9000,0))*IF(INDEX(Материалы!$I$2:$I$9000,MATCH($H458,Материалы!$M$2:$M$9000,0))="USD",КурсUSD,IF(INDEX(Материалы!$I$2:$I$9000,MATCH($H458,Материалы!$M$2:$M$9000,0))="EUR",КурсEUR,1))*(1+IFERROR(INDEX(Работы!$I$2:$I$6000,MATCH($C458,Работы!$A$2:$A$6000,0))/100,0))*(1-MEDIAN(0,N(ДисконтТендер),1)),0))</f>
        <v>0</v>
      </c>
      <c r="L458" s="6">
        <f t="shared" si="43"/>
        <v>0</v>
      </c>
      <c r="M458" s="6">
        <f t="shared" si="44"/>
        <v>0</v>
      </c>
      <c r="N458" s="6">
        <f t="shared" si="45"/>
        <v>0</v>
      </c>
      <c r="O458" t="str">
        <f>IF($N458&gt;0,MAX($O$1:$O457)+1,"")</f>
        <v/>
      </c>
      <c r="P458" t="str">
        <f>IF($C458="","",IFERROR(INDEX(Работы!$D$2:$D$6000,MATCH($C458,Работы!$A$2:$A$6000,0)),""))</f>
        <v/>
      </c>
      <c r="Q458" t="str">
        <f t="shared" si="46"/>
        <v/>
      </c>
      <c r="R458" t="str">
        <f t="shared" si="47"/>
        <v/>
      </c>
      <c r="S458" t="str">
        <f>IF($P458="","",$P458&amp;" · "&amp;IFERROR(INDEX(Работы!$E$2:$E$6000,MATCH($C458,Работы!$A$2:$A$6000,0)),""))</f>
        <v/>
      </c>
    </row>
    <row r="459" spans="1:19" x14ac:dyDescent="0.3">
      <c r="A459" s="4"/>
      <c r="B459" s="4"/>
      <c r="C459" t="str">
        <f t="shared" si="42"/>
        <v/>
      </c>
      <c r="D459" s="5" t="str">
        <f>IF($C459="","",IF(AND(LEFT($F459,3)="ДОК",$H459&lt;&gt;""),IFERROR(INDEX(Документация!$G$2:$G$57,MATCH($H459,Документация!$F$2:$F$57,0)),"— вариант не найден —"),IFERROR(INDEX(Работы!$B$2:$B$6000,MATCH($C459,Работы!$A$2:$A$6000,0)),"— нет такого кода —")))</f>
        <v/>
      </c>
      <c r="E459" t="str">
        <f>IF($C459="","",IF(AND(LEFT($F459,3)="ДОК",$H459&lt;&gt;""),IFERROR(INDEX(Документация!$D$2:$D$57,MATCH($H459,Документация!$F$2:$F$57,0)),""),IFERROR(INDEX(Работы!$C$2:$C$6000,MATCH($C459,Работы!$A$2:$A$6000,0)),"")))</f>
        <v/>
      </c>
      <c r="F459" t="str">
        <f>IF($C459="","",IFERROR(INDEX(Работы!$G$2:$G$6000,MATCH($C459,Работы!$A$2:$A$6000,0))&amp;"",""))</f>
        <v/>
      </c>
      <c r="G459" s="4"/>
      <c r="H459" s="4"/>
      <c r="I459" s="5" t="str">
        <f>IF((LEFT($F459,3)="ДОК"),"",IF($H459="","",IFERROR(INDEX(Материалы!$B$2:$B$9000,MATCH($H459,Материалы!$M$2:$M$9000,0)),"")))</f>
        <v/>
      </c>
      <c r="J459" s="6">
        <f>IF(AND(LEFT($F459,3)="ДОК",$H459&lt;&gt;""),IFERROR(INDEX(Документация!$E$2:$E$57,MATCH($H459,Документация!$F$2:$F$57,0)),0),IFERROR(INDEX(Работы!$H$2:$H$6000,MATCH($C459,Работы!$A$2:$A$6000,0)),0))*(1-MEDIAN(0,N(ДисконтТендер),1))</f>
        <v>0</v>
      </c>
      <c r="K459" s="6">
        <f>IF(OR((LEFT($F459,3)="ДОК"),$H459=""),0,IFERROR(INDEX(Материалы!$H$2:$H$9000,MATCH($H459,Материалы!$M$2:$M$9000,0))*IF(INDEX(Материалы!$I$2:$I$9000,MATCH($H459,Материалы!$M$2:$M$9000,0))="USD",КурсUSD,IF(INDEX(Материалы!$I$2:$I$9000,MATCH($H459,Материалы!$M$2:$M$9000,0))="EUR",КурсEUR,1))*(1+IFERROR(INDEX(Работы!$I$2:$I$6000,MATCH($C459,Работы!$A$2:$A$6000,0))/100,0))*(1-MEDIAN(0,N(ДисконтТендер),1)),0))</f>
        <v>0</v>
      </c>
      <c r="L459" s="6">
        <f t="shared" si="43"/>
        <v>0</v>
      </c>
      <c r="M459" s="6">
        <f t="shared" si="44"/>
        <v>0</v>
      </c>
      <c r="N459" s="6">
        <f t="shared" si="45"/>
        <v>0</v>
      </c>
      <c r="O459" t="str">
        <f>IF($N459&gt;0,MAX($O$1:$O458)+1,"")</f>
        <v/>
      </c>
      <c r="P459" t="str">
        <f>IF($C459="","",IFERROR(INDEX(Работы!$D$2:$D$6000,MATCH($C459,Работы!$A$2:$A$6000,0)),""))</f>
        <v/>
      </c>
      <c r="Q459" t="str">
        <f t="shared" si="46"/>
        <v/>
      </c>
      <c r="R459" t="str">
        <f t="shared" si="47"/>
        <v/>
      </c>
      <c r="S459" t="str">
        <f>IF($P459="","",$P459&amp;" · "&amp;IFERROR(INDEX(Работы!$E$2:$E$6000,MATCH($C459,Работы!$A$2:$A$6000,0)),""))</f>
        <v/>
      </c>
    </row>
    <row r="460" spans="1:19" x14ac:dyDescent="0.3">
      <c r="A460" s="4"/>
      <c r="B460" s="4"/>
      <c r="C460" t="str">
        <f t="shared" si="42"/>
        <v/>
      </c>
      <c r="D460" s="5" t="str">
        <f>IF($C460="","",IF(AND(LEFT($F460,3)="ДОК",$H460&lt;&gt;""),IFERROR(INDEX(Документация!$G$2:$G$57,MATCH($H460,Документация!$F$2:$F$57,0)),"— вариант не найден —"),IFERROR(INDEX(Работы!$B$2:$B$6000,MATCH($C460,Работы!$A$2:$A$6000,0)),"— нет такого кода —")))</f>
        <v/>
      </c>
      <c r="E460" t="str">
        <f>IF($C460="","",IF(AND(LEFT($F460,3)="ДОК",$H460&lt;&gt;""),IFERROR(INDEX(Документация!$D$2:$D$57,MATCH($H460,Документация!$F$2:$F$57,0)),""),IFERROR(INDEX(Работы!$C$2:$C$6000,MATCH($C460,Работы!$A$2:$A$6000,0)),"")))</f>
        <v/>
      </c>
      <c r="F460" t="str">
        <f>IF($C460="","",IFERROR(INDEX(Работы!$G$2:$G$6000,MATCH($C460,Работы!$A$2:$A$6000,0))&amp;"",""))</f>
        <v/>
      </c>
      <c r="G460" s="4"/>
      <c r="H460" s="4"/>
      <c r="I460" s="5" t="str">
        <f>IF((LEFT($F460,3)="ДОК"),"",IF($H460="","",IFERROR(INDEX(Материалы!$B$2:$B$9000,MATCH($H460,Материалы!$M$2:$M$9000,0)),"")))</f>
        <v/>
      </c>
      <c r="J460" s="6">
        <f>IF(AND(LEFT($F460,3)="ДОК",$H460&lt;&gt;""),IFERROR(INDEX(Документация!$E$2:$E$57,MATCH($H460,Документация!$F$2:$F$57,0)),0),IFERROR(INDEX(Работы!$H$2:$H$6000,MATCH($C460,Работы!$A$2:$A$6000,0)),0))*(1-MEDIAN(0,N(ДисконтТендер),1))</f>
        <v>0</v>
      </c>
      <c r="K460" s="6">
        <f>IF(OR((LEFT($F460,3)="ДОК"),$H460=""),0,IFERROR(INDEX(Материалы!$H$2:$H$9000,MATCH($H460,Материалы!$M$2:$M$9000,0))*IF(INDEX(Материалы!$I$2:$I$9000,MATCH($H460,Материалы!$M$2:$M$9000,0))="USD",КурсUSD,IF(INDEX(Материалы!$I$2:$I$9000,MATCH($H460,Материалы!$M$2:$M$9000,0))="EUR",КурсEUR,1))*(1+IFERROR(INDEX(Работы!$I$2:$I$6000,MATCH($C460,Работы!$A$2:$A$6000,0))/100,0))*(1-MEDIAN(0,N(ДисконтТендер),1)),0))</f>
        <v>0</v>
      </c>
      <c r="L460" s="6">
        <f t="shared" si="43"/>
        <v>0</v>
      </c>
      <c r="M460" s="6">
        <f t="shared" si="44"/>
        <v>0</v>
      </c>
      <c r="N460" s="6">
        <f t="shared" si="45"/>
        <v>0</v>
      </c>
      <c r="O460" t="str">
        <f>IF($N460&gt;0,MAX($O$1:$O459)+1,"")</f>
        <v/>
      </c>
      <c r="P460" t="str">
        <f>IF($C460="","",IFERROR(INDEX(Работы!$D$2:$D$6000,MATCH($C460,Работы!$A$2:$A$6000,0)),""))</f>
        <v/>
      </c>
      <c r="Q460" t="str">
        <f t="shared" si="46"/>
        <v/>
      </c>
      <c r="R460" t="str">
        <f t="shared" si="47"/>
        <v/>
      </c>
      <c r="S460" t="str">
        <f>IF($P460="","",$P460&amp;" · "&amp;IFERROR(INDEX(Работы!$E$2:$E$6000,MATCH($C460,Работы!$A$2:$A$6000,0)),""))</f>
        <v/>
      </c>
    </row>
    <row r="461" spans="1:19" x14ac:dyDescent="0.3">
      <c r="A461" s="4"/>
      <c r="B461" s="4"/>
      <c r="C461" t="str">
        <f t="shared" si="42"/>
        <v/>
      </c>
      <c r="D461" s="5" t="str">
        <f>IF($C461="","",IF(AND(LEFT($F461,3)="ДОК",$H461&lt;&gt;""),IFERROR(INDEX(Документация!$G$2:$G$57,MATCH($H461,Документация!$F$2:$F$57,0)),"— вариант не найден —"),IFERROR(INDEX(Работы!$B$2:$B$6000,MATCH($C461,Работы!$A$2:$A$6000,0)),"— нет такого кода —")))</f>
        <v/>
      </c>
      <c r="E461" t="str">
        <f>IF($C461="","",IF(AND(LEFT($F461,3)="ДОК",$H461&lt;&gt;""),IFERROR(INDEX(Документация!$D$2:$D$57,MATCH($H461,Документация!$F$2:$F$57,0)),""),IFERROR(INDEX(Работы!$C$2:$C$6000,MATCH($C461,Работы!$A$2:$A$6000,0)),"")))</f>
        <v/>
      </c>
      <c r="F461" t="str">
        <f>IF($C461="","",IFERROR(INDEX(Работы!$G$2:$G$6000,MATCH($C461,Работы!$A$2:$A$6000,0))&amp;"",""))</f>
        <v/>
      </c>
      <c r="G461" s="4"/>
      <c r="H461" s="4"/>
      <c r="I461" s="5" t="str">
        <f>IF((LEFT($F461,3)="ДОК"),"",IF($H461="","",IFERROR(INDEX(Материалы!$B$2:$B$9000,MATCH($H461,Материалы!$M$2:$M$9000,0)),"")))</f>
        <v/>
      </c>
      <c r="J461" s="6">
        <f>IF(AND(LEFT($F461,3)="ДОК",$H461&lt;&gt;""),IFERROR(INDEX(Документация!$E$2:$E$57,MATCH($H461,Документация!$F$2:$F$57,0)),0),IFERROR(INDEX(Работы!$H$2:$H$6000,MATCH($C461,Работы!$A$2:$A$6000,0)),0))*(1-MEDIAN(0,N(ДисконтТендер),1))</f>
        <v>0</v>
      </c>
      <c r="K461" s="6">
        <f>IF(OR((LEFT($F461,3)="ДОК"),$H461=""),0,IFERROR(INDEX(Материалы!$H$2:$H$9000,MATCH($H461,Материалы!$M$2:$M$9000,0))*IF(INDEX(Материалы!$I$2:$I$9000,MATCH($H461,Материалы!$M$2:$M$9000,0))="USD",КурсUSD,IF(INDEX(Материалы!$I$2:$I$9000,MATCH($H461,Материалы!$M$2:$M$9000,0))="EUR",КурсEUR,1))*(1+IFERROR(INDEX(Работы!$I$2:$I$6000,MATCH($C461,Работы!$A$2:$A$6000,0))/100,0))*(1-MEDIAN(0,N(ДисконтТендер),1)),0))</f>
        <v>0</v>
      </c>
      <c r="L461" s="6">
        <f t="shared" si="43"/>
        <v>0</v>
      </c>
      <c r="M461" s="6">
        <f t="shared" si="44"/>
        <v>0</v>
      </c>
      <c r="N461" s="6">
        <f t="shared" si="45"/>
        <v>0</v>
      </c>
      <c r="O461" t="str">
        <f>IF($N461&gt;0,MAX($O$1:$O460)+1,"")</f>
        <v/>
      </c>
      <c r="P461" t="str">
        <f>IF($C461="","",IFERROR(INDEX(Работы!$D$2:$D$6000,MATCH($C461,Работы!$A$2:$A$6000,0)),""))</f>
        <v/>
      </c>
      <c r="Q461" t="str">
        <f t="shared" si="46"/>
        <v/>
      </c>
      <c r="R461" t="str">
        <f t="shared" si="47"/>
        <v/>
      </c>
      <c r="S461" t="str">
        <f>IF($P461="","",$P461&amp;" · "&amp;IFERROR(INDEX(Работы!$E$2:$E$6000,MATCH($C461,Работы!$A$2:$A$6000,0)),""))</f>
        <v/>
      </c>
    </row>
    <row r="462" spans="1:19" x14ac:dyDescent="0.3">
      <c r="A462" s="4"/>
      <c r="B462" s="4"/>
      <c r="C462" t="str">
        <f t="shared" si="42"/>
        <v/>
      </c>
      <c r="D462" s="5" t="str">
        <f>IF($C462="","",IF(AND(LEFT($F462,3)="ДОК",$H462&lt;&gt;""),IFERROR(INDEX(Документация!$G$2:$G$57,MATCH($H462,Документация!$F$2:$F$57,0)),"— вариант не найден —"),IFERROR(INDEX(Работы!$B$2:$B$6000,MATCH($C462,Работы!$A$2:$A$6000,0)),"— нет такого кода —")))</f>
        <v/>
      </c>
      <c r="E462" t="str">
        <f>IF($C462="","",IF(AND(LEFT($F462,3)="ДОК",$H462&lt;&gt;""),IFERROR(INDEX(Документация!$D$2:$D$57,MATCH($H462,Документация!$F$2:$F$57,0)),""),IFERROR(INDEX(Работы!$C$2:$C$6000,MATCH($C462,Работы!$A$2:$A$6000,0)),"")))</f>
        <v/>
      </c>
      <c r="F462" t="str">
        <f>IF($C462="","",IFERROR(INDEX(Работы!$G$2:$G$6000,MATCH($C462,Работы!$A$2:$A$6000,0))&amp;"",""))</f>
        <v/>
      </c>
      <c r="G462" s="4"/>
      <c r="H462" s="4"/>
      <c r="I462" s="5" t="str">
        <f>IF((LEFT($F462,3)="ДОК"),"",IF($H462="","",IFERROR(INDEX(Материалы!$B$2:$B$9000,MATCH($H462,Материалы!$M$2:$M$9000,0)),"")))</f>
        <v/>
      </c>
      <c r="J462" s="6">
        <f>IF(AND(LEFT($F462,3)="ДОК",$H462&lt;&gt;""),IFERROR(INDEX(Документация!$E$2:$E$57,MATCH($H462,Документация!$F$2:$F$57,0)),0),IFERROR(INDEX(Работы!$H$2:$H$6000,MATCH($C462,Работы!$A$2:$A$6000,0)),0))*(1-MEDIAN(0,N(ДисконтТендер),1))</f>
        <v>0</v>
      </c>
      <c r="K462" s="6">
        <f>IF(OR((LEFT($F462,3)="ДОК"),$H462=""),0,IFERROR(INDEX(Материалы!$H$2:$H$9000,MATCH($H462,Материалы!$M$2:$M$9000,0))*IF(INDEX(Материалы!$I$2:$I$9000,MATCH($H462,Материалы!$M$2:$M$9000,0))="USD",КурсUSD,IF(INDEX(Материалы!$I$2:$I$9000,MATCH($H462,Материалы!$M$2:$M$9000,0))="EUR",КурсEUR,1))*(1+IFERROR(INDEX(Работы!$I$2:$I$6000,MATCH($C462,Работы!$A$2:$A$6000,0))/100,0))*(1-MEDIAN(0,N(ДисконтТендер),1)),0))</f>
        <v>0</v>
      </c>
      <c r="L462" s="6">
        <f t="shared" si="43"/>
        <v>0</v>
      </c>
      <c r="M462" s="6">
        <f t="shared" si="44"/>
        <v>0</v>
      </c>
      <c r="N462" s="6">
        <f t="shared" si="45"/>
        <v>0</v>
      </c>
      <c r="O462" t="str">
        <f>IF($N462&gt;0,MAX($O$1:$O461)+1,"")</f>
        <v/>
      </c>
      <c r="P462" t="str">
        <f>IF($C462="","",IFERROR(INDEX(Работы!$D$2:$D$6000,MATCH($C462,Работы!$A$2:$A$6000,0)),""))</f>
        <v/>
      </c>
      <c r="Q462" t="str">
        <f t="shared" si="46"/>
        <v/>
      </c>
      <c r="R462" t="str">
        <f t="shared" si="47"/>
        <v/>
      </c>
      <c r="S462" t="str">
        <f>IF($P462="","",$P462&amp;" · "&amp;IFERROR(INDEX(Работы!$E$2:$E$6000,MATCH($C462,Работы!$A$2:$A$6000,0)),""))</f>
        <v/>
      </c>
    </row>
    <row r="463" spans="1:19" x14ac:dyDescent="0.3">
      <c r="A463" s="4"/>
      <c r="B463" s="4"/>
      <c r="C463" t="str">
        <f t="shared" si="42"/>
        <v/>
      </c>
      <c r="D463" s="5" t="str">
        <f>IF($C463="","",IF(AND(LEFT($F463,3)="ДОК",$H463&lt;&gt;""),IFERROR(INDEX(Документация!$G$2:$G$57,MATCH($H463,Документация!$F$2:$F$57,0)),"— вариант не найден —"),IFERROR(INDEX(Работы!$B$2:$B$6000,MATCH($C463,Работы!$A$2:$A$6000,0)),"— нет такого кода —")))</f>
        <v/>
      </c>
      <c r="E463" t="str">
        <f>IF($C463="","",IF(AND(LEFT($F463,3)="ДОК",$H463&lt;&gt;""),IFERROR(INDEX(Документация!$D$2:$D$57,MATCH($H463,Документация!$F$2:$F$57,0)),""),IFERROR(INDEX(Работы!$C$2:$C$6000,MATCH($C463,Работы!$A$2:$A$6000,0)),"")))</f>
        <v/>
      </c>
      <c r="F463" t="str">
        <f>IF($C463="","",IFERROR(INDEX(Работы!$G$2:$G$6000,MATCH($C463,Работы!$A$2:$A$6000,0))&amp;"",""))</f>
        <v/>
      </c>
      <c r="G463" s="4"/>
      <c r="H463" s="4"/>
      <c r="I463" s="5" t="str">
        <f>IF((LEFT($F463,3)="ДОК"),"",IF($H463="","",IFERROR(INDEX(Материалы!$B$2:$B$9000,MATCH($H463,Материалы!$M$2:$M$9000,0)),"")))</f>
        <v/>
      </c>
      <c r="J463" s="6">
        <f>IF(AND(LEFT($F463,3)="ДОК",$H463&lt;&gt;""),IFERROR(INDEX(Документация!$E$2:$E$57,MATCH($H463,Документация!$F$2:$F$57,0)),0),IFERROR(INDEX(Работы!$H$2:$H$6000,MATCH($C463,Работы!$A$2:$A$6000,0)),0))*(1-MEDIAN(0,N(ДисконтТендер),1))</f>
        <v>0</v>
      </c>
      <c r="K463" s="6">
        <f>IF(OR((LEFT($F463,3)="ДОК"),$H463=""),0,IFERROR(INDEX(Материалы!$H$2:$H$9000,MATCH($H463,Материалы!$M$2:$M$9000,0))*IF(INDEX(Материалы!$I$2:$I$9000,MATCH($H463,Материалы!$M$2:$M$9000,0))="USD",КурсUSD,IF(INDEX(Материалы!$I$2:$I$9000,MATCH($H463,Материалы!$M$2:$M$9000,0))="EUR",КурсEUR,1))*(1+IFERROR(INDEX(Работы!$I$2:$I$6000,MATCH($C463,Работы!$A$2:$A$6000,0))/100,0))*(1-MEDIAN(0,N(ДисконтТендер),1)),0))</f>
        <v>0</v>
      </c>
      <c r="L463" s="6">
        <f t="shared" si="43"/>
        <v>0</v>
      </c>
      <c r="M463" s="6">
        <f t="shared" si="44"/>
        <v>0</v>
      </c>
      <c r="N463" s="6">
        <f t="shared" si="45"/>
        <v>0</v>
      </c>
      <c r="O463" t="str">
        <f>IF($N463&gt;0,MAX($O$1:$O462)+1,"")</f>
        <v/>
      </c>
      <c r="P463" t="str">
        <f>IF($C463="","",IFERROR(INDEX(Работы!$D$2:$D$6000,MATCH($C463,Работы!$A$2:$A$6000,0)),""))</f>
        <v/>
      </c>
      <c r="Q463" t="str">
        <f t="shared" si="46"/>
        <v/>
      </c>
      <c r="R463" t="str">
        <f t="shared" si="47"/>
        <v/>
      </c>
      <c r="S463" t="str">
        <f>IF($P463="","",$P463&amp;" · "&amp;IFERROR(INDEX(Работы!$E$2:$E$6000,MATCH($C463,Работы!$A$2:$A$6000,0)),""))</f>
        <v/>
      </c>
    </row>
    <row r="464" spans="1:19" x14ac:dyDescent="0.3">
      <c r="A464" s="4"/>
      <c r="B464" s="4"/>
      <c r="C464" t="str">
        <f t="shared" si="42"/>
        <v/>
      </c>
      <c r="D464" s="5" t="str">
        <f>IF($C464="","",IF(AND(LEFT($F464,3)="ДОК",$H464&lt;&gt;""),IFERROR(INDEX(Документация!$G$2:$G$57,MATCH($H464,Документация!$F$2:$F$57,0)),"— вариант не найден —"),IFERROR(INDEX(Работы!$B$2:$B$6000,MATCH($C464,Работы!$A$2:$A$6000,0)),"— нет такого кода —")))</f>
        <v/>
      </c>
      <c r="E464" t="str">
        <f>IF($C464="","",IF(AND(LEFT($F464,3)="ДОК",$H464&lt;&gt;""),IFERROR(INDEX(Документация!$D$2:$D$57,MATCH($H464,Документация!$F$2:$F$57,0)),""),IFERROR(INDEX(Работы!$C$2:$C$6000,MATCH($C464,Работы!$A$2:$A$6000,0)),"")))</f>
        <v/>
      </c>
      <c r="F464" t="str">
        <f>IF($C464="","",IFERROR(INDEX(Работы!$G$2:$G$6000,MATCH($C464,Работы!$A$2:$A$6000,0))&amp;"",""))</f>
        <v/>
      </c>
      <c r="G464" s="4"/>
      <c r="H464" s="4"/>
      <c r="I464" s="5" t="str">
        <f>IF((LEFT($F464,3)="ДОК"),"",IF($H464="","",IFERROR(INDEX(Материалы!$B$2:$B$9000,MATCH($H464,Материалы!$M$2:$M$9000,0)),"")))</f>
        <v/>
      </c>
      <c r="J464" s="6">
        <f>IF(AND(LEFT($F464,3)="ДОК",$H464&lt;&gt;""),IFERROR(INDEX(Документация!$E$2:$E$57,MATCH($H464,Документация!$F$2:$F$57,0)),0),IFERROR(INDEX(Работы!$H$2:$H$6000,MATCH($C464,Работы!$A$2:$A$6000,0)),0))*(1-MEDIAN(0,N(ДисконтТендер),1))</f>
        <v>0</v>
      </c>
      <c r="K464" s="6">
        <f>IF(OR((LEFT($F464,3)="ДОК"),$H464=""),0,IFERROR(INDEX(Материалы!$H$2:$H$9000,MATCH($H464,Материалы!$M$2:$M$9000,0))*IF(INDEX(Материалы!$I$2:$I$9000,MATCH($H464,Материалы!$M$2:$M$9000,0))="USD",КурсUSD,IF(INDEX(Материалы!$I$2:$I$9000,MATCH($H464,Материалы!$M$2:$M$9000,0))="EUR",КурсEUR,1))*(1+IFERROR(INDEX(Работы!$I$2:$I$6000,MATCH($C464,Работы!$A$2:$A$6000,0))/100,0))*(1-MEDIAN(0,N(ДисконтТендер),1)),0))</f>
        <v>0</v>
      </c>
      <c r="L464" s="6">
        <f t="shared" si="43"/>
        <v>0</v>
      </c>
      <c r="M464" s="6">
        <f t="shared" si="44"/>
        <v>0</v>
      </c>
      <c r="N464" s="6">
        <f t="shared" si="45"/>
        <v>0</v>
      </c>
      <c r="O464" t="str">
        <f>IF($N464&gt;0,MAX($O$1:$O463)+1,"")</f>
        <v/>
      </c>
      <c r="P464" t="str">
        <f>IF($C464="","",IFERROR(INDEX(Работы!$D$2:$D$6000,MATCH($C464,Работы!$A$2:$A$6000,0)),""))</f>
        <v/>
      </c>
      <c r="Q464" t="str">
        <f t="shared" si="46"/>
        <v/>
      </c>
      <c r="R464" t="str">
        <f t="shared" si="47"/>
        <v/>
      </c>
      <c r="S464" t="str">
        <f>IF($P464="","",$P464&amp;" · "&amp;IFERROR(INDEX(Работы!$E$2:$E$6000,MATCH($C464,Работы!$A$2:$A$6000,0)),""))</f>
        <v/>
      </c>
    </row>
    <row r="465" spans="1:19" x14ac:dyDescent="0.3">
      <c r="A465" s="4"/>
      <c r="B465" s="4"/>
      <c r="C465" t="str">
        <f t="shared" si="42"/>
        <v/>
      </c>
      <c r="D465" s="5" t="str">
        <f>IF($C465="","",IF(AND(LEFT($F465,3)="ДОК",$H465&lt;&gt;""),IFERROR(INDEX(Документация!$G$2:$G$57,MATCH($H465,Документация!$F$2:$F$57,0)),"— вариант не найден —"),IFERROR(INDEX(Работы!$B$2:$B$6000,MATCH($C465,Работы!$A$2:$A$6000,0)),"— нет такого кода —")))</f>
        <v/>
      </c>
      <c r="E465" t="str">
        <f>IF($C465="","",IF(AND(LEFT($F465,3)="ДОК",$H465&lt;&gt;""),IFERROR(INDEX(Документация!$D$2:$D$57,MATCH($H465,Документация!$F$2:$F$57,0)),""),IFERROR(INDEX(Работы!$C$2:$C$6000,MATCH($C465,Работы!$A$2:$A$6000,0)),"")))</f>
        <v/>
      </c>
      <c r="F465" t="str">
        <f>IF($C465="","",IFERROR(INDEX(Работы!$G$2:$G$6000,MATCH($C465,Работы!$A$2:$A$6000,0))&amp;"",""))</f>
        <v/>
      </c>
      <c r="G465" s="4"/>
      <c r="H465" s="4"/>
      <c r="I465" s="5" t="str">
        <f>IF((LEFT($F465,3)="ДОК"),"",IF($H465="","",IFERROR(INDEX(Материалы!$B$2:$B$9000,MATCH($H465,Материалы!$M$2:$M$9000,0)),"")))</f>
        <v/>
      </c>
      <c r="J465" s="6">
        <f>IF(AND(LEFT($F465,3)="ДОК",$H465&lt;&gt;""),IFERROR(INDEX(Документация!$E$2:$E$57,MATCH($H465,Документация!$F$2:$F$57,0)),0),IFERROR(INDEX(Работы!$H$2:$H$6000,MATCH($C465,Работы!$A$2:$A$6000,0)),0))*(1-MEDIAN(0,N(ДисконтТендер),1))</f>
        <v>0</v>
      </c>
      <c r="K465" s="6">
        <f>IF(OR((LEFT($F465,3)="ДОК"),$H465=""),0,IFERROR(INDEX(Материалы!$H$2:$H$9000,MATCH($H465,Материалы!$M$2:$M$9000,0))*IF(INDEX(Материалы!$I$2:$I$9000,MATCH($H465,Материалы!$M$2:$M$9000,0))="USD",КурсUSD,IF(INDEX(Материалы!$I$2:$I$9000,MATCH($H465,Материалы!$M$2:$M$9000,0))="EUR",КурсEUR,1))*(1+IFERROR(INDEX(Работы!$I$2:$I$6000,MATCH($C465,Работы!$A$2:$A$6000,0))/100,0))*(1-MEDIAN(0,N(ДисконтТендер),1)),0))</f>
        <v>0</v>
      </c>
      <c r="L465" s="6">
        <f t="shared" si="43"/>
        <v>0</v>
      </c>
      <c r="M465" s="6">
        <f t="shared" si="44"/>
        <v>0</v>
      </c>
      <c r="N465" s="6">
        <f t="shared" si="45"/>
        <v>0</v>
      </c>
      <c r="O465" t="str">
        <f>IF($N465&gt;0,MAX($O$1:$O464)+1,"")</f>
        <v/>
      </c>
      <c r="P465" t="str">
        <f>IF($C465="","",IFERROR(INDEX(Работы!$D$2:$D$6000,MATCH($C465,Работы!$A$2:$A$6000,0)),""))</f>
        <v/>
      </c>
      <c r="Q465" t="str">
        <f t="shared" si="46"/>
        <v/>
      </c>
      <c r="R465" t="str">
        <f t="shared" si="47"/>
        <v/>
      </c>
      <c r="S465" t="str">
        <f>IF($P465="","",$P465&amp;" · "&amp;IFERROR(INDEX(Работы!$E$2:$E$6000,MATCH($C465,Работы!$A$2:$A$6000,0)),""))</f>
        <v/>
      </c>
    </row>
    <row r="466" spans="1:19" x14ac:dyDescent="0.3">
      <c r="A466" s="4"/>
      <c r="B466" s="4"/>
      <c r="C466" t="str">
        <f t="shared" si="42"/>
        <v/>
      </c>
      <c r="D466" s="5" t="str">
        <f>IF($C466="","",IF(AND(LEFT($F466,3)="ДОК",$H466&lt;&gt;""),IFERROR(INDEX(Документация!$G$2:$G$57,MATCH($H466,Документация!$F$2:$F$57,0)),"— вариант не найден —"),IFERROR(INDEX(Работы!$B$2:$B$6000,MATCH($C466,Работы!$A$2:$A$6000,0)),"— нет такого кода —")))</f>
        <v/>
      </c>
      <c r="E466" t="str">
        <f>IF($C466="","",IF(AND(LEFT($F466,3)="ДОК",$H466&lt;&gt;""),IFERROR(INDEX(Документация!$D$2:$D$57,MATCH($H466,Документация!$F$2:$F$57,0)),""),IFERROR(INDEX(Работы!$C$2:$C$6000,MATCH($C466,Работы!$A$2:$A$6000,0)),"")))</f>
        <v/>
      </c>
      <c r="F466" t="str">
        <f>IF($C466="","",IFERROR(INDEX(Работы!$G$2:$G$6000,MATCH($C466,Работы!$A$2:$A$6000,0))&amp;"",""))</f>
        <v/>
      </c>
      <c r="G466" s="4"/>
      <c r="H466" s="4"/>
      <c r="I466" s="5" t="str">
        <f>IF((LEFT($F466,3)="ДОК"),"",IF($H466="","",IFERROR(INDEX(Материалы!$B$2:$B$9000,MATCH($H466,Материалы!$M$2:$M$9000,0)),"")))</f>
        <v/>
      </c>
      <c r="J466" s="6">
        <f>IF(AND(LEFT($F466,3)="ДОК",$H466&lt;&gt;""),IFERROR(INDEX(Документация!$E$2:$E$57,MATCH($H466,Документация!$F$2:$F$57,0)),0),IFERROR(INDEX(Работы!$H$2:$H$6000,MATCH($C466,Работы!$A$2:$A$6000,0)),0))*(1-MEDIAN(0,N(ДисконтТендер),1))</f>
        <v>0</v>
      </c>
      <c r="K466" s="6">
        <f>IF(OR((LEFT($F466,3)="ДОК"),$H466=""),0,IFERROR(INDEX(Материалы!$H$2:$H$9000,MATCH($H466,Материалы!$M$2:$M$9000,0))*IF(INDEX(Материалы!$I$2:$I$9000,MATCH($H466,Материалы!$M$2:$M$9000,0))="USD",КурсUSD,IF(INDEX(Материалы!$I$2:$I$9000,MATCH($H466,Материалы!$M$2:$M$9000,0))="EUR",КурсEUR,1))*(1+IFERROR(INDEX(Работы!$I$2:$I$6000,MATCH($C466,Работы!$A$2:$A$6000,0))/100,0))*(1-MEDIAN(0,N(ДисконтТендер),1)),0))</f>
        <v>0</v>
      </c>
      <c r="L466" s="6">
        <f t="shared" si="43"/>
        <v>0</v>
      </c>
      <c r="M466" s="6">
        <f t="shared" si="44"/>
        <v>0</v>
      </c>
      <c r="N466" s="6">
        <f t="shared" si="45"/>
        <v>0</v>
      </c>
      <c r="O466" t="str">
        <f>IF($N466&gt;0,MAX($O$1:$O465)+1,"")</f>
        <v/>
      </c>
      <c r="P466" t="str">
        <f>IF($C466="","",IFERROR(INDEX(Работы!$D$2:$D$6000,MATCH($C466,Работы!$A$2:$A$6000,0)),""))</f>
        <v/>
      </c>
      <c r="Q466" t="str">
        <f t="shared" si="46"/>
        <v/>
      </c>
      <c r="R466" t="str">
        <f t="shared" si="47"/>
        <v/>
      </c>
      <c r="S466" t="str">
        <f>IF($P466="","",$P466&amp;" · "&amp;IFERROR(INDEX(Работы!$E$2:$E$6000,MATCH($C466,Работы!$A$2:$A$6000,0)),""))</f>
        <v/>
      </c>
    </row>
    <row r="467" spans="1:19" x14ac:dyDescent="0.3">
      <c r="A467" s="4"/>
      <c r="B467" s="4"/>
      <c r="C467" t="str">
        <f t="shared" si="42"/>
        <v/>
      </c>
      <c r="D467" s="5" t="str">
        <f>IF($C467="","",IF(AND(LEFT($F467,3)="ДОК",$H467&lt;&gt;""),IFERROR(INDEX(Документация!$G$2:$G$57,MATCH($H467,Документация!$F$2:$F$57,0)),"— вариант не найден —"),IFERROR(INDEX(Работы!$B$2:$B$6000,MATCH($C467,Работы!$A$2:$A$6000,0)),"— нет такого кода —")))</f>
        <v/>
      </c>
      <c r="E467" t="str">
        <f>IF($C467="","",IF(AND(LEFT($F467,3)="ДОК",$H467&lt;&gt;""),IFERROR(INDEX(Документация!$D$2:$D$57,MATCH($H467,Документация!$F$2:$F$57,0)),""),IFERROR(INDEX(Работы!$C$2:$C$6000,MATCH($C467,Работы!$A$2:$A$6000,0)),"")))</f>
        <v/>
      </c>
      <c r="F467" t="str">
        <f>IF($C467="","",IFERROR(INDEX(Работы!$G$2:$G$6000,MATCH($C467,Работы!$A$2:$A$6000,0))&amp;"",""))</f>
        <v/>
      </c>
      <c r="G467" s="4"/>
      <c r="H467" s="4"/>
      <c r="I467" s="5" t="str">
        <f>IF((LEFT($F467,3)="ДОК"),"",IF($H467="","",IFERROR(INDEX(Материалы!$B$2:$B$9000,MATCH($H467,Материалы!$M$2:$M$9000,0)),"")))</f>
        <v/>
      </c>
      <c r="J467" s="6">
        <f>IF(AND(LEFT($F467,3)="ДОК",$H467&lt;&gt;""),IFERROR(INDEX(Документация!$E$2:$E$57,MATCH($H467,Документация!$F$2:$F$57,0)),0),IFERROR(INDEX(Работы!$H$2:$H$6000,MATCH($C467,Работы!$A$2:$A$6000,0)),0))*(1-MEDIAN(0,N(ДисконтТендер),1))</f>
        <v>0</v>
      </c>
      <c r="K467" s="6">
        <f>IF(OR((LEFT($F467,3)="ДОК"),$H467=""),0,IFERROR(INDEX(Материалы!$H$2:$H$9000,MATCH($H467,Материалы!$M$2:$M$9000,0))*IF(INDEX(Материалы!$I$2:$I$9000,MATCH($H467,Материалы!$M$2:$M$9000,0))="USD",КурсUSD,IF(INDEX(Материалы!$I$2:$I$9000,MATCH($H467,Материалы!$M$2:$M$9000,0))="EUR",КурсEUR,1))*(1+IFERROR(INDEX(Работы!$I$2:$I$6000,MATCH($C467,Работы!$A$2:$A$6000,0))/100,0))*(1-MEDIAN(0,N(ДисконтТендер),1)),0))</f>
        <v>0</v>
      </c>
      <c r="L467" s="6">
        <f t="shared" si="43"/>
        <v>0</v>
      </c>
      <c r="M467" s="6">
        <f t="shared" si="44"/>
        <v>0</v>
      </c>
      <c r="N467" s="6">
        <f t="shared" si="45"/>
        <v>0</v>
      </c>
      <c r="O467" t="str">
        <f>IF($N467&gt;0,MAX($O$1:$O466)+1,"")</f>
        <v/>
      </c>
      <c r="P467" t="str">
        <f>IF($C467="","",IFERROR(INDEX(Работы!$D$2:$D$6000,MATCH($C467,Работы!$A$2:$A$6000,0)),""))</f>
        <v/>
      </c>
      <c r="Q467" t="str">
        <f t="shared" si="46"/>
        <v/>
      </c>
      <c r="R467" t="str">
        <f t="shared" si="47"/>
        <v/>
      </c>
      <c r="S467" t="str">
        <f>IF($P467="","",$P467&amp;" · "&amp;IFERROR(INDEX(Работы!$E$2:$E$6000,MATCH($C467,Работы!$A$2:$A$6000,0)),""))</f>
        <v/>
      </c>
    </row>
    <row r="468" spans="1:19" x14ac:dyDescent="0.3">
      <c r="A468" s="4"/>
      <c r="B468" s="4"/>
      <c r="C468" t="str">
        <f t="shared" si="42"/>
        <v/>
      </c>
      <c r="D468" s="5" t="str">
        <f>IF($C468="","",IF(AND(LEFT($F468,3)="ДОК",$H468&lt;&gt;""),IFERROR(INDEX(Документация!$G$2:$G$57,MATCH($H468,Документация!$F$2:$F$57,0)),"— вариант не найден —"),IFERROR(INDEX(Работы!$B$2:$B$6000,MATCH($C468,Работы!$A$2:$A$6000,0)),"— нет такого кода —")))</f>
        <v/>
      </c>
      <c r="E468" t="str">
        <f>IF($C468="","",IF(AND(LEFT($F468,3)="ДОК",$H468&lt;&gt;""),IFERROR(INDEX(Документация!$D$2:$D$57,MATCH($H468,Документация!$F$2:$F$57,0)),""),IFERROR(INDEX(Работы!$C$2:$C$6000,MATCH($C468,Работы!$A$2:$A$6000,0)),"")))</f>
        <v/>
      </c>
      <c r="F468" t="str">
        <f>IF($C468="","",IFERROR(INDEX(Работы!$G$2:$G$6000,MATCH($C468,Работы!$A$2:$A$6000,0))&amp;"",""))</f>
        <v/>
      </c>
      <c r="G468" s="4"/>
      <c r="H468" s="4"/>
      <c r="I468" s="5" t="str">
        <f>IF((LEFT($F468,3)="ДОК"),"",IF($H468="","",IFERROR(INDEX(Материалы!$B$2:$B$9000,MATCH($H468,Материалы!$M$2:$M$9000,0)),"")))</f>
        <v/>
      </c>
      <c r="J468" s="6">
        <f>IF(AND(LEFT($F468,3)="ДОК",$H468&lt;&gt;""),IFERROR(INDEX(Документация!$E$2:$E$57,MATCH($H468,Документация!$F$2:$F$57,0)),0),IFERROR(INDEX(Работы!$H$2:$H$6000,MATCH($C468,Работы!$A$2:$A$6000,0)),0))*(1-MEDIAN(0,N(ДисконтТендер),1))</f>
        <v>0</v>
      </c>
      <c r="K468" s="6">
        <f>IF(OR((LEFT($F468,3)="ДОК"),$H468=""),0,IFERROR(INDEX(Материалы!$H$2:$H$9000,MATCH($H468,Материалы!$M$2:$M$9000,0))*IF(INDEX(Материалы!$I$2:$I$9000,MATCH($H468,Материалы!$M$2:$M$9000,0))="USD",КурсUSD,IF(INDEX(Материалы!$I$2:$I$9000,MATCH($H468,Материалы!$M$2:$M$9000,0))="EUR",КурсEUR,1))*(1+IFERROR(INDEX(Работы!$I$2:$I$6000,MATCH($C468,Работы!$A$2:$A$6000,0))/100,0))*(1-MEDIAN(0,N(ДисконтТендер),1)),0))</f>
        <v>0</v>
      </c>
      <c r="L468" s="6">
        <f t="shared" si="43"/>
        <v>0</v>
      </c>
      <c r="M468" s="6">
        <f t="shared" si="44"/>
        <v>0</v>
      </c>
      <c r="N468" s="6">
        <f t="shared" si="45"/>
        <v>0</v>
      </c>
      <c r="O468" t="str">
        <f>IF($N468&gt;0,MAX($O$1:$O467)+1,"")</f>
        <v/>
      </c>
      <c r="P468" t="str">
        <f>IF($C468="","",IFERROR(INDEX(Работы!$D$2:$D$6000,MATCH($C468,Работы!$A$2:$A$6000,0)),""))</f>
        <v/>
      </c>
      <c r="Q468" t="str">
        <f t="shared" si="46"/>
        <v/>
      </c>
      <c r="R468" t="str">
        <f t="shared" si="47"/>
        <v/>
      </c>
      <c r="S468" t="str">
        <f>IF($P468="","",$P468&amp;" · "&amp;IFERROR(INDEX(Работы!$E$2:$E$6000,MATCH($C468,Работы!$A$2:$A$6000,0)),""))</f>
        <v/>
      </c>
    </row>
    <row r="469" spans="1:19" x14ac:dyDescent="0.3">
      <c r="A469" s="4"/>
      <c r="B469" s="4"/>
      <c r="C469" t="str">
        <f t="shared" si="42"/>
        <v/>
      </c>
      <c r="D469" s="5" t="str">
        <f>IF($C469="","",IF(AND(LEFT($F469,3)="ДОК",$H469&lt;&gt;""),IFERROR(INDEX(Документация!$G$2:$G$57,MATCH($H469,Документация!$F$2:$F$57,0)),"— вариант не найден —"),IFERROR(INDEX(Работы!$B$2:$B$6000,MATCH($C469,Работы!$A$2:$A$6000,0)),"— нет такого кода —")))</f>
        <v/>
      </c>
      <c r="E469" t="str">
        <f>IF($C469="","",IF(AND(LEFT($F469,3)="ДОК",$H469&lt;&gt;""),IFERROR(INDEX(Документация!$D$2:$D$57,MATCH($H469,Документация!$F$2:$F$57,0)),""),IFERROR(INDEX(Работы!$C$2:$C$6000,MATCH($C469,Работы!$A$2:$A$6000,0)),"")))</f>
        <v/>
      </c>
      <c r="F469" t="str">
        <f>IF($C469="","",IFERROR(INDEX(Работы!$G$2:$G$6000,MATCH($C469,Работы!$A$2:$A$6000,0))&amp;"",""))</f>
        <v/>
      </c>
      <c r="G469" s="4"/>
      <c r="H469" s="4"/>
      <c r="I469" s="5" t="str">
        <f>IF((LEFT($F469,3)="ДОК"),"",IF($H469="","",IFERROR(INDEX(Материалы!$B$2:$B$9000,MATCH($H469,Материалы!$M$2:$M$9000,0)),"")))</f>
        <v/>
      </c>
      <c r="J469" s="6">
        <f>IF(AND(LEFT($F469,3)="ДОК",$H469&lt;&gt;""),IFERROR(INDEX(Документация!$E$2:$E$57,MATCH($H469,Документация!$F$2:$F$57,0)),0),IFERROR(INDEX(Работы!$H$2:$H$6000,MATCH($C469,Работы!$A$2:$A$6000,0)),0))*(1-MEDIAN(0,N(ДисконтТендер),1))</f>
        <v>0</v>
      </c>
      <c r="K469" s="6">
        <f>IF(OR((LEFT($F469,3)="ДОК"),$H469=""),0,IFERROR(INDEX(Материалы!$H$2:$H$9000,MATCH($H469,Материалы!$M$2:$M$9000,0))*IF(INDEX(Материалы!$I$2:$I$9000,MATCH($H469,Материалы!$M$2:$M$9000,0))="USD",КурсUSD,IF(INDEX(Материалы!$I$2:$I$9000,MATCH($H469,Материалы!$M$2:$M$9000,0))="EUR",КурсEUR,1))*(1+IFERROR(INDEX(Работы!$I$2:$I$6000,MATCH($C469,Работы!$A$2:$A$6000,0))/100,0))*(1-MEDIAN(0,N(ДисконтТендер),1)),0))</f>
        <v>0</v>
      </c>
      <c r="L469" s="6">
        <f t="shared" si="43"/>
        <v>0</v>
      </c>
      <c r="M469" s="6">
        <f t="shared" si="44"/>
        <v>0</v>
      </c>
      <c r="N469" s="6">
        <f t="shared" si="45"/>
        <v>0</v>
      </c>
      <c r="O469" t="str">
        <f>IF($N469&gt;0,MAX($O$1:$O468)+1,"")</f>
        <v/>
      </c>
      <c r="P469" t="str">
        <f>IF($C469="","",IFERROR(INDEX(Работы!$D$2:$D$6000,MATCH($C469,Работы!$A$2:$A$6000,0)),""))</f>
        <v/>
      </c>
      <c r="Q469" t="str">
        <f t="shared" si="46"/>
        <v/>
      </c>
      <c r="R469" t="str">
        <f t="shared" si="47"/>
        <v/>
      </c>
      <c r="S469" t="str">
        <f>IF($P469="","",$P469&amp;" · "&amp;IFERROR(INDEX(Работы!$E$2:$E$6000,MATCH($C469,Работы!$A$2:$A$6000,0)),""))</f>
        <v/>
      </c>
    </row>
    <row r="470" spans="1:19" x14ac:dyDescent="0.3">
      <c r="A470" s="4"/>
      <c r="B470" s="4"/>
      <c r="C470" t="str">
        <f t="shared" si="42"/>
        <v/>
      </c>
      <c r="D470" s="5" t="str">
        <f>IF($C470="","",IF(AND(LEFT($F470,3)="ДОК",$H470&lt;&gt;""),IFERROR(INDEX(Документация!$G$2:$G$57,MATCH($H470,Документация!$F$2:$F$57,0)),"— вариант не найден —"),IFERROR(INDEX(Работы!$B$2:$B$6000,MATCH($C470,Работы!$A$2:$A$6000,0)),"— нет такого кода —")))</f>
        <v/>
      </c>
      <c r="E470" t="str">
        <f>IF($C470="","",IF(AND(LEFT($F470,3)="ДОК",$H470&lt;&gt;""),IFERROR(INDEX(Документация!$D$2:$D$57,MATCH($H470,Документация!$F$2:$F$57,0)),""),IFERROR(INDEX(Работы!$C$2:$C$6000,MATCH($C470,Работы!$A$2:$A$6000,0)),"")))</f>
        <v/>
      </c>
      <c r="F470" t="str">
        <f>IF($C470="","",IFERROR(INDEX(Работы!$G$2:$G$6000,MATCH($C470,Работы!$A$2:$A$6000,0))&amp;"",""))</f>
        <v/>
      </c>
      <c r="G470" s="4"/>
      <c r="H470" s="4"/>
      <c r="I470" s="5" t="str">
        <f>IF((LEFT($F470,3)="ДОК"),"",IF($H470="","",IFERROR(INDEX(Материалы!$B$2:$B$9000,MATCH($H470,Материалы!$M$2:$M$9000,0)),"")))</f>
        <v/>
      </c>
      <c r="J470" s="6">
        <f>IF(AND(LEFT($F470,3)="ДОК",$H470&lt;&gt;""),IFERROR(INDEX(Документация!$E$2:$E$57,MATCH($H470,Документация!$F$2:$F$57,0)),0),IFERROR(INDEX(Работы!$H$2:$H$6000,MATCH($C470,Работы!$A$2:$A$6000,0)),0))*(1-MEDIAN(0,N(ДисконтТендер),1))</f>
        <v>0</v>
      </c>
      <c r="K470" s="6">
        <f>IF(OR((LEFT($F470,3)="ДОК"),$H470=""),0,IFERROR(INDEX(Материалы!$H$2:$H$9000,MATCH($H470,Материалы!$M$2:$M$9000,0))*IF(INDEX(Материалы!$I$2:$I$9000,MATCH($H470,Материалы!$M$2:$M$9000,0))="USD",КурсUSD,IF(INDEX(Материалы!$I$2:$I$9000,MATCH($H470,Материалы!$M$2:$M$9000,0))="EUR",КурсEUR,1))*(1+IFERROR(INDEX(Работы!$I$2:$I$6000,MATCH($C470,Работы!$A$2:$A$6000,0))/100,0))*(1-MEDIAN(0,N(ДисконтТендер),1)),0))</f>
        <v>0</v>
      </c>
      <c r="L470" s="6">
        <f t="shared" si="43"/>
        <v>0</v>
      </c>
      <c r="M470" s="6">
        <f t="shared" si="44"/>
        <v>0</v>
      </c>
      <c r="N470" s="6">
        <f t="shared" si="45"/>
        <v>0</v>
      </c>
      <c r="O470" t="str">
        <f>IF($N470&gt;0,MAX($O$1:$O469)+1,"")</f>
        <v/>
      </c>
      <c r="P470" t="str">
        <f>IF($C470="","",IFERROR(INDEX(Работы!$D$2:$D$6000,MATCH($C470,Работы!$A$2:$A$6000,0)),""))</f>
        <v/>
      </c>
      <c r="Q470" t="str">
        <f t="shared" si="46"/>
        <v/>
      </c>
      <c r="R470" t="str">
        <f t="shared" si="47"/>
        <v/>
      </c>
      <c r="S470" t="str">
        <f>IF($P470="","",$P470&amp;" · "&amp;IFERROR(INDEX(Работы!$E$2:$E$6000,MATCH($C470,Работы!$A$2:$A$6000,0)),""))</f>
        <v/>
      </c>
    </row>
    <row r="471" spans="1:19" x14ac:dyDescent="0.3">
      <c r="A471" s="4"/>
      <c r="B471" s="4"/>
      <c r="C471" t="str">
        <f t="shared" si="42"/>
        <v/>
      </c>
      <c r="D471" s="5" t="str">
        <f>IF($C471="","",IF(AND(LEFT($F471,3)="ДОК",$H471&lt;&gt;""),IFERROR(INDEX(Документация!$G$2:$G$57,MATCH($H471,Документация!$F$2:$F$57,0)),"— вариант не найден —"),IFERROR(INDEX(Работы!$B$2:$B$6000,MATCH($C471,Работы!$A$2:$A$6000,0)),"— нет такого кода —")))</f>
        <v/>
      </c>
      <c r="E471" t="str">
        <f>IF($C471="","",IF(AND(LEFT($F471,3)="ДОК",$H471&lt;&gt;""),IFERROR(INDEX(Документация!$D$2:$D$57,MATCH($H471,Документация!$F$2:$F$57,0)),""),IFERROR(INDEX(Работы!$C$2:$C$6000,MATCH($C471,Работы!$A$2:$A$6000,0)),"")))</f>
        <v/>
      </c>
      <c r="F471" t="str">
        <f>IF($C471="","",IFERROR(INDEX(Работы!$G$2:$G$6000,MATCH($C471,Работы!$A$2:$A$6000,0))&amp;"",""))</f>
        <v/>
      </c>
      <c r="G471" s="4"/>
      <c r="H471" s="4"/>
      <c r="I471" s="5" t="str">
        <f>IF((LEFT($F471,3)="ДОК"),"",IF($H471="","",IFERROR(INDEX(Материалы!$B$2:$B$9000,MATCH($H471,Материалы!$M$2:$M$9000,0)),"")))</f>
        <v/>
      </c>
      <c r="J471" s="6">
        <f>IF(AND(LEFT($F471,3)="ДОК",$H471&lt;&gt;""),IFERROR(INDEX(Документация!$E$2:$E$57,MATCH($H471,Документация!$F$2:$F$57,0)),0),IFERROR(INDEX(Работы!$H$2:$H$6000,MATCH($C471,Работы!$A$2:$A$6000,0)),0))*(1-MEDIAN(0,N(ДисконтТендер),1))</f>
        <v>0</v>
      </c>
      <c r="K471" s="6">
        <f>IF(OR((LEFT($F471,3)="ДОК"),$H471=""),0,IFERROR(INDEX(Материалы!$H$2:$H$9000,MATCH($H471,Материалы!$M$2:$M$9000,0))*IF(INDEX(Материалы!$I$2:$I$9000,MATCH($H471,Материалы!$M$2:$M$9000,0))="USD",КурсUSD,IF(INDEX(Материалы!$I$2:$I$9000,MATCH($H471,Материалы!$M$2:$M$9000,0))="EUR",КурсEUR,1))*(1+IFERROR(INDEX(Работы!$I$2:$I$6000,MATCH($C471,Работы!$A$2:$A$6000,0))/100,0))*(1-MEDIAN(0,N(ДисконтТендер),1)),0))</f>
        <v>0</v>
      </c>
      <c r="L471" s="6">
        <f t="shared" si="43"/>
        <v>0</v>
      </c>
      <c r="M471" s="6">
        <f t="shared" si="44"/>
        <v>0</v>
      </c>
      <c r="N471" s="6">
        <f t="shared" si="45"/>
        <v>0</v>
      </c>
      <c r="O471" t="str">
        <f>IF($N471&gt;0,MAX($O$1:$O470)+1,"")</f>
        <v/>
      </c>
      <c r="P471" t="str">
        <f>IF($C471="","",IFERROR(INDEX(Работы!$D$2:$D$6000,MATCH($C471,Работы!$A$2:$A$6000,0)),""))</f>
        <v/>
      </c>
      <c r="Q471" t="str">
        <f t="shared" si="46"/>
        <v/>
      </c>
      <c r="R471" t="str">
        <f t="shared" si="47"/>
        <v/>
      </c>
      <c r="S471" t="str">
        <f>IF($P471="","",$P471&amp;" · "&amp;IFERROR(INDEX(Работы!$E$2:$E$6000,MATCH($C471,Работы!$A$2:$A$6000,0)),""))</f>
        <v/>
      </c>
    </row>
    <row r="472" spans="1:19" x14ac:dyDescent="0.3">
      <c r="A472" s="4"/>
      <c r="B472" s="4"/>
      <c r="C472" t="str">
        <f t="shared" si="42"/>
        <v/>
      </c>
      <c r="D472" s="5" t="str">
        <f>IF($C472="","",IF(AND(LEFT($F472,3)="ДОК",$H472&lt;&gt;""),IFERROR(INDEX(Документация!$G$2:$G$57,MATCH($H472,Документация!$F$2:$F$57,0)),"— вариант не найден —"),IFERROR(INDEX(Работы!$B$2:$B$6000,MATCH($C472,Работы!$A$2:$A$6000,0)),"— нет такого кода —")))</f>
        <v/>
      </c>
      <c r="E472" t="str">
        <f>IF($C472="","",IF(AND(LEFT($F472,3)="ДОК",$H472&lt;&gt;""),IFERROR(INDEX(Документация!$D$2:$D$57,MATCH($H472,Документация!$F$2:$F$57,0)),""),IFERROR(INDEX(Работы!$C$2:$C$6000,MATCH($C472,Работы!$A$2:$A$6000,0)),"")))</f>
        <v/>
      </c>
      <c r="F472" t="str">
        <f>IF($C472="","",IFERROR(INDEX(Работы!$G$2:$G$6000,MATCH($C472,Работы!$A$2:$A$6000,0))&amp;"",""))</f>
        <v/>
      </c>
      <c r="G472" s="4"/>
      <c r="H472" s="4"/>
      <c r="I472" s="5" t="str">
        <f>IF((LEFT($F472,3)="ДОК"),"",IF($H472="","",IFERROR(INDEX(Материалы!$B$2:$B$9000,MATCH($H472,Материалы!$M$2:$M$9000,0)),"")))</f>
        <v/>
      </c>
      <c r="J472" s="6">
        <f>IF(AND(LEFT($F472,3)="ДОК",$H472&lt;&gt;""),IFERROR(INDEX(Документация!$E$2:$E$57,MATCH($H472,Документация!$F$2:$F$57,0)),0),IFERROR(INDEX(Работы!$H$2:$H$6000,MATCH($C472,Работы!$A$2:$A$6000,0)),0))*(1-MEDIAN(0,N(ДисконтТендер),1))</f>
        <v>0</v>
      </c>
      <c r="K472" s="6">
        <f>IF(OR((LEFT($F472,3)="ДОК"),$H472=""),0,IFERROR(INDEX(Материалы!$H$2:$H$9000,MATCH($H472,Материалы!$M$2:$M$9000,0))*IF(INDEX(Материалы!$I$2:$I$9000,MATCH($H472,Материалы!$M$2:$M$9000,0))="USD",КурсUSD,IF(INDEX(Материалы!$I$2:$I$9000,MATCH($H472,Материалы!$M$2:$M$9000,0))="EUR",КурсEUR,1))*(1+IFERROR(INDEX(Работы!$I$2:$I$6000,MATCH($C472,Работы!$A$2:$A$6000,0))/100,0))*(1-MEDIAN(0,N(ДисконтТендер),1)),0))</f>
        <v>0</v>
      </c>
      <c r="L472" s="6">
        <f t="shared" si="43"/>
        <v>0</v>
      </c>
      <c r="M472" s="6">
        <f t="shared" si="44"/>
        <v>0</v>
      </c>
      <c r="N472" s="6">
        <f t="shared" si="45"/>
        <v>0</v>
      </c>
      <c r="O472" t="str">
        <f>IF($N472&gt;0,MAX($O$1:$O471)+1,"")</f>
        <v/>
      </c>
      <c r="P472" t="str">
        <f>IF($C472="","",IFERROR(INDEX(Работы!$D$2:$D$6000,MATCH($C472,Работы!$A$2:$A$6000,0)),""))</f>
        <v/>
      </c>
      <c r="Q472" t="str">
        <f t="shared" si="46"/>
        <v/>
      </c>
      <c r="R472" t="str">
        <f t="shared" si="47"/>
        <v/>
      </c>
      <c r="S472" t="str">
        <f>IF($P472="","",$P472&amp;" · "&amp;IFERROR(INDEX(Работы!$E$2:$E$6000,MATCH($C472,Работы!$A$2:$A$6000,0)),""))</f>
        <v/>
      </c>
    </row>
    <row r="473" spans="1:19" x14ac:dyDescent="0.3">
      <c r="A473" s="4"/>
      <c r="B473" s="4"/>
      <c r="C473" t="str">
        <f t="shared" si="42"/>
        <v/>
      </c>
      <c r="D473" s="5" t="str">
        <f>IF($C473="","",IF(AND(LEFT($F473,3)="ДОК",$H473&lt;&gt;""),IFERROR(INDEX(Документация!$G$2:$G$57,MATCH($H473,Документация!$F$2:$F$57,0)),"— вариант не найден —"),IFERROR(INDEX(Работы!$B$2:$B$6000,MATCH($C473,Работы!$A$2:$A$6000,0)),"— нет такого кода —")))</f>
        <v/>
      </c>
      <c r="E473" t="str">
        <f>IF($C473="","",IF(AND(LEFT($F473,3)="ДОК",$H473&lt;&gt;""),IFERROR(INDEX(Документация!$D$2:$D$57,MATCH($H473,Документация!$F$2:$F$57,0)),""),IFERROR(INDEX(Работы!$C$2:$C$6000,MATCH($C473,Работы!$A$2:$A$6000,0)),"")))</f>
        <v/>
      </c>
      <c r="F473" t="str">
        <f>IF($C473="","",IFERROR(INDEX(Работы!$G$2:$G$6000,MATCH($C473,Работы!$A$2:$A$6000,0))&amp;"",""))</f>
        <v/>
      </c>
      <c r="G473" s="4"/>
      <c r="H473" s="4"/>
      <c r="I473" s="5" t="str">
        <f>IF((LEFT($F473,3)="ДОК"),"",IF($H473="","",IFERROR(INDEX(Материалы!$B$2:$B$9000,MATCH($H473,Материалы!$M$2:$M$9000,0)),"")))</f>
        <v/>
      </c>
      <c r="J473" s="6">
        <f>IF(AND(LEFT($F473,3)="ДОК",$H473&lt;&gt;""),IFERROR(INDEX(Документация!$E$2:$E$57,MATCH($H473,Документация!$F$2:$F$57,0)),0),IFERROR(INDEX(Работы!$H$2:$H$6000,MATCH($C473,Работы!$A$2:$A$6000,0)),0))*(1-MEDIAN(0,N(ДисконтТендер),1))</f>
        <v>0</v>
      </c>
      <c r="K473" s="6">
        <f>IF(OR((LEFT($F473,3)="ДОК"),$H473=""),0,IFERROR(INDEX(Материалы!$H$2:$H$9000,MATCH($H473,Материалы!$M$2:$M$9000,0))*IF(INDEX(Материалы!$I$2:$I$9000,MATCH($H473,Материалы!$M$2:$M$9000,0))="USD",КурсUSD,IF(INDEX(Материалы!$I$2:$I$9000,MATCH($H473,Материалы!$M$2:$M$9000,0))="EUR",КурсEUR,1))*(1+IFERROR(INDEX(Работы!$I$2:$I$6000,MATCH($C473,Работы!$A$2:$A$6000,0))/100,0))*(1-MEDIAN(0,N(ДисконтТендер),1)),0))</f>
        <v>0</v>
      </c>
      <c r="L473" s="6">
        <f t="shared" si="43"/>
        <v>0</v>
      </c>
      <c r="M473" s="6">
        <f t="shared" si="44"/>
        <v>0</v>
      </c>
      <c r="N473" s="6">
        <f t="shared" si="45"/>
        <v>0</v>
      </c>
      <c r="O473" t="str">
        <f>IF($N473&gt;0,MAX($O$1:$O472)+1,"")</f>
        <v/>
      </c>
      <c r="P473" t="str">
        <f>IF($C473="","",IFERROR(INDEX(Работы!$D$2:$D$6000,MATCH($C473,Работы!$A$2:$A$6000,0)),""))</f>
        <v/>
      </c>
      <c r="Q473" t="str">
        <f t="shared" si="46"/>
        <v/>
      </c>
      <c r="R473" t="str">
        <f t="shared" si="47"/>
        <v/>
      </c>
      <c r="S473" t="str">
        <f>IF($P473="","",$P473&amp;" · "&amp;IFERROR(INDEX(Работы!$E$2:$E$6000,MATCH($C473,Работы!$A$2:$A$6000,0)),""))</f>
        <v/>
      </c>
    </row>
    <row r="474" spans="1:19" x14ac:dyDescent="0.3">
      <c r="A474" s="4"/>
      <c r="B474" s="4"/>
      <c r="C474" t="str">
        <f t="shared" si="42"/>
        <v/>
      </c>
      <c r="D474" s="5" t="str">
        <f>IF($C474="","",IF(AND(LEFT($F474,3)="ДОК",$H474&lt;&gt;""),IFERROR(INDEX(Документация!$G$2:$G$57,MATCH($H474,Документация!$F$2:$F$57,0)),"— вариант не найден —"),IFERROR(INDEX(Работы!$B$2:$B$6000,MATCH($C474,Работы!$A$2:$A$6000,0)),"— нет такого кода —")))</f>
        <v/>
      </c>
      <c r="E474" t="str">
        <f>IF($C474="","",IF(AND(LEFT($F474,3)="ДОК",$H474&lt;&gt;""),IFERROR(INDEX(Документация!$D$2:$D$57,MATCH($H474,Документация!$F$2:$F$57,0)),""),IFERROR(INDEX(Работы!$C$2:$C$6000,MATCH($C474,Работы!$A$2:$A$6000,0)),"")))</f>
        <v/>
      </c>
      <c r="F474" t="str">
        <f>IF($C474="","",IFERROR(INDEX(Работы!$G$2:$G$6000,MATCH($C474,Работы!$A$2:$A$6000,0))&amp;"",""))</f>
        <v/>
      </c>
      <c r="G474" s="4"/>
      <c r="H474" s="4"/>
      <c r="I474" s="5" t="str">
        <f>IF((LEFT($F474,3)="ДОК"),"",IF($H474="","",IFERROR(INDEX(Материалы!$B$2:$B$9000,MATCH($H474,Материалы!$M$2:$M$9000,0)),"")))</f>
        <v/>
      </c>
      <c r="J474" s="6">
        <f>IF(AND(LEFT($F474,3)="ДОК",$H474&lt;&gt;""),IFERROR(INDEX(Документация!$E$2:$E$57,MATCH($H474,Документация!$F$2:$F$57,0)),0),IFERROR(INDEX(Работы!$H$2:$H$6000,MATCH($C474,Работы!$A$2:$A$6000,0)),0))*(1-MEDIAN(0,N(ДисконтТендер),1))</f>
        <v>0</v>
      </c>
      <c r="K474" s="6">
        <f>IF(OR((LEFT($F474,3)="ДОК"),$H474=""),0,IFERROR(INDEX(Материалы!$H$2:$H$9000,MATCH($H474,Материалы!$M$2:$M$9000,0))*IF(INDEX(Материалы!$I$2:$I$9000,MATCH($H474,Материалы!$M$2:$M$9000,0))="USD",КурсUSD,IF(INDEX(Материалы!$I$2:$I$9000,MATCH($H474,Материалы!$M$2:$M$9000,0))="EUR",КурсEUR,1))*(1+IFERROR(INDEX(Работы!$I$2:$I$6000,MATCH($C474,Работы!$A$2:$A$6000,0))/100,0))*(1-MEDIAN(0,N(ДисконтТендер),1)),0))</f>
        <v>0</v>
      </c>
      <c r="L474" s="6">
        <f t="shared" si="43"/>
        <v>0</v>
      </c>
      <c r="M474" s="6">
        <f t="shared" si="44"/>
        <v>0</v>
      </c>
      <c r="N474" s="6">
        <f t="shared" si="45"/>
        <v>0</v>
      </c>
      <c r="O474" t="str">
        <f>IF($N474&gt;0,MAX($O$1:$O473)+1,"")</f>
        <v/>
      </c>
      <c r="P474" t="str">
        <f>IF($C474="","",IFERROR(INDEX(Работы!$D$2:$D$6000,MATCH($C474,Работы!$A$2:$A$6000,0)),""))</f>
        <v/>
      </c>
      <c r="Q474" t="str">
        <f t="shared" si="46"/>
        <v/>
      </c>
      <c r="R474" t="str">
        <f t="shared" si="47"/>
        <v/>
      </c>
      <c r="S474" t="str">
        <f>IF($P474="","",$P474&amp;" · "&amp;IFERROR(INDEX(Работы!$E$2:$E$6000,MATCH($C474,Работы!$A$2:$A$6000,0)),""))</f>
        <v/>
      </c>
    </row>
    <row r="475" spans="1:19" x14ac:dyDescent="0.3">
      <c r="A475" s="4"/>
      <c r="B475" s="4"/>
      <c r="C475" t="str">
        <f t="shared" si="42"/>
        <v/>
      </c>
      <c r="D475" s="5" t="str">
        <f>IF($C475="","",IF(AND(LEFT($F475,3)="ДОК",$H475&lt;&gt;""),IFERROR(INDEX(Документация!$G$2:$G$57,MATCH($H475,Документация!$F$2:$F$57,0)),"— вариант не найден —"),IFERROR(INDEX(Работы!$B$2:$B$6000,MATCH($C475,Работы!$A$2:$A$6000,0)),"— нет такого кода —")))</f>
        <v/>
      </c>
      <c r="E475" t="str">
        <f>IF($C475="","",IF(AND(LEFT($F475,3)="ДОК",$H475&lt;&gt;""),IFERROR(INDEX(Документация!$D$2:$D$57,MATCH($H475,Документация!$F$2:$F$57,0)),""),IFERROR(INDEX(Работы!$C$2:$C$6000,MATCH($C475,Работы!$A$2:$A$6000,0)),"")))</f>
        <v/>
      </c>
      <c r="F475" t="str">
        <f>IF($C475="","",IFERROR(INDEX(Работы!$G$2:$G$6000,MATCH($C475,Работы!$A$2:$A$6000,0))&amp;"",""))</f>
        <v/>
      </c>
      <c r="G475" s="4"/>
      <c r="H475" s="4"/>
      <c r="I475" s="5" t="str">
        <f>IF((LEFT($F475,3)="ДОК"),"",IF($H475="","",IFERROR(INDEX(Материалы!$B$2:$B$9000,MATCH($H475,Материалы!$M$2:$M$9000,0)),"")))</f>
        <v/>
      </c>
      <c r="J475" s="6">
        <f>IF(AND(LEFT($F475,3)="ДОК",$H475&lt;&gt;""),IFERROR(INDEX(Документация!$E$2:$E$57,MATCH($H475,Документация!$F$2:$F$57,0)),0),IFERROR(INDEX(Работы!$H$2:$H$6000,MATCH($C475,Работы!$A$2:$A$6000,0)),0))*(1-MEDIAN(0,N(ДисконтТендер),1))</f>
        <v>0</v>
      </c>
      <c r="K475" s="6">
        <f>IF(OR((LEFT($F475,3)="ДОК"),$H475=""),0,IFERROR(INDEX(Материалы!$H$2:$H$9000,MATCH($H475,Материалы!$M$2:$M$9000,0))*IF(INDEX(Материалы!$I$2:$I$9000,MATCH($H475,Материалы!$M$2:$M$9000,0))="USD",КурсUSD,IF(INDEX(Материалы!$I$2:$I$9000,MATCH($H475,Материалы!$M$2:$M$9000,0))="EUR",КурсEUR,1))*(1+IFERROR(INDEX(Работы!$I$2:$I$6000,MATCH($C475,Работы!$A$2:$A$6000,0))/100,0))*(1-MEDIAN(0,N(ДисконтТендер),1)),0))</f>
        <v>0</v>
      </c>
      <c r="L475" s="6">
        <f t="shared" si="43"/>
        <v>0</v>
      </c>
      <c r="M475" s="6">
        <f t="shared" si="44"/>
        <v>0</v>
      </c>
      <c r="N475" s="6">
        <f t="shared" si="45"/>
        <v>0</v>
      </c>
      <c r="O475" t="str">
        <f>IF($N475&gt;0,MAX($O$1:$O474)+1,"")</f>
        <v/>
      </c>
      <c r="P475" t="str">
        <f>IF($C475="","",IFERROR(INDEX(Работы!$D$2:$D$6000,MATCH($C475,Работы!$A$2:$A$6000,0)),""))</f>
        <v/>
      </c>
      <c r="Q475" t="str">
        <f t="shared" si="46"/>
        <v/>
      </c>
      <c r="R475" t="str">
        <f t="shared" si="47"/>
        <v/>
      </c>
      <c r="S475" t="str">
        <f>IF($P475="","",$P475&amp;" · "&amp;IFERROR(INDEX(Работы!$E$2:$E$6000,MATCH($C475,Работы!$A$2:$A$6000,0)),""))</f>
        <v/>
      </c>
    </row>
    <row r="476" spans="1:19" x14ac:dyDescent="0.3">
      <c r="A476" s="4"/>
      <c r="B476" s="4"/>
      <c r="C476" t="str">
        <f t="shared" si="42"/>
        <v/>
      </c>
      <c r="D476" s="5" t="str">
        <f>IF($C476="","",IF(AND(LEFT($F476,3)="ДОК",$H476&lt;&gt;""),IFERROR(INDEX(Документация!$G$2:$G$57,MATCH($H476,Документация!$F$2:$F$57,0)),"— вариант не найден —"),IFERROR(INDEX(Работы!$B$2:$B$6000,MATCH($C476,Работы!$A$2:$A$6000,0)),"— нет такого кода —")))</f>
        <v/>
      </c>
      <c r="E476" t="str">
        <f>IF($C476="","",IF(AND(LEFT($F476,3)="ДОК",$H476&lt;&gt;""),IFERROR(INDEX(Документация!$D$2:$D$57,MATCH($H476,Документация!$F$2:$F$57,0)),""),IFERROR(INDEX(Работы!$C$2:$C$6000,MATCH($C476,Работы!$A$2:$A$6000,0)),"")))</f>
        <v/>
      </c>
      <c r="F476" t="str">
        <f>IF($C476="","",IFERROR(INDEX(Работы!$G$2:$G$6000,MATCH($C476,Работы!$A$2:$A$6000,0))&amp;"",""))</f>
        <v/>
      </c>
      <c r="G476" s="4"/>
      <c r="H476" s="4"/>
      <c r="I476" s="5" t="str">
        <f>IF((LEFT($F476,3)="ДОК"),"",IF($H476="","",IFERROR(INDEX(Материалы!$B$2:$B$9000,MATCH($H476,Материалы!$M$2:$M$9000,0)),"")))</f>
        <v/>
      </c>
      <c r="J476" s="6">
        <f>IF(AND(LEFT($F476,3)="ДОК",$H476&lt;&gt;""),IFERROR(INDEX(Документация!$E$2:$E$57,MATCH($H476,Документация!$F$2:$F$57,0)),0),IFERROR(INDEX(Работы!$H$2:$H$6000,MATCH($C476,Работы!$A$2:$A$6000,0)),0))*(1-MEDIAN(0,N(ДисконтТендер),1))</f>
        <v>0</v>
      </c>
      <c r="K476" s="6">
        <f>IF(OR((LEFT($F476,3)="ДОК"),$H476=""),0,IFERROR(INDEX(Материалы!$H$2:$H$9000,MATCH($H476,Материалы!$M$2:$M$9000,0))*IF(INDEX(Материалы!$I$2:$I$9000,MATCH($H476,Материалы!$M$2:$M$9000,0))="USD",КурсUSD,IF(INDEX(Материалы!$I$2:$I$9000,MATCH($H476,Материалы!$M$2:$M$9000,0))="EUR",КурсEUR,1))*(1+IFERROR(INDEX(Работы!$I$2:$I$6000,MATCH($C476,Работы!$A$2:$A$6000,0))/100,0))*(1-MEDIAN(0,N(ДисконтТендер),1)),0))</f>
        <v>0</v>
      </c>
      <c r="L476" s="6">
        <f t="shared" si="43"/>
        <v>0</v>
      </c>
      <c r="M476" s="6">
        <f t="shared" si="44"/>
        <v>0</v>
      </c>
      <c r="N476" s="6">
        <f t="shared" si="45"/>
        <v>0</v>
      </c>
      <c r="O476" t="str">
        <f>IF($N476&gt;0,MAX($O$1:$O475)+1,"")</f>
        <v/>
      </c>
      <c r="P476" t="str">
        <f>IF($C476="","",IFERROR(INDEX(Работы!$D$2:$D$6000,MATCH($C476,Работы!$A$2:$A$6000,0)),""))</f>
        <v/>
      </c>
      <c r="Q476" t="str">
        <f t="shared" si="46"/>
        <v/>
      </c>
      <c r="R476" t="str">
        <f t="shared" si="47"/>
        <v/>
      </c>
      <c r="S476" t="str">
        <f>IF($P476="","",$P476&amp;" · "&amp;IFERROR(INDEX(Работы!$E$2:$E$6000,MATCH($C476,Работы!$A$2:$A$6000,0)),""))</f>
        <v/>
      </c>
    </row>
    <row r="477" spans="1:19" x14ac:dyDescent="0.3">
      <c r="A477" s="4"/>
      <c r="B477" s="4"/>
      <c r="C477" t="str">
        <f t="shared" si="42"/>
        <v/>
      </c>
      <c r="D477" s="5" t="str">
        <f>IF($C477="","",IF(AND(LEFT($F477,3)="ДОК",$H477&lt;&gt;""),IFERROR(INDEX(Документация!$G$2:$G$57,MATCH($H477,Документация!$F$2:$F$57,0)),"— вариант не найден —"),IFERROR(INDEX(Работы!$B$2:$B$6000,MATCH($C477,Работы!$A$2:$A$6000,0)),"— нет такого кода —")))</f>
        <v/>
      </c>
      <c r="E477" t="str">
        <f>IF($C477="","",IF(AND(LEFT($F477,3)="ДОК",$H477&lt;&gt;""),IFERROR(INDEX(Документация!$D$2:$D$57,MATCH($H477,Документация!$F$2:$F$57,0)),""),IFERROR(INDEX(Работы!$C$2:$C$6000,MATCH($C477,Работы!$A$2:$A$6000,0)),"")))</f>
        <v/>
      </c>
      <c r="F477" t="str">
        <f>IF($C477="","",IFERROR(INDEX(Работы!$G$2:$G$6000,MATCH($C477,Работы!$A$2:$A$6000,0))&amp;"",""))</f>
        <v/>
      </c>
      <c r="G477" s="4"/>
      <c r="H477" s="4"/>
      <c r="I477" s="5" t="str">
        <f>IF((LEFT($F477,3)="ДОК"),"",IF($H477="","",IFERROR(INDEX(Материалы!$B$2:$B$9000,MATCH($H477,Материалы!$M$2:$M$9000,0)),"")))</f>
        <v/>
      </c>
      <c r="J477" s="6">
        <f>IF(AND(LEFT($F477,3)="ДОК",$H477&lt;&gt;""),IFERROR(INDEX(Документация!$E$2:$E$57,MATCH($H477,Документация!$F$2:$F$57,0)),0),IFERROR(INDEX(Работы!$H$2:$H$6000,MATCH($C477,Работы!$A$2:$A$6000,0)),0))*(1-MEDIAN(0,N(ДисконтТендер),1))</f>
        <v>0</v>
      </c>
      <c r="K477" s="6">
        <f>IF(OR((LEFT($F477,3)="ДОК"),$H477=""),0,IFERROR(INDEX(Материалы!$H$2:$H$9000,MATCH($H477,Материалы!$M$2:$M$9000,0))*IF(INDEX(Материалы!$I$2:$I$9000,MATCH($H477,Материалы!$M$2:$M$9000,0))="USD",КурсUSD,IF(INDEX(Материалы!$I$2:$I$9000,MATCH($H477,Материалы!$M$2:$M$9000,0))="EUR",КурсEUR,1))*(1+IFERROR(INDEX(Работы!$I$2:$I$6000,MATCH($C477,Работы!$A$2:$A$6000,0))/100,0))*(1-MEDIAN(0,N(ДисконтТендер),1)),0))</f>
        <v>0</v>
      </c>
      <c r="L477" s="6">
        <f t="shared" si="43"/>
        <v>0</v>
      </c>
      <c r="M477" s="6">
        <f t="shared" si="44"/>
        <v>0</v>
      </c>
      <c r="N477" s="6">
        <f t="shared" si="45"/>
        <v>0</v>
      </c>
      <c r="O477" t="str">
        <f>IF($N477&gt;0,MAX($O$1:$O476)+1,"")</f>
        <v/>
      </c>
      <c r="P477" t="str">
        <f>IF($C477="","",IFERROR(INDEX(Работы!$D$2:$D$6000,MATCH($C477,Работы!$A$2:$A$6000,0)),""))</f>
        <v/>
      </c>
      <c r="Q477" t="str">
        <f t="shared" si="46"/>
        <v/>
      </c>
      <c r="R477" t="str">
        <f t="shared" si="47"/>
        <v/>
      </c>
      <c r="S477" t="str">
        <f>IF($P477="","",$P477&amp;" · "&amp;IFERROR(INDEX(Работы!$E$2:$E$6000,MATCH($C477,Работы!$A$2:$A$6000,0)),""))</f>
        <v/>
      </c>
    </row>
    <row r="478" spans="1:19" x14ac:dyDescent="0.3">
      <c r="A478" s="4"/>
      <c r="B478" s="4"/>
      <c r="C478" t="str">
        <f t="shared" si="42"/>
        <v/>
      </c>
      <c r="D478" s="5" t="str">
        <f>IF($C478="","",IF(AND(LEFT($F478,3)="ДОК",$H478&lt;&gt;""),IFERROR(INDEX(Документация!$G$2:$G$57,MATCH($H478,Документация!$F$2:$F$57,0)),"— вариант не найден —"),IFERROR(INDEX(Работы!$B$2:$B$6000,MATCH($C478,Работы!$A$2:$A$6000,0)),"— нет такого кода —")))</f>
        <v/>
      </c>
      <c r="E478" t="str">
        <f>IF($C478="","",IF(AND(LEFT($F478,3)="ДОК",$H478&lt;&gt;""),IFERROR(INDEX(Документация!$D$2:$D$57,MATCH($H478,Документация!$F$2:$F$57,0)),""),IFERROR(INDEX(Работы!$C$2:$C$6000,MATCH($C478,Работы!$A$2:$A$6000,0)),"")))</f>
        <v/>
      </c>
      <c r="F478" t="str">
        <f>IF($C478="","",IFERROR(INDEX(Работы!$G$2:$G$6000,MATCH($C478,Работы!$A$2:$A$6000,0))&amp;"",""))</f>
        <v/>
      </c>
      <c r="G478" s="4"/>
      <c r="H478" s="4"/>
      <c r="I478" s="5" t="str">
        <f>IF((LEFT($F478,3)="ДОК"),"",IF($H478="","",IFERROR(INDEX(Материалы!$B$2:$B$9000,MATCH($H478,Материалы!$M$2:$M$9000,0)),"")))</f>
        <v/>
      </c>
      <c r="J478" s="6">
        <f>IF(AND(LEFT($F478,3)="ДОК",$H478&lt;&gt;""),IFERROR(INDEX(Документация!$E$2:$E$57,MATCH($H478,Документация!$F$2:$F$57,0)),0),IFERROR(INDEX(Работы!$H$2:$H$6000,MATCH($C478,Работы!$A$2:$A$6000,0)),0))*(1-MEDIAN(0,N(ДисконтТендер),1))</f>
        <v>0</v>
      </c>
      <c r="K478" s="6">
        <f>IF(OR((LEFT($F478,3)="ДОК"),$H478=""),0,IFERROR(INDEX(Материалы!$H$2:$H$9000,MATCH($H478,Материалы!$M$2:$M$9000,0))*IF(INDEX(Материалы!$I$2:$I$9000,MATCH($H478,Материалы!$M$2:$M$9000,0))="USD",КурсUSD,IF(INDEX(Материалы!$I$2:$I$9000,MATCH($H478,Материалы!$M$2:$M$9000,0))="EUR",КурсEUR,1))*(1+IFERROR(INDEX(Работы!$I$2:$I$6000,MATCH($C478,Работы!$A$2:$A$6000,0))/100,0))*(1-MEDIAN(0,N(ДисконтТендер),1)),0))</f>
        <v>0</v>
      </c>
      <c r="L478" s="6">
        <f t="shared" si="43"/>
        <v>0</v>
      </c>
      <c r="M478" s="6">
        <f t="shared" si="44"/>
        <v>0</v>
      </c>
      <c r="N478" s="6">
        <f t="shared" si="45"/>
        <v>0</v>
      </c>
      <c r="O478" t="str">
        <f>IF($N478&gt;0,MAX($O$1:$O477)+1,"")</f>
        <v/>
      </c>
      <c r="P478" t="str">
        <f>IF($C478="","",IFERROR(INDEX(Работы!$D$2:$D$6000,MATCH($C478,Работы!$A$2:$A$6000,0)),""))</f>
        <v/>
      </c>
      <c r="Q478" t="str">
        <f t="shared" si="46"/>
        <v/>
      </c>
      <c r="R478" t="str">
        <f t="shared" si="47"/>
        <v/>
      </c>
      <c r="S478" t="str">
        <f>IF($P478="","",$P478&amp;" · "&amp;IFERROR(INDEX(Работы!$E$2:$E$6000,MATCH($C478,Работы!$A$2:$A$6000,0)),""))</f>
        <v/>
      </c>
    </row>
    <row r="479" spans="1:19" x14ac:dyDescent="0.3">
      <c r="A479" s="4"/>
      <c r="B479" s="4"/>
      <c r="C479" t="str">
        <f t="shared" si="42"/>
        <v/>
      </c>
      <c r="D479" s="5" t="str">
        <f>IF($C479="","",IF(AND(LEFT($F479,3)="ДОК",$H479&lt;&gt;""),IFERROR(INDEX(Документация!$G$2:$G$57,MATCH($H479,Документация!$F$2:$F$57,0)),"— вариант не найден —"),IFERROR(INDEX(Работы!$B$2:$B$6000,MATCH($C479,Работы!$A$2:$A$6000,0)),"— нет такого кода —")))</f>
        <v/>
      </c>
      <c r="E479" t="str">
        <f>IF($C479="","",IF(AND(LEFT($F479,3)="ДОК",$H479&lt;&gt;""),IFERROR(INDEX(Документация!$D$2:$D$57,MATCH($H479,Документация!$F$2:$F$57,0)),""),IFERROR(INDEX(Работы!$C$2:$C$6000,MATCH($C479,Работы!$A$2:$A$6000,0)),"")))</f>
        <v/>
      </c>
      <c r="F479" t="str">
        <f>IF($C479="","",IFERROR(INDEX(Работы!$G$2:$G$6000,MATCH($C479,Работы!$A$2:$A$6000,0))&amp;"",""))</f>
        <v/>
      </c>
      <c r="G479" s="4"/>
      <c r="H479" s="4"/>
      <c r="I479" s="5" t="str">
        <f>IF((LEFT($F479,3)="ДОК"),"",IF($H479="","",IFERROR(INDEX(Материалы!$B$2:$B$9000,MATCH($H479,Материалы!$M$2:$M$9000,0)),"")))</f>
        <v/>
      </c>
      <c r="J479" s="6">
        <f>IF(AND(LEFT($F479,3)="ДОК",$H479&lt;&gt;""),IFERROR(INDEX(Документация!$E$2:$E$57,MATCH($H479,Документация!$F$2:$F$57,0)),0),IFERROR(INDEX(Работы!$H$2:$H$6000,MATCH($C479,Работы!$A$2:$A$6000,0)),0))*(1-MEDIAN(0,N(ДисконтТендер),1))</f>
        <v>0</v>
      </c>
      <c r="K479" s="6">
        <f>IF(OR((LEFT($F479,3)="ДОК"),$H479=""),0,IFERROR(INDEX(Материалы!$H$2:$H$9000,MATCH($H479,Материалы!$M$2:$M$9000,0))*IF(INDEX(Материалы!$I$2:$I$9000,MATCH($H479,Материалы!$M$2:$M$9000,0))="USD",КурсUSD,IF(INDEX(Материалы!$I$2:$I$9000,MATCH($H479,Материалы!$M$2:$M$9000,0))="EUR",КурсEUR,1))*(1+IFERROR(INDEX(Работы!$I$2:$I$6000,MATCH($C479,Работы!$A$2:$A$6000,0))/100,0))*(1-MEDIAN(0,N(ДисконтТендер),1)),0))</f>
        <v>0</v>
      </c>
      <c r="L479" s="6">
        <f t="shared" si="43"/>
        <v>0</v>
      </c>
      <c r="M479" s="6">
        <f t="shared" si="44"/>
        <v>0</v>
      </c>
      <c r="N479" s="6">
        <f t="shared" si="45"/>
        <v>0</v>
      </c>
      <c r="O479" t="str">
        <f>IF($N479&gt;0,MAX($O$1:$O478)+1,"")</f>
        <v/>
      </c>
      <c r="P479" t="str">
        <f>IF($C479="","",IFERROR(INDEX(Работы!$D$2:$D$6000,MATCH($C479,Работы!$A$2:$A$6000,0)),""))</f>
        <v/>
      </c>
      <c r="Q479" t="str">
        <f t="shared" si="46"/>
        <v/>
      </c>
      <c r="R479" t="str">
        <f t="shared" si="47"/>
        <v/>
      </c>
      <c r="S479" t="str">
        <f>IF($P479="","",$P479&amp;" · "&amp;IFERROR(INDEX(Работы!$E$2:$E$6000,MATCH($C479,Работы!$A$2:$A$6000,0)),""))</f>
        <v/>
      </c>
    </row>
    <row r="480" spans="1:19" x14ac:dyDescent="0.3">
      <c r="A480" s="4"/>
      <c r="B480" s="4"/>
      <c r="C480" t="str">
        <f t="shared" si="42"/>
        <v/>
      </c>
      <c r="D480" s="5" t="str">
        <f>IF($C480="","",IF(AND(LEFT($F480,3)="ДОК",$H480&lt;&gt;""),IFERROR(INDEX(Документация!$G$2:$G$57,MATCH($H480,Документация!$F$2:$F$57,0)),"— вариант не найден —"),IFERROR(INDEX(Работы!$B$2:$B$6000,MATCH($C480,Работы!$A$2:$A$6000,0)),"— нет такого кода —")))</f>
        <v/>
      </c>
      <c r="E480" t="str">
        <f>IF($C480="","",IF(AND(LEFT($F480,3)="ДОК",$H480&lt;&gt;""),IFERROR(INDEX(Документация!$D$2:$D$57,MATCH($H480,Документация!$F$2:$F$57,0)),""),IFERROR(INDEX(Работы!$C$2:$C$6000,MATCH($C480,Работы!$A$2:$A$6000,0)),"")))</f>
        <v/>
      </c>
      <c r="F480" t="str">
        <f>IF($C480="","",IFERROR(INDEX(Работы!$G$2:$G$6000,MATCH($C480,Работы!$A$2:$A$6000,0))&amp;"",""))</f>
        <v/>
      </c>
      <c r="G480" s="4"/>
      <c r="H480" s="4"/>
      <c r="I480" s="5" t="str">
        <f>IF((LEFT($F480,3)="ДОК"),"",IF($H480="","",IFERROR(INDEX(Материалы!$B$2:$B$9000,MATCH($H480,Материалы!$M$2:$M$9000,0)),"")))</f>
        <v/>
      </c>
      <c r="J480" s="6">
        <f>IF(AND(LEFT($F480,3)="ДОК",$H480&lt;&gt;""),IFERROR(INDEX(Документация!$E$2:$E$57,MATCH($H480,Документация!$F$2:$F$57,0)),0),IFERROR(INDEX(Работы!$H$2:$H$6000,MATCH($C480,Работы!$A$2:$A$6000,0)),0))*(1-MEDIAN(0,N(ДисконтТендер),1))</f>
        <v>0</v>
      </c>
      <c r="K480" s="6">
        <f>IF(OR((LEFT($F480,3)="ДОК"),$H480=""),0,IFERROR(INDEX(Материалы!$H$2:$H$9000,MATCH($H480,Материалы!$M$2:$M$9000,0))*IF(INDEX(Материалы!$I$2:$I$9000,MATCH($H480,Материалы!$M$2:$M$9000,0))="USD",КурсUSD,IF(INDEX(Материалы!$I$2:$I$9000,MATCH($H480,Материалы!$M$2:$M$9000,0))="EUR",КурсEUR,1))*(1+IFERROR(INDEX(Работы!$I$2:$I$6000,MATCH($C480,Работы!$A$2:$A$6000,0))/100,0))*(1-MEDIAN(0,N(ДисконтТендер),1)),0))</f>
        <v>0</v>
      </c>
      <c r="L480" s="6">
        <f t="shared" si="43"/>
        <v>0</v>
      </c>
      <c r="M480" s="6">
        <f t="shared" si="44"/>
        <v>0</v>
      </c>
      <c r="N480" s="6">
        <f t="shared" si="45"/>
        <v>0</v>
      </c>
      <c r="O480" t="str">
        <f>IF($N480&gt;0,MAX($O$1:$O479)+1,"")</f>
        <v/>
      </c>
      <c r="P480" t="str">
        <f>IF($C480="","",IFERROR(INDEX(Работы!$D$2:$D$6000,MATCH($C480,Работы!$A$2:$A$6000,0)),""))</f>
        <v/>
      </c>
      <c r="Q480" t="str">
        <f t="shared" si="46"/>
        <v/>
      </c>
      <c r="R480" t="str">
        <f t="shared" si="47"/>
        <v/>
      </c>
      <c r="S480" t="str">
        <f>IF($P480="","",$P480&amp;" · "&amp;IFERROR(INDEX(Работы!$E$2:$E$6000,MATCH($C480,Работы!$A$2:$A$6000,0)),""))</f>
        <v/>
      </c>
    </row>
    <row r="481" spans="1:19" x14ac:dyDescent="0.3">
      <c r="A481" s="4"/>
      <c r="B481" s="4"/>
      <c r="C481" t="str">
        <f t="shared" si="42"/>
        <v/>
      </c>
      <c r="D481" s="5" t="str">
        <f>IF($C481="","",IF(AND(LEFT($F481,3)="ДОК",$H481&lt;&gt;""),IFERROR(INDEX(Документация!$G$2:$G$57,MATCH($H481,Документация!$F$2:$F$57,0)),"— вариант не найден —"),IFERROR(INDEX(Работы!$B$2:$B$6000,MATCH($C481,Работы!$A$2:$A$6000,0)),"— нет такого кода —")))</f>
        <v/>
      </c>
      <c r="E481" t="str">
        <f>IF($C481="","",IF(AND(LEFT($F481,3)="ДОК",$H481&lt;&gt;""),IFERROR(INDEX(Документация!$D$2:$D$57,MATCH($H481,Документация!$F$2:$F$57,0)),""),IFERROR(INDEX(Работы!$C$2:$C$6000,MATCH($C481,Работы!$A$2:$A$6000,0)),"")))</f>
        <v/>
      </c>
      <c r="F481" t="str">
        <f>IF($C481="","",IFERROR(INDEX(Работы!$G$2:$G$6000,MATCH($C481,Работы!$A$2:$A$6000,0))&amp;"",""))</f>
        <v/>
      </c>
      <c r="G481" s="4"/>
      <c r="H481" s="4"/>
      <c r="I481" s="5" t="str">
        <f>IF((LEFT($F481,3)="ДОК"),"",IF($H481="","",IFERROR(INDEX(Материалы!$B$2:$B$9000,MATCH($H481,Материалы!$M$2:$M$9000,0)),"")))</f>
        <v/>
      </c>
      <c r="J481" s="6">
        <f>IF(AND(LEFT($F481,3)="ДОК",$H481&lt;&gt;""),IFERROR(INDEX(Документация!$E$2:$E$57,MATCH($H481,Документация!$F$2:$F$57,0)),0),IFERROR(INDEX(Работы!$H$2:$H$6000,MATCH($C481,Работы!$A$2:$A$6000,0)),0))*(1-MEDIAN(0,N(ДисконтТендер),1))</f>
        <v>0</v>
      </c>
      <c r="K481" s="6">
        <f>IF(OR((LEFT($F481,3)="ДОК"),$H481=""),0,IFERROR(INDEX(Материалы!$H$2:$H$9000,MATCH($H481,Материалы!$M$2:$M$9000,0))*IF(INDEX(Материалы!$I$2:$I$9000,MATCH($H481,Материалы!$M$2:$M$9000,0))="USD",КурсUSD,IF(INDEX(Материалы!$I$2:$I$9000,MATCH($H481,Материалы!$M$2:$M$9000,0))="EUR",КурсEUR,1))*(1+IFERROR(INDEX(Работы!$I$2:$I$6000,MATCH($C481,Работы!$A$2:$A$6000,0))/100,0))*(1-MEDIAN(0,N(ДисконтТендер),1)),0))</f>
        <v>0</v>
      </c>
      <c r="L481" s="6">
        <f t="shared" si="43"/>
        <v>0</v>
      </c>
      <c r="M481" s="6">
        <f t="shared" si="44"/>
        <v>0</v>
      </c>
      <c r="N481" s="6">
        <f t="shared" si="45"/>
        <v>0</v>
      </c>
      <c r="O481" t="str">
        <f>IF($N481&gt;0,MAX($O$1:$O480)+1,"")</f>
        <v/>
      </c>
      <c r="P481" t="str">
        <f>IF($C481="","",IFERROR(INDEX(Работы!$D$2:$D$6000,MATCH($C481,Работы!$A$2:$A$6000,0)),""))</f>
        <v/>
      </c>
      <c r="Q481" t="str">
        <f t="shared" si="46"/>
        <v/>
      </c>
      <c r="R481" t="str">
        <f t="shared" si="47"/>
        <v/>
      </c>
      <c r="S481" t="str">
        <f>IF($P481="","",$P481&amp;" · "&amp;IFERROR(INDEX(Работы!$E$2:$E$6000,MATCH($C481,Работы!$A$2:$A$6000,0)),""))</f>
        <v/>
      </c>
    </row>
    <row r="482" spans="1:19" x14ac:dyDescent="0.3">
      <c r="A482" s="4"/>
      <c r="B482" s="4"/>
      <c r="C482" t="str">
        <f t="shared" si="42"/>
        <v/>
      </c>
      <c r="D482" s="5" t="str">
        <f>IF($C482="","",IF(AND(LEFT($F482,3)="ДОК",$H482&lt;&gt;""),IFERROR(INDEX(Документация!$G$2:$G$57,MATCH($H482,Документация!$F$2:$F$57,0)),"— вариант не найден —"),IFERROR(INDEX(Работы!$B$2:$B$6000,MATCH($C482,Работы!$A$2:$A$6000,0)),"— нет такого кода —")))</f>
        <v/>
      </c>
      <c r="E482" t="str">
        <f>IF($C482="","",IF(AND(LEFT($F482,3)="ДОК",$H482&lt;&gt;""),IFERROR(INDEX(Документация!$D$2:$D$57,MATCH($H482,Документация!$F$2:$F$57,0)),""),IFERROR(INDEX(Работы!$C$2:$C$6000,MATCH($C482,Работы!$A$2:$A$6000,0)),"")))</f>
        <v/>
      </c>
      <c r="F482" t="str">
        <f>IF($C482="","",IFERROR(INDEX(Работы!$G$2:$G$6000,MATCH($C482,Работы!$A$2:$A$6000,0))&amp;"",""))</f>
        <v/>
      </c>
      <c r="G482" s="4"/>
      <c r="H482" s="4"/>
      <c r="I482" s="5" t="str">
        <f>IF((LEFT($F482,3)="ДОК"),"",IF($H482="","",IFERROR(INDEX(Материалы!$B$2:$B$9000,MATCH($H482,Материалы!$M$2:$M$9000,0)),"")))</f>
        <v/>
      </c>
      <c r="J482" s="6">
        <f>IF(AND(LEFT($F482,3)="ДОК",$H482&lt;&gt;""),IFERROR(INDEX(Документация!$E$2:$E$57,MATCH($H482,Документация!$F$2:$F$57,0)),0),IFERROR(INDEX(Работы!$H$2:$H$6000,MATCH($C482,Работы!$A$2:$A$6000,0)),0))*(1-MEDIAN(0,N(ДисконтТендер),1))</f>
        <v>0</v>
      </c>
      <c r="K482" s="6">
        <f>IF(OR((LEFT($F482,3)="ДОК"),$H482=""),0,IFERROR(INDEX(Материалы!$H$2:$H$9000,MATCH($H482,Материалы!$M$2:$M$9000,0))*IF(INDEX(Материалы!$I$2:$I$9000,MATCH($H482,Материалы!$M$2:$M$9000,0))="USD",КурсUSD,IF(INDEX(Материалы!$I$2:$I$9000,MATCH($H482,Материалы!$M$2:$M$9000,0))="EUR",КурсEUR,1))*(1+IFERROR(INDEX(Работы!$I$2:$I$6000,MATCH($C482,Работы!$A$2:$A$6000,0))/100,0))*(1-MEDIAN(0,N(ДисконтТендер),1)),0))</f>
        <v>0</v>
      </c>
      <c r="L482" s="6">
        <f t="shared" si="43"/>
        <v>0</v>
      </c>
      <c r="M482" s="6">
        <f t="shared" si="44"/>
        <v>0</v>
      </c>
      <c r="N482" s="6">
        <f t="shared" si="45"/>
        <v>0</v>
      </c>
      <c r="O482" t="str">
        <f>IF($N482&gt;0,MAX($O$1:$O481)+1,"")</f>
        <v/>
      </c>
      <c r="P482" t="str">
        <f>IF($C482="","",IFERROR(INDEX(Работы!$D$2:$D$6000,MATCH($C482,Работы!$A$2:$A$6000,0)),""))</f>
        <v/>
      </c>
      <c r="Q482" t="str">
        <f t="shared" si="46"/>
        <v/>
      </c>
      <c r="R482" t="str">
        <f t="shared" si="47"/>
        <v/>
      </c>
      <c r="S482" t="str">
        <f>IF($P482="","",$P482&amp;" · "&amp;IFERROR(INDEX(Работы!$E$2:$E$6000,MATCH($C482,Работы!$A$2:$A$6000,0)),""))</f>
        <v/>
      </c>
    </row>
    <row r="483" spans="1:19" x14ac:dyDescent="0.3">
      <c r="A483" s="4"/>
      <c r="B483" s="4"/>
      <c r="C483" t="str">
        <f t="shared" si="42"/>
        <v/>
      </c>
      <c r="D483" s="5" t="str">
        <f>IF($C483="","",IF(AND(LEFT($F483,3)="ДОК",$H483&lt;&gt;""),IFERROR(INDEX(Документация!$G$2:$G$57,MATCH($H483,Документация!$F$2:$F$57,0)),"— вариант не найден —"),IFERROR(INDEX(Работы!$B$2:$B$6000,MATCH($C483,Работы!$A$2:$A$6000,0)),"— нет такого кода —")))</f>
        <v/>
      </c>
      <c r="E483" t="str">
        <f>IF($C483="","",IF(AND(LEFT($F483,3)="ДОК",$H483&lt;&gt;""),IFERROR(INDEX(Документация!$D$2:$D$57,MATCH($H483,Документация!$F$2:$F$57,0)),""),IFERROR(INDEX(Работы!$C$2:$C$6000,MATCH($C483,Работы!$A$2:$A$6000,0)),"")))</f>
        <v/>
      </c>
      <c r="F483" t="str">
        <f>IF($C483="","",IFERROR(INDEX(Работы!$G$2:$G$6000,MATCH($C483,Работы!$A$2:$A$6000,0))&amp;"",""))</f>
        <v/>
      </c>
      <c r="G483" s="4"/>
      <c r="H483" s="4"/>
      <c r="I483" s="5" t="str">
        <f>IF((LEFT($F483,3)="ДОК"),"",IF($H483="","",IFERROR(INDEX(Материалы!$B$2:$B$9000,MATCH($H483,Материалы!$M$2:$M$9000,0)),"")))</f>
        <v/>
      </c>
      <c r="J483" s="6">
        <f>IF(AND(LEFT($F483,3)="ДОК",$H483&lt;&gt;""),IFERROR(INDEX(Документация!$E$2:$E$57,MATCH($H483,Документация!$F$2:$F$57,0)),0),IFERROR(INDEX(Работы!$H$2:$H$6000,MATCH($C483,Работы!$A$2:$A$6000,0)),0))*(1-MEDIAN(0,N(ДисконтТендер),1))</f>
        <v>0</v>
      </c>
      <c r="K483" s="6">
        <f>IF(OR((LEFT($F483,3)="ДОК"),$H483=""),0,IFERROR(INDEX(Материалы!$H$2:$H$9000,MATCH($H483,Материалы!$M$2:$M$9000,0))*IF(INDEX(Материалы!$I$2:$I$9000,MATCH($H483,Материалы!$M$2:$M$9000,0))="USD",КурсUSD,IF(INDEX(Материалы!$I$2:$I$9000,MATCH($H483,Материалы!$M$2:$M$9000,0))="EUR",КурсEUR,1))*(1+IFERROR(INDEX(Работы!$I$2:$I$6000,MATCH($C483,Работы!$A$2:$A$6000,0))/100,0))*(1-MEDIAN(0,N(ДисконтТендер),1)),0))</f>
        <v>0</v>
      </c>
      <c r="L483" s="6">
        <f t="shared" si="43"/>
        <v>0</v>
      </c>
      <c r="M483" s="6">
        <f t="shared" si="44"/>
        <v>0</v>
      </c>
      <c r="N483" s="6">
        <f t="shared" si="45"/>
        <v>0</v>
      </c>
      <c r="O483" t="str">
        <f>IF($N483&gt;0,MAX($O$1:$O482)+1,"")</f>
        <v/>
      </c>
      <c r="P483" t="str">
        <f>IF($C483="","",IFERROR(INDEX(Работы!$D$2:$D$6000,MATCH($C483,Работы!$A$2:$A$6000,0)),""))</f>
        <v/>
      </c>
      <c r="Q483" t="str">
        <f t="shared" si="46"/>
        <v/>
      </c>
      <c r="R483" t="str">
        <f t="shared" si="47"/>
        <v/>
      </c>
      <c r="S483" t="str">
        <f>IF($P483="","",$P483&amp;" · "&amp;IFERROR(INDEX(Работы!$E$2:$E$6000,MATCH($C483,Работы!$A$2:$A$6000,0)),""))</f>
        <v/>
      </c>
    </row>
    <row r="484" spans="1:19" x14ac:dyDescent="0.3">
      <c r="A484" s="4"/>
      <c r="B484" s="4"/>
      <c r="C484" t="str">
        <f t="shared" si="42"/>
        <v/>
      </c>
      <c r="D484" s="5" t="str">
        <f>IF($C484="","",IF(AND(LEFT($F484,3)="ДОК",$H484&lt;&gt;""),IFERROR(INDEX(Документация!$G$2:$G$57,MATCH($H484,Документация!$F$2:$F$57,0)),"— вариант не найден —"),IFERROR(INDEX(Работы!$B$2:$B$6000,MATCH($C484,Работы!$A$2:$A$6000,0)),"— нет такого кода —")))</f>
        <v/>
      </c>
      <c r="E484" t="str">
        <f>IF($C484="","",IF(AND(LEFT($F484,3)="ДОК",$H484&lt;&gt;""),IFERROR(INDEX(Документация!$D$2:$D$57,MATCH($H484,Документация!$F$2:$F$57,0)),""),IFERROR(INDEX(Работы!$C$2:$C$6000,MATCH($C484,Работы!$A$2:$A$6000,0)),"")))</f>
        <v/>
      </c>
      <c r="F484" t="str">
        <f>IF($C484="","",IFERROR(INDEX(Работы!$G$2:$G$6000,MATCH($C484,Работы!$A$2:$A$6000,0))&amp;"",""))</f>
        <v/>
      </c>
      <c r="G484" s="4"/>
      <c r="H484" s="4"/>
      <c r="I484" s="5" t="str">
        <f>IF((LEFT($F484,3)="ДОК"),"",IF($H484="","",IFERROR(INDEX(Материалы!$B$2:$B$9000,MATCH($H484,Материалы!$M$2:$M$9000,0)),"")))</f>
        <v/>
      </c>
      <c r="J484" s="6">
        <f>IF(AND(LEFT($F484,3)="ДОК",$H484&lt;&gt;""),IFERROR(INDEX(Документация!$E$2:$E$57,MATCH($H484,Документация!$F$2:$F$57,0)),0),IFERROR(INDEX(Работы!$H$2:$H$6000,MATCH($C484,Работы!$A$2:$A$6000,0)),0))*(1-MEDIAN(0,N(ДисконтТендер),1))</f>
        <v>0</v>
      </c>
      <c r="K484" s="6">
        <f>IF(OR((LEFT($F484,3)="ДОК"),$H484=""),0,IFERROR(INDEX(Материалы!$H$2:$H$9000,MATCH($H484,Материалы!$M$2:$M$9000,0))*IF(INDEX(Материалы!$I$2:$I$9000,MATCH($H484,Материалы!$M$2:$M$9000,0))="USD",КурсUSD,IF(INDEX(Материалы!$I$2:$I$9000,MATCH($H484,Материалы!$M$2:$M$9000,0))="EUR",КурсEUR,1))*(1+IFERROR(INDEX(Работы!$I$2:$I$6000,MATCH($C484,Работы!$A$2:$A$6000,0))/100,0))*(1-MEDIAN(0,N(ДисконтТендер),1)),0))</f>
        <v>0</v>
      </c>
      <c r="L484" s="6">
        <f t="shared" si="43"/>
        <v>0</v>
      </c>
      <c r="M484" s="6">
        <f t="shared" si="44"/>
        <v>0</v>
      </c>
      <c r="N484" s="6">
        <f t="shared" si="45"/>
        <v>0</v>
      </c>
      <c r="O484" t="str">
        <f>IF($N484&gt;0,MAX($O$1:$O483)+1,"")</f>
        <v/>
      </c>
      <c r="P484" t="str">
        <f>IF($C484="","",IFERROR(INDEX(Работы!$D$2:$D$6000,MATCH($C484,Работы!$A$2:$A$6000,0)),""))</f>
        <v/>
      </c>
      <c r="Q484" t="str">
        <f t="shared" si="46"/>
        <v/>
      </c>
      <c r="R484" t="str">
        <f t="shared" si="47"/>
        <v/>
      </c>
      <c r="S484" t="str">
        <f>IF($P484="","",$P484&amp;" · "&amp;IFERROR(INDEX(Работы!$E$2:$E$6000,MATCH($C484,Работы!$A$2:$A$6000,0)),""))</f>
        <v/>
      </c>
    </row>
    <row r="485" spans="1:19" x14ac:dyDescent="0.3">
      <c r="A485" s="4"/>
      <c r="B485" s="4"/>
      <c r="C485" t="str">
        <f t="shared" si="42"/>
        <v/>
      </c>
      <c r="D485" s="5" t="str">
        <f>IF($C485="","",IF(AND(LEFT($F485,3)="ДОК",$H485&lt;&gt;""),IFERROR(INDEX(Документация!$G$2:$G$57,MATCH($H485,Документация!$F$2:$F$57,0)),"— вариант не найден —"),IFERROR(INDEX(Работы!$B$2:$B$6000,MATCH($C485,Работы!$A$2:$A$6000,0)),"— нет такого кода —")))</f>
        <v/>
      </c>
      <c r="E485" t="str">
        <f>IF($C485="","",IF(AND(LEFT($F485,3)="ДОК",$H485&lt;&gt;""),IFERROR(INDEX(Документация!$D$2:$D$57,MATCH($H485,Документация!$F$2:$F$57,0)),""),IFERROR(INDEX(Работы!$C$2:$C$6000,MATCH($C485,Работы!$A$2:$A$6000,0)),"")))</f>
        <v/>
      </c>
      <c r="F485" t="str">
        <f>IF($C485="","",IFERROR(INDEX(Работы!$G$2:$G$6000,MATCH($C485,Работы!$A$2:$A$6000,0))&amp;"",""))</f>
        <v/>
      </c>
      <c r="G485" s="4"/>
      <c r="H485" s="4"/>
      <c r="I485" s="5" t="str">
        <f>IF((LEFT($F485,3)="ДОК"),"",IF($H485="","",IFERROR(INDEX(Материалы!$B$2:$B$9000,MATCH($H485,Материалы!$M$2:$M$9000,0)),"")))</f>
        <v/>
      </c>
      <c r="J485" s="6">
        <f>IF(AND(LEFT($F485,3)="ДОК",$H485&lt;&gt;""),IFERROR(INDEX(Документация!$E$2:$E$57,MATCH($H485,Документация!$F$2:$F$57,0)),0),IFERROR(INDEX(Работы!$H$2:$H$6000,MATCH($C485,Работы!$A$2:$A$6000,0)),0))*(1-MEDIAN(0,N(ДисконтТендер),1))</f>
        <v>0</v>
      </c>
      <c r="K485" s="6">
        <f>IF(OR((LEFT($F485,3)="ДОК"),$H485=""),0,IFERROR(INDEX(Материалы!$H$2:$H$9000,MATCH($H485,Материалы!$M$2:$M$9000,0))*IF(INDEX(Материалы!$I$2:$I$9000,MATCH($H485,Материалы!$M$2:$M$9000,0))="USD",КурсUSD,IF(INDEX(Материалы!$I$2:$I$9000,MATCH($H485,Материалы!$M$2:$M$9000,0))="EUR",КурсEUR,1))*(1+IFERROR(INDEX(Работы!$I$2:$I$6000,MATCH($C485,Работы!$A$2:$A$6000,0))/100,0))*(1-MEDIAN(0,N(ДисконтТендер),1)),0))</f>
        <v>0</v>
      </c>
      <c r="L485" s="6">
        <f t="shared" si="43"/>
        <v>0</v>
      </c>
      <c r="M485" s="6">
        <f t="shared" si="44"/>
        <v>0</v>
      </c>
      <c r="N485" s="6">
        <f t="shared" si="45"/>
        <v>0</v>
      </c>
      <c r="O485" t="str">
        <f>IF($N485&gt;0,MAX($O$1:$O484)+1,"")</f>
        <v/>
      </c>
      <c r="P485" t="str">
        <f>IF($C485="","",IFERROR(INDEX(Работы!$D$2:$D$6000,MATCH($C485,Работы!$A$2:$A$6000,0)),""))</f>
        <v/>
      </c>
      <c r="Q485" t="str">
        <f t="shared" si="46"/>
        <v/>
      </c>
      <c r="R485" t="str">
        <f t="shared" si="47"/>
        <v/>
      </c>
      <c r="S485" t="str">
        <f>IF($P485="","",$P485&amp;" · "&amp;IFERROR(INDEX(Работы!$E$2:$E$6000,MATCH($C485,Работы!$A$2:$A$6000,0)),""))</f>
        <v/>
      </c>
    </row>
    <row r="486" spans="1:19" x14ac:dyDescent="0.3">
      <c r="A486" s="4"/>
      <c r="B486" s="4"/>
      <c r="C486" t="str">
        <f t="shared" si="42"/>
        <v/>
      </c>
      <c r="D486" s="5" t="str">
        <f>IF($C486="","",IF(AND(LEFT($F486,3)="ДОК",$H486&lt;&gt;""),IFERROR(INDEX(Документация!$G$2:$G$57,MATCH($H486,Документация!$F$2:$F$57,0)),"— вариант не найден —"),IFERROR(INDEX(Работы!$B$2:$B$6000,MATCH($C486,Работы!$A$2:$A$6000,0)),"— нет такого кода —")))</f>
        <v/>
      </c>
      <c r="E486" t="str">
        <f>IF($C486="","",IF(AND(LEFT($F486,3)="ДОК",$H486&lt;&gt;""),IFERROR(INDEX(Документация!$D$2:$D$57,MATCH($H486,Документация!$F$2:$F$57,0)),""),IFERROR(INDEX(Работы!$C$2:$C$6000,MATCH($C486,Работы!$A$2:$A$6000,0)),"")))</f>
        <v/>
      </c>
      <c r="F486" t="str">
        <f>IF($C486="","",IFERROR(INDEX(Работы!$G$2:$G$6000,MATCH($C486,Работы!$A$2:$A$6000,0))&amp;"",""))</f>
        <v/>
      </c>
      <c r="G486" s="4"/>
      <c r="H486" s="4"/>
      <c r="I486" s="5" t="str">
        <f>IF((LEFT($F486,3)="ДОК"),"",IF($H486="","",IFERROR(INDEX(Материалы!$B$2:$B$9000,MATCH($H486,Материалы!$M$2:$M$9000,0)),"")))</f>
        <v/>
      </c>
      <c r="J486" s="6">
        <f>IF(AND(LEFT($F486,3)="ДОК",$H486&lt;&gt;""),IFERROR(INDEX(Документация!$E$2:$E$57,MATCH($H486,Документация!$F$2:$F$57,0)),0),IFERROR(INDEX(Работы!$H$2:$H$6000,MATCH($C486,Работы!$A$2:$A$6000,0)),0))*(1-MEDIAN(0,N(ДисконтТендер),1))</f>
        <v>0</v>
      </c>
      <c r="K486" s="6">
        <f>IF(OR((LEFT($F486,3)="ДОК"),$H486=""),0,IFERROR(INDEX(Материалы!$H$2:$H$9000,MATCH($H486,Материалы!$M$2:$M$9000,0))*IF(INDEX(Материалы!$I$2:$I$9000,MATCH($H486,Материалы!$M$2:$M$9000,0))="USD",КурсUSD,IF(INDEX(Материалы!$I$2:$I$9000,MATCH($H486,Материалы!$M$2:$M$9000,0))="EUR",КурсEUR,1))*(1+IFERROR(INDEX(Работы!$I$2:$I$6000,MATCH($C486,Работы!$A$2:$A$6000,0))/100,0))*(1-MEDIAN(0,N(ДисконтТендер),1)),0))</f>
        <v>0</v>
      </c>
      <c r="L486" s="6">
        <f t="shared" si="43"/>
        <v>0</v>
      </c>
      <c r="M486" s="6">
        <f t="shared" si="44"/>
        <v>0</v>
      </c>
      <c r="N486" s="6">
        <f t="shared" si="45"/>
        <v>0</v>
      </c>
      <c r="O486" t="str">
        <f>IF($N486&gt;0,MAX($O$1:$O485)+1,"")</f>
        <v/>
      </c>
      <c r="P486" t="str">
        <f>IF($C486="","",IFERROR(INDEX(Работы!$D$2:$D$6000,MATCH($C486,Работы!$A$2:$A$6000,0)),""))</f>
        <v/>
      </c>
      <c r="Q486" t="str">
        <f t="shared" si="46"/>
        <v/>
      </c>
      <c r="R486" t="str">
        <f t="shared" si="47"/>
        <v/>
      </c>
      <c r="S486" t="str">
        <f>IF($P486="","",$P486&amp;" · "&amp;IFERROR(INDEX(Работы!$E$2:$E$6000,MATCH($C486,Работы!$A$2:$A$6000,0)),""))</f>
        <v/>
      </c>
    </row>
    <row r="487" spans="1:19" x14ac:dyDescent="0.3">
      <c r="A487" s="4"/>
      <c r="B487" s="4"/>
      <c r="C487" t="str">
        <f t="shared" si="42"/>
        <v/>
      </c>
      <c r="D487" s="5" t="str">
        <f>IF($C487="","",IF(AND(LEFT($F487,3)="ДОК",$H487&lt;&gt;""),IFERROR(INDEX(Документация!$G$2:$G$57,MATCH($H487,Документация!$F$2:$F$57,0)),"— вариант не найден —"),IFERROR(INDEX(Работы!$B$2:$B$6000,MATCH($C487,Работы!$A$2:$A$6000,0)),"— нет такого кода —")))</f>
        <v/>
      </c>
      <c r="E487" t="str">
        <f>IF($C487="","",IF(AND(LEFT($F487,3)="ДОК",$H487&lt;&gt;""),IFERROR(INDEX(Документация!$D$2:$D$57,MATCH($H487,Документация!$F$2:$F$57,0)),""),IFERROR(INDEX(Работы!$C$2:$C$6000,MATCH($C487,Работы!$A$2:$A$6000,0)),"")))</f>
        <v/>
      </c>
      <c r="F487" t="str">
        <f>IF($C487="","",IFERROR(INDEX(Работы!$G$2:$G$6000,MATCH($C487,Работы!$A$2:$A$6000,0))&amp;"",""))</f>
        <v/>
      </c>
      <c r="G487" s="4"/>
      <c r="H487" s="4"/>
      <c r="I487" s="5" t="str">
        <f>IF((LEFT($F487,3)="ДОК"),"",IF($H487="","",IFERROR(INDEX(Материалы!$B$2:$B$9000,MATCH($H487,Материалы!$M$2:$M$9000,0)),"")))</f>
        <v/>
      </c>
      <c r="J487" s="6">
        <f>IF(AND(LEFT($F487,3)="ДОК",$H487&lt;&gt;""),IFERROR(INDEX(Документация!$E$2:$E$57,MATCH($H487,Документация!$F$2:$F$57,0)),0),IFERROR(INDEX(Работы!$H$2:$H$6000,MATCH($C487,Работы!$A$2:$A$6000,0)),0))*(1-MEDIAN(0,N(ДисконтТендер),1))</f>
        <v>0</v>
      </c>
      <c r="K487" s="6">
        <f>IF(OR((LEFT($F487,3)="ДОК"),$H487=""),0,IFERROR(INDEX(Материалы!$H$2:$H$9000,MATCH($H487,Материалы!$M$2:$M$9000,0))*IF(INDEX(Материалы!$I$2:$I$9000,MATCH($H487,Материалы!$M$2:$M$9000,0))="USD",КурсUSD,IF(INDEX(Материалы!$I$2:$I$9000,MATCH($H487,Материалы!$M$2:$M$9000,0))="EUR",КурсEUR,1))*(1+IFERROR(INDEX(Работы!$I$2:$I$6000,MATCH($C487,Работы!$A$2:$A$6000,0))/100,0))*(1-MEDIAN(0,N(ДисконтТендер),1)),0))</f>
        <v>0</v>
      </c>
      <c r="L487" s="6">
        <f t="shared" si="43"/>
        <v>0</v>
      </c>
      <c r="M487" s="6">
        <f t="shared" si="44"/>
        <v>0</v>
      </c>
      <c r="N487" s="6">
        <f t="shared" si="45"/>
        <v>0</v>
      </c>
      <c r="O487" t="str">
        <f>IF($N487&gt;0,MAX($O$1:$O486)+1,"")</f>
        <v/>
      </c>
      <c r="P487" t="str">
        <f>IF($C487="","",IFERROR(INDEX(Работы!$D$2:$D$6000,MATCH($C487,Работы!$A$2:$A$6000,0)),""))</f>
        <v/>
      </c>
      <c r="Q487" t="str">
        <f t="shared" si="46"/>
        <v/>
      </c>
      <c r="R487" t="str">
        <f t="shared" si="47"/>
        <v/>
      </c>
      <c r="S487" t="str">
        <f>IF($P487="","",$P487&amp;" · "&amp;IFERROR(INDEX(Работы!$E$2:$E$6000,MATCH($C487,Работы!$A$2:$A$6000,0)),""))</f>
        <v/>
      </c>
    </row>
    <row r="488" spans="1:19" x14ac:dyDescent="0.3">
      <c r="A488" s="4"/>
      <c r="B488" s="4"/>
      <c r="C488" t="str">
        <f t="shared" si="42"/>
        <v/>
      </c>
      <c r="D488" s="5" t="str">
        <f>IF($C488="","",IF(AND(LEFT($F488,3)="ДОК",$H488&lt;&gt;""),IFERROR(INDEX(Документация!$G$2:$G$57,MATCH($H488,Документация!$F$2:$F$57,0)),"— вариант не найден —"),IFERROR(INDEX(Работы!$B$2:$B$6000,MATCH($C488,Работы!$A$2:$A$6000,0)),"— нет такого кода —")))</f>
        <v/>
      </c>
      <c r="E488" t="str">
        <f>IF($C488="","",IF(AND(LEFT($F488,3)="ДОК",$H488&lt;&gt;""),IFERROR(INDEX(Документация!$D$2:$D$57,MATCH($H488,Документация!$F$2:$F$57,0)),""),IFERROR(INDEX(Работы!$C$2:$C$6000,MATCH($C488,Работы!$A$2:$A$6000,0)),"")))</f>
        <v/>
      </c>
      <c r="F488" t="str">
        <f>IF($C488="","",IFERROR(INDEX(Работы!$G$2:$G$6000,MATCH($C488,Работы!$A$2:$A$6000,0))&amp;"",""))</f>
        <v/>
      </c>
      <c r="G488" s="4"/>
      <c r="H488" s="4"/>
      <c r="I488" s="5" t="str">
        <f>IF((LEFT($F488,3)="ДОК"),"",IF($H488="","",IFERROR(INDEX(Материалы!$B$2:$B$9000,MATCH($H488,Материалы!$M$2:$M$9000,0)),"")))</f>
        <v/>
      </c>
      <c r="J488" s="6">
        <f>IF(AND(LEFT($F488,3)="ДОК",$H488&lt;&gt;""),IFERROR(INDEX(Документация!$E$2:$E$57,MATCH($H488,Документация!$F$2:$F$57,0)),0),IFERROR(INDEX(Работы!$H$2:$H$6000,MATCH($C488,Работы!$A$2:$A$6000,0)),0))*(1-MEDIAN(0,N(ДисконтТендер),1))</f>
        <v>0</v>
      </c>
      <c r="K488" s="6">
        <f>IF(OR((LEFT($F488,3)="ДОК"),$H488=""),0,IFERROR(INDEX(Материалы!$H$2:$H$9000,MATCH($H488,Материалы!$M$2:$M$9000,0))*IF(INDEX(Материалы!$I$2:$I$9000,MATCH($H488,Материалы!$M$2:$M$9000,0))="USD",КурсUSD,IF(INDEX(Материалы!$I$2:$I$9000,MATCH($H488,Материалы!$M$2:$M$9000,0))="EUR",КурсEUR,1))*(1+IFERROR(INDEX(Работы!$I$2:$I$6000,MATCH($C488,Работы!$A$2:$A$6000,0))/100,0))*(1-MEDIAN(0,N(ДисконтТендер),1)),0))</f>
        <v>0</v>
      </c>
      <c r="L488" s="6">
        <f t="shared" si="43"/>
        <v>0</v>
      </c>
      <c r="M488" s="6">
        <f t="shared" si="44"/>
        <v>0</v>
      </c>
      <c r="N488" s="6">
        <f t="shared" si="45"/>
        <v>0</v>
      </c>
      <c r="O488" t="str">
        <f>IF($N488&gt;0,MAX($O$1:$O487)+1,"")</f>
        <v/>
      </c>
      <c r="P488" t="str">
        <f>IF($C488="","",IFERROR(INDEX(Работы!$D$2:$D$6000,MATCH($C488,Работы!$A$2:$A$6000,0)),""))</f>
        <v/>
      </c>
      <c r="Q488" t="str">
        <f t="shared" si="46"/>
        <v/>
      </c>
      <c r="R488" t="str">
        <f t="shared" si="47"/>
        <v/>
      </c>
      <c r="S488" t="str">
        <f>IF($P488="","",$P488&amp;" · "&amp;IFERROR(INDEX(Работы!$E$2:$E$6000,MATCH($C488,Работы!$A$2:$A$6000,0)),""))</f>
        <v/>
      </c>
    </row>
    <row r="489" spans="1:19" x14ac:dyDescent="0.3">
      <c r="A489" s="4"/>
      <c r="B489" s="4"/>
      <c r="C489" t="str">
        <f t="shared" si="42"/>
        <v/>
      </c>
      <c r="D489" s="5" t="str">
        <f>IF($C489="","",IF(AND(LEFT($F489,3)="ДОК",$H489&lt;&gt;""),IFERROR(INDEX(Документация!$G$2:$G$57,MATCH($H489,Документация!$F$2:$F$57,0)),"— вариант не найден —"),IFERROR(INDEX(Работы!$B$2:$B$6000,MATCH($C489,Работы!$A$2:$A$6000,0)),"— нет такого кода —")))</f>
        <v/>
      </c>
      <c r="E489" t="str">
        <f>IF($C489="","",IF(AND(LEFT($F489,3)="ДОК",$H489&lt;&gt;""),IFERROR(INDEX(Документация!$D$2:$D$57,MATCH($H489,Документация!$F$2:$F$57,0)),""),IFERROR(INDEX(Работы!$C$2:$C$6000,MATCH($C489,Работы!$A$2:$A$6000,0)),"")))</f>
        <v/>
      </c>
      <c r="F489" t="str">
        <f>IF($C489="","",IFERROR(INDEX(Работы!$G$2:$G$6000,MATCH($C489,Работы!$A$2:$A$6000,0))&amp;"",""))</f>
        <v/>
      </c>
      <c r="G489" s="4"/>
      <c r="H489" s="4"/>
      <c r="I489" s="5" t="str">
        <f>IF((LEFT($F489,3)="ДОК"),"",IF($H489="","",IFERROR(INDEX(Материалы!$B$2:$B$9000,MATCH($H489,Материалы!$M$2:$M$9000,0)),"")))</f>
        <v/>
      </c>
      <c r="J489" s="6">
        <f>IF(AND(LEFT($F489,3)="ДОК",$H489&lt;&gt;""),IFERROR(INDEX(Документация!$E$2:$E$57,MATCH($H489,Документация!$F$2:$F$57,0)),0),IFERROR(INDEX(Работы!$H$2:$H$6000,MATCH($C489,Работы!$A$2:$A$6000,0)),0))*(1-MEDIAN(0,N(ДисконтТендер),1))</f>
        <v>0</v>
      </c>
      <c r="K489" s="6">
        <f>IF(OR((LEFT($F489,3)="ДОК"),$H489=""),0,IFERROR(INDEX(Материалы!$H$2:$H$9000,MATCH($H489,Материалы!$M$2:$M$9000,0))*IF(INDEX(Материалы!$I$2:$I$9000,MATCH($H489,Материалы!$M$2:$M$9000,0))="USD",КурсUSD,IF(INDEX(Материалы!$I$2:$I$9000,MATCH($H489,Материалы!$M$2:$M$9000,0))="EUR",КурсEUR,1))*(1+IFERROR(INDEX(Работы!$I$2:$I$6000,MATCH($C489,Работы!$A$2:$A$6000,0))/100,0))*(1-MEDIAN(0,N(ДисконтТендер),1)),0))</f>
        <v>0</v>
      </c>
      <c r="L489" s="6">
        <f t="shared" si="43"/>
        <v>0</v>
      </c>
      <c r="M489" s="6">
        <f t="shared" si="44"/>
        <v>0</v>
      </c>
      <c r="N489" s="6">
        <f t="shared" si="45"/>
        <v>0</v>
      </c>
      <c r="O489" t="str">
        <f>IF($N489&gt;0,MAX($O$1:$O488)+1,"")</f>
        <v/>
      </c>
      <c r="P489" t="str">
        <f>IF($C489="","",IFERROR(INDEX(Работы!$D$2:$D$6000,MATCH($C489,Работы!$A$2:$A$6000,0)),""))</f>
        <v/>
      </c>
      <c r="Q489" t="str">
        <f t="shared" si="46"/>
        <v/>
      </c>
      <c r="R489" t="str">
        <f t="shared" si="47"/>
        <v/>
      </c>
      <c r="S489" t="str">
        <f>IF($P489="","",$P489&amp;" · "&amp;IFERROR(INDEX(Работы!$E$2:$E$6000,MATCH($C489,Работы!$A$2:$A$6000,0)),""))</f>
        <v/>
      </c>
    </row>
    <row r="490" spans="1:19" x14ac:dyDescent="0.3">
      <c r="A490" s="4"/>
      <c r="B490" s="4"/>
      <c r="C490" t="str">
        <f t="shared" si="42"/>
        <v/>
      </c>
      <c r="D490" s="5" t="str">
        <f>IF($C490="","",IF(AND(LEFT($F490,3)="ДОК",$H490&lt;&gt;""),IFERROR(INDEX(Документация!$G$2:$G$57,MATCH($H490,Документация!$F$2:$F$57,0)),"— вариант не найден —"),IFERROR(INDEX(Работы!$B$2:$B$6000,MATCH($C490,Работы!$A$2:$A$6000,0)),"— нет такого кода —")))</f>
        <v/>
      </c>
      <c r="E490" t="str">
        <f>IF($C490="","",IF(AND(LEFT($F490,3)="ДОК",$H490&lt;&gt;""),IFERROR(INDEX(Документация!$D$2:$D$57,MATCH($H490,Документация!$F$2:$F$57,0)),""),IFERROR(INDEX(Работы!$C$2:$C$6000,MATCH($C490,Работы!$A$2:$A$6000,0)),"")))</f>
        <v/>
      </c>
      <c r="F490" t="str">
        <f>IF($C490="","",IFERROR(INDEX(Работы!$G$2:$G$6000,MATCH($C490,Работы!$A$2:$A$6000,0))&amp;"",""))</f>
        <v/>
      </c>
      <c r="G490" s="4"/>
      <c r="H490" s="4"/>
      <c r="I490" s="5" t="str">
        <f>IF((LEFT($F490,3)="ДОК"),"",IF($H490="","",IFERROR(INDEX(Материалы!$B$2:$B$9000,MATCH($H490,Материалы!$M$2:$M$9000,0)),"")))</f>
        <v/>
      </c>
      <c r="J490" s="6">
        <f>IF(AND(LEFT($F490,3)="ДОК",$H490&lt;&gt;""),IFERROR(INDEX(Документация!$E$2:$E$57,MATCH($H490,Документация!$F$2:$F$57,0)),0),IFERROR(INDEX(Работы!$H$2:$H$6000,MATCH($C490,Работы!$A$2:$A$6000,0)),0))*(1-MEDIAN(0,N(ДисконтТендер),1))</f>
        <v>0</v>
      </c>
      <c r="K490" s="6">
        <f>IF(OR((LEFT($F490,3)="ДОК"),$H490=""),0,IFERROR(INDEX(Материалы!$H$2:$H$9000,MATCH($H490,Материалы!$M$2:$M$9000,0))*IF(INDEX(Материалы!$I$2:$I$9000,MATCH($H490,Материалы!$M$2:$M$9000,0))="USD",КурсUSD,IF(INDEX(Материалы!$I$2:$I$9000,MATCH($H490,Материалы!$M$2:$M$9000,0))="EUR",КурсEUR,1))*(1+IFERROR(INDEX(Работы!$I$2:$I$6000,MATCH($C490,Работы!$A$2:$A$6000,0))/100,0))*(1-MEDIAN(0,N(ДисконтТендер),1)),0))</f>
        <v>0</v>
      </c>
      <c r="L490" s="6">
        <f t="shared" si="43"/>
        <v>0</v>
      </c>
      <c r="M490" s="6">
        <f t="shared" si="44"/>
        <v>0</v>
      </c>
      <c r="N490" s="6">
        <f t="shared" si="45"/>
        <v>0</v>
      </c>
      <c r="O490" t="str">
        <f>IF($N490&gt;0,MAX($O$1:$O489)+1,"")</f>
        <v/>
      </c>
      <c r="P490" t="str">
        <f>IF($C490="","",IFERROR(INDEX(Работы!$D$2:$D$6000,MATCH($C490,Работы!$A$2:$A$6000,0)),""))</f>
        <v/>
      </c>
      <c r="Q490" t="str">
        <f t="shared" si="46"/>
        <v/>
      </c>
      <c r="R490" t="str">
        <f t="shared" si="47"/>
        <v/>
      </c>
      <c r="S490" t="str">
        <f>IF($P490="","",$P490&amp;" · "&amp;IFERROR(INDEX(Работы!$E$2:$E$6000,MATCH($C490,Работы!$A$2:$A$6000,0)),""))</f>
        <v/>
      </c>
    </row>
    <row r="491" spans="1:19" x14ac:dyDescent="0.3">
      <c r="A491" s="4"/>
      <c r="B491" s="4"/>
      <c r="C491" t="str">
        <f t="shared" si="42"/>
        <v/>
      </c>
      <c r="D491" s="5" t="str">
        <f>IF($C491="","",IF(AND(LEFT($F491,3)="ДОК",$H491&lt;&gt;""),IFERROR(INDEX(Документация!$G$2:$G$57,MATCH($H491,Документация!$F$2:$F$57,0)),"— вариант не найден —"),IFERROR(INDEX(Работы!$B$2:$B$6000,MATCH($C491,Работы!$A$2:$A$6000,0)),"— нет такого кода —")))</f>
        <v/>
      </c>
      <c r="E491" t="str">
        <f>IF($C491="","",IF(AND(LEFT($F491,3)="ДОК",$H491&lt;&gt;""),IFERROR(INDEX(Документация!$D$2:$D$57,MATCH($H491,Документация!$F$2:$F$57,0)),""),IFERROR(INDEX(Работы!$C$2:$C$6000,MATCH($C491,Работы!$A$2:$A$6000,0)),"")))</f>
        <v/>
      </c>
      <c r="F491" t="str">
        <f>IF($C491="","",IFERROR(INDEX(Работы!$G$2:$G$6000,MATCH($C491,Работы!$A$2:$A$6000,0))&amp;"",""))</f>
        <v/>
      </c>
      <c r="G491" s="4"/>
      <c r="H491" s="4"/>
      <c r="I491" s="5" t="str">
        <f>IF((LEFT($F491,3)="ДОК"),"",IF($H491="","",IFERROR(INDEX(Материалы!$B$2:$B$9000,MATCH($H491,Материалы!$M$2:$M$9000,0)),"")))</f>
        <v/>
      </c>
      <c r="J491" s="6">
        <f>IF(AND(LEFT($F491,3)="ДОК",$H491&lt;&gt;""),IFERROR(INDEX(Документация!$E$2:$E$57,MATCH($H491,Документация!$F$2:$F$57,0)),0),IFERROR(INDEX(Работы!$H$2:$H$6000,MATCH($C491,Работы!$A$2:$A$6000,0)),0))*(1-MEDIAN(0,N(ДисконтТендер),1))</f>
        <v>0</v>
      </c>
      <c r="K491" s="6">
        <f>IF(OR((LEFT($F491,3)="ДОК"),$H491=""),0,IFERROR(INDEX(Материалы!$H$2:$H$9000,MATCH($H491,Материалы!$M$2:$M$9000,0))*IF(INDEX(Материалы!$I$2:$I$9000,MATCH($H491,Материалы!$M$2:$M$9000,0))="USD",КурсUSD,IF(INDEX(Материалы!$I$2:$I$9000,MATCH($H491,Материалы!$M$2:$M$9000,0))="EUR",КурсEUR,1))*(1+IFERROR(INDEX(Работы!$I$2:$I$6000,MATCH($C491,Работы!$A$2:$A$6000,0))/100,0))*(1-MEDIAN(0,N(ДисконтТендер),1)),0))</f>
        <v>0</v>
      </c>
      <c r="L491" s="6">
        <f t="shared" si="43"/>
        <v>0</v>
      </c>
      <c r="M491" s="6">
        <f t="shared" si="44"/>
        <v>0</v>
      </c>
      <c r="N491" s="6">
        <f t="shared" si="45"/>
        <v>0</v>
      </c>
      <c r="O491" t="str">
        <f>IF($N491&gt;0,MAX($O$1:$O490)+1,"")</f>
        <v/>
      </c>
      <c r="P491" t="str">
        <f>IF($C491="","",IFERROR(INDEX(Работы!$D$2:$D$6000,MATCH($C491,Работы!$A$2:$A$6000,0)),""))</f>
        <v/>
      </c>
      <c r="Q491" t="str">
        <f t="shared" si="46"/>
        <v/>
      </c>
      <c r="R491" t="str">
        <f t="shared" si="47"/>
        <v/>
      </c>
      <c r="S491" t="str">
        <f>IF($P491="","",$P491&amp;" · "&amp;IFERROR(INDEX(Работы!$E$2:$E$6000,MATCH($C491,Работы!$A$2:$A$6000,0)),""))</f>
        <v/>
      </c>
    </row>
    <row r="492" spans="1:19" x14ac:dyDescent="0.3">
      <c r="A492" s="4"/>
      <c r="B492" s="4"/>
      <c r="C492" t="str">
        <f t="shared" si="42"/>
        <v/>
      </c>
      <c r="D492" s="5" t="str">
        <f>IF($C492="","",IF(AND(LEFT($F492,3)="ДОК",$H492&lt;&gt;""),IFERROR(INDEX(Документация!$G$2:$G$57,MATCH($H492,Документация!$F$2:$F$57,0)),"— вариант не найден —"),IFERROR(INDEX(Работы!$B$2:$B$6000,MATCH($C492,Работы!$A$2:$A$6000,0)),"— нет такого кода —")))</f>
        <v/>
      </c>
      <c r="E492" t="str">
        <f>IF($C492="","",IF(AND(LEFT($F492,3)="ДОК",$H492&lt;&gt;""),IFERROR(INDEX(Документация!$D$2:$D$57,MATCH($H492,Документация!$F$2:$F$57,0)),""),IFERROR(INDEX(Работы!$C$2:$C$6000,MATCH($C492,Работы!$A$2:$A$6000,0)),"")))</f>
        <v/>
      </c>
      <c r="F492" t="str">
        <f>IF($C492="","",IFERROR(INDEX(Работы!$G$2:$G$6000,MATCH($C492,Работы!$A$2:$A$6000,0))&amp;"",""))</f>
        <v/>
      </c>
      <c r="G492" s="4"/>
      <c r="H492" s="4"/>
      <c r="I492" s="5" t="str">
        <f>IF((LEFT($F492,3)="ДОК"),"",IF($H492="","",IFERROR(INDEX(Материалы!$B$2:$B$9000,MATCH($H492,Материалы!$M$2:$M$9000,0)),"")))</f>
        <v/>
      </c>
      <c r="J492" s="6">
        <f>IF(AND(LEFT($F492,3)="ДОК",$H492&lt;&gt;""),IFERROR(INDEX(Документация!$E$2:$E$57,MATCH($H492,Документация!$F$2:$F$57,0)),0),IFERROR(INDEX(Работы!$H$2:$H$6000,MATCH($C492,Работы!$A$2:$A$6000,0)),0))*(1-MEDIAN(0,N(ДисконтТендер),1))</f>
        <v>0</v>
      </c>
      <c r="K492" s="6">
        <f>IF(OR((LEFT($F492,3)="ДОК"),$H492=""),0,IFERROR(INDEX(Материалы!$H$2:$H$9000,MATCH($H492,Материалы!$M$2:$M$9000,0))*IF(INDEX(Материалы!$I$2:$I$9000,MATCH($H492,Материалы!$M$2:$M$9000,0))="USD",КурсUSD,IF(INDEX(Материалы!$I$2:$I$9000,MATCH($H492,Материалы!$M$2:$M$9000,0))="EUR",КурсEUR,1))*(1+IFERROR(INDEX(Работы!$I$2:$I$6000,MATCH($C492,Работы!$A$2:$A$6000,0))/100,0))*(1-MEDIAN(0,N(ДисконтТендер),1)),0))</f>
        <v>0</v>
      </c>
      <c r="L492" s="6">
        <f t="shared" si="43"/>
        <v>0</v>
      </c>
      <c r="M492" s="6">
        <f t="shared" si="44"/>
        <v>0</v>
      </c>
      <c r="N492" s="6">
        <f t="shared" si="45"/>
        <v>0</v>
      </c>
      <c r="O492" t="str">
        <f>IF($N492&gt;0,MAX($O$1:$O491)+1,"")</f>
        <v/>
      </c>
      <c r="P492" t="str">
        <f>IF($C492="","",IFERROR(INDEX(Работы!$D$2:$D$6000,MATCH($C492,Работы!$A$2:$A$6000,0)),""))</f>
        <v/>
      </c>
      <c r="Q492" t="str">
        <f t="shared" si="46"/>
        <v/>
      </c>
      <c r="R492" t="str">
        <f t="shared" si="47"/>
        <v/>
      </c>
      <c r="S492" t="str">
        <f>IF($P492="","",$P492&amp;" · "&amp;IFERROR(INDEX(Работы!$E$2:$E$6000,MATCH($C492,Работы!$A$2:$A$6000,0)),""))</f>
        <v/>
      </c>
    </row>
    <row r="493" spans="1:19" x14ac:dyDescent="0.3">
      <c r="A493" s="4"/>
      <c r="B493" s="4"/>
      <c r="C493" t="str">
        <f t="shared" si="42"/>
        <v/>
      </c>
      <c r="D493" s="5" t="str">
        <f>IF($C493="","",IF(AND(LEFT($F493,3)="ДОК",$H493&lt;&gt;""),IFERROR(INDEX(Документация!$G$2:$G$57,MATCH($H493,Документация!$F$2:$F$57,0)),"— вариант не найден —"),IFERROR(INDEX(Работы!$B$2:$B$6000,MATCH($C493,Работы!$A$2:$A$6000,0)),"— нет такого кода —")))</f>
        <v/>
      </c>
      <c r="E493" t="str">
        <f>IF($C493="","",IF(AND(LEFT($F493,3)="ДОК",$H493&lt;&gt;""),IFERROR(INDEX(Документация!$D$2:$D$57,MATCH($H493,Документация!$F$2:$F$57,0)),""),IFERROR(INDEX(Работы!$C$2:$C$6000,MATCH($C493,Работы!$A$2:$A$6000,0)),"")))</f>
        <v/>
      </c>
      <c r="F493" t="str">
        <f>IF($C493="","",IFERROR(INDEX(Работы!$G$2:$G$6000,MATCH($C493,Работы!$A$2:$A$6000,0))&amp;"",""))</f>
        <v/>
      </c>
      <c r="G493" s="4"/>
      <c r="H493" s="4"/>
      <c r="I493" s="5" t="str">
        <f>IF((LEFT($F493,3)="ДОК"),"",IF($H493="","",IFERROR(INDEX(Материалы!$B$2:$B$9000,MATCH($H493,Материалы!$M$2:$M$9000,0)),"")))</f>
        <v/>
      </c>
      <c r="J493" s="6">
        <f>IF(AND(LEFT($F493,3)="ДОК",$H493&lt;&gt;""),IFERROR(INDEX(Документация!$E$2:$E$57,MATCH($H493,Документация!$F$2:$F$57,0)),0),IFERROR(INDEX(Работы!$H$2:$H$6000,MATCH($C493,Работы!$A$2:$A$6000,0)),0))*(1-MEDIAN(0,N(ДисконтТендер),1))</f>
        <v>0</v>
      </c>
      <c r="K493" s="6">
        <f>IF(OR((LEFT($F493,3)="ДОК"),$H493=""),0,IFERROR(INDEX(Материалы!$H$2:$H$9000,MATCH($H493,Материалы!$M$2:$M$9000,0))*IF(INDEX(Материалы!$I$2:$I$9000,MATCH($H493,Материалы!$M$2:$M$9000,0))="USD",КурсUSD,IF(INDEX(Материалы!$I$2:$I$9000,MATCH($H493,Материалы!$M$2:$M$9000,0))="EUR",КурсEUR,1))*(1+IFERROR(INDEX(Работы!$I$2:$I$6000,MATCH($C493,Работы!$A$2:$A$6000,0))/100,0))*(1-MEDIAN(0,N(ДисконтТендер),1)),0))</f>
        <v>0</v>
      </c>
      <c r="L493" s="6">
        <f t="shared" si="43"/>
        <v>0</v>
      </c>
      <c r="M493" s="6">
        <f t="shared" si="44"/>
        <v>0</v>
      </c>
      <c r="N493" s="6">
        <f t="shared" si="45"/>
        <v>0</v>
      </c>
      <c r="O493" t="str">
        <f>IF($N493&gt;0,MAX($O$1:$O492)+1,"")</f>
        <v/>
      </c>
      <c r="P493" t="str">
        <f>IF($C493="","",IFERROR(INDEX(Работы!$D$2:$D$6000,MATCH($C493,Работы!$A$2:$A$6000,0)),""))</f>
        <v/>
      </c>
      <c r="Q493" t="str">
        <f t="shared" si="46"/>
        <v/>
      </c>
      <c r="R493" t="str">
        <f t="shared" si="47"/>
        <v/>
      </c>
      <c r="S493" t="str">
        <f>IF($P493="","",$P493&amp;" · "&amp;IFERROR(INDEX(Работы!$E$2:$E$6000,MATCH($C493,Работы!$A$2:$A$6000,0)),""))</f>
        <v/>
      </c>
    </row>
    <row r="494" spans="1:19" x14ac:dyDescent="0.3">
      <c r="A494" s="4"/>
      <c r="B494" s="4"/>
      <c r="C494" t="str">
        <f t="shared" si="42"/>
        <v/>
      </c>
      <c r="D494" s="5" t="str">
        <f>IF($C494="","",IF(AND(LEFT($F494,3)="ДОК",$H494&lt;&gt;""),IFERROR(INDEX(Документация!$G$2:$G$57,MATCH($H494,Документация!$F$2:$F$57,0)),"— вариант не найден —"),IFERROR(INDEX(Работы!$B$2:$B$6000,MATCH($C494,Работы!$A$2:$A$6000,0)),"— нет такого кода —")))</f>
        <v/>
      </c>
      <c r="E494" t="str">
        <f>IF($C494="","",IF(AND(LEFT($F494,3)="ДОК",$H494&lt;&gt;""),IFERROR(INDEX(Документация!$D$2:$D$57,MATCH($H494,Документация!$F$2:$F$57,0)),""),IFERROR(INDEX(Работы!$C$2:$C$6000,MATCH($C494,Работы!$A$2:$A$6000,0)),"")))</f>
        <v/>
      </c>
      <c r="F494" t="str">
        <f>IF($C494="","",IFERROR(INDEX(Работы!$G$2:$G$6000,MATCH($C494,Работы!$A$2:$A$6000,0))&amp;"",""))</f>
        <v/>
      </c>
      <c r="G494" s="4"/>
      <c r="H494" s="4"/>
      <c r="I494" s="5" t="str">
        <f>IF((LEFT($F494,3)="ДОК"),"",IF($H494="","",IFERROR(INDEX(Материалы!$B$2:$B$9000,MATCH($H494,Материалы!$M$2:$M$9000,0)),"")))</f>
        <v/>
      </c>
      <c r="J494" s="6">
        <f>IF(AND(LEFT($F494,3)="ДОК",$H494&lt;&gt;""),IFERROR(INDEX(Документация!$E$2:$E$57,MATCH($H494,Документация!$F$2:$F$57,0)),0),IFERROR(INDEX(Работы!$H$2:$H$6000,MATCH($C494,Работы!$A$2:$A$6000,0)),0))*(1-MEDIAN(0,N(ДисконтТендер),1))</f>
        <v>0</v>
      </c>
      <c r="K494" s="6">
        <f>IF(OR((LEFT($F494,3)="ДОК"),$H494=""),0,IFERROR(INDEX(Материалы!$H$2:$H$9000,MATCH($H494,Материалы!$M$2:$M$9000,0))*IF(INDEX(Материалы!$I$2:$I$9000,MATCH($H494,Материалы!$M$2:$M$9000,0))="USD",КурсUSD,IF(INDEX(Материалы!$I$2:$I$9000,MATCH($H494,Материалы!$M$2:$M$9000,0))="EUR",КурсEUR,1))*(1+IFERROR(INDEX(Работы!$I$2:$I$6000,MATCH($C494,Работы!$A$2:$A$6000,0))/100,0))*(1-MEDIAN(0,N(ДисконтТендер),1)),0))</f>
        <v>0</v>
      </c>
      <c r="L494" s="6">
        <f t="shared" si="43"/>
        <v>0</v>
      </c>
      <c r="M494" s="6">
        <f t="shared" si="44"/>
        <v>0</v>
      </c>
      <c r="N494" s="6">
        <f t="shared" si="45"/>
        <v>0</v>
      </c>
      <c r="O494" t="str">
        <f>IF($N494&gt;0,MAX($O$1:$O493)+1,"")</f>
        <v/>
      </c>
      <c r="P494" t="str">
        <f>IF($C494="","",IFERROR(INDEX(Работы!$D$2:$D$6000,MATCH($C494,Работы!$A$2:$A$6000,0)),""))</f>
        <v/>
      </c>
      <c r="Q494" t="str">
        <f t="shared" si="46"/>
        <v/>
      </c>
      <c r="R494" t="str">
        <f t="shared" si="47"/>
        <v/>
      </c>
      <c r="S494" t="str">
        <f>IF($P494="","",$P494&amp;" · "&amp;IFERROR(INDEX(Работы!$E$2:$E$6000,MATCH($C494,Работы!$A$2:$A$6000,0)),""))</f>
        <v/>
      </c>
    </row>
    <row r="495" spans="1:19" x14ac:dyDescent="0.3">
      <c r="A495" s="4"/>
      <c r="B495" s="4"/>
      <c r="C495" t="str">
        <f t="shared" si="42"/>
        <v/>
      </c>
      <c r="D495" s="5" t="str">
        <f>IF($C495="","",IF(AND(LEFT($F495,3)="ДОК",$H495&lt;&gt;""),IFERROR(INDEX(Документация!$G$2:$G$57,MATCH($H495,Документация!$F$2:$F$57,0)),"— вариант не найден —"),IFERROR(INDEX(Работы!$B$2:$B$6000,MATCH($C495,Работы!$A$2:$A$6000,0)),"— нет такого кода —")))</f>
        <v/>
      </c>
      <c r="E495" t="str">
        <f>IF($C495="","",IF(AND(LEFT($F495,3)="ДОК",$H495&lt;&gt;""),IFERROR(INDEX(Документация!$D$2:$D$57,MATCH($H495,Документация!$F$2:$F$57,0)),""),IFERROR(INDEX(Работы!$C$2:$C$6000,MATCH($C495,Работы!$A$2:$A$6000,0)),"")))</f>
        <v/>
      </c>
      <c r="F495" t="str">
        <f>IF($C495="","",IFERROR(INDEX(Работы!$G$2:$G$6000,MATCH($C495,Работы!$A$2:$A$6000,0))&amp;"",""))</f>
        <v/>
      </c>
      <c r="G495" s="4"/>
      <c r="H495" s="4"/>
      <c r="I495" s="5" t="str">
        <f>IF((LEFT($F495,3)="ДОК"),"",IF($H495="","",IFERROR(INDEX(Материалы!$B$2:$B$9000,MATCH($H495,Материалы!$M$2:$M$9000,0)),"")))</f>
        <v/>
      </c>
      <c r="J495" s="6">
        <f>IF(AND(LEFT($F495,3)="ДОК",$H495&lt;&gt;""),IFERROR(INDEX(Документация!$E$2:$E$57,MATCH($H495,Документация!$F$2:$F$57,0)),0),IFERROR(INDEX(Работы!$H$2:$H$6000,MATCH($C495,Работы!$A$2:$A$6000,0)),0))*(1-MEDIAN(0,N(ДисконтТендер),1))</f>
        <v>0</v>
      </c>
      <c r="K495" s="6">
        <f>IF(OR((LEFT($F495,3)="ДОК"),$H495=""),0,IFERROR(INDEX(Материалы!$H$2:$H$9000,MATCH($H495,Материалы!$M$2:$M$9000,0))*IF(INDEX(Материалы!$I$2:$I$9000,MATCH($H495,Материалы!$M$2:$M$9000,0))="USD",КурсUSD,IF(INDEX(Материалы!$I$2:$I$9000,MATCH($H495,Материалы!$M$2:$M$9000,0))="EUR",КурсEUR,1))*(1+IFERROR(INDEX(Работы!$I$2:$I$6000,MATCH($C495,Работы!$A$2:$A$6000,0))/100,0))*(1-MEDIAN(0,N(ДисконтТендер),1)),0))</f>
        <v>0</v>
      </c>
      <c r="L495" s="6">
        <f t="shared" si="43"/>
        <v>0</v>
      </c>
      <c r="M495" s="6">
        <f t="shared" si="44"/>
        <v>0</v>
      </c>
      <c r="N495" s="6">
        <f t="shared" si="45"/>
        <v>0</v>
      </c>
      <c r="O495" t="str">
        <f>IF($N495&gt;0,MAX($O$1:$O494)+1,"")</f>
        <v/>
      </c>
      <c r="P495" t="str">
        <f>IF($C495="","",IFERROR(INDEX(Работы!$D$2:$D$6000,MATCH($C495,Работы!$A$2:$A$6000,0)),""))</f>
        <v/>
      </c>
      <c r="Q495" t="str">
        <f t="shared" si="46"/>
        <v/>
      </c>
      <c r="R495" t="str">
        <f t="shared" si="47"/>
        <v/>
      </c>
      <c r="S495" t="str">
        <f>IF($P495="","",$P495&amp;" · "&amp;IFERROR(INDEX(Работы!$E$2:$E$6000,MATCH($C495,Работы!$A$2:$A$6000,0)),""))</f>
        <v/>
      </c>
    </row>
    <row r="496" spans="1:19" x14ac:dyDescent="0.3">
      <c r="A496" s="4"/>
      <c r="B496" s="4"/>
      <c r="C496" t="str">
        <f t="shared" si="42"/>
        <v/>
      </c>
      <c r="D496" s="5" t="str">
        <f>IF($C496="","",IF(AND(LEFT($F496,3)="ДОК",$H496&lt;&gt;""),IFERROR(INDEX(Документация!$G$2:$G$57,MATCH($H496,Документация!$F$2:$F$57,0)),"— вариант не найден —"),IFERROR(INDEX(Работы!$B$2:$B$6000,MATCH($C496,Работы!$A$2:$A$6000,0)),"— нет такого кода —")))</f>
        <v/>
      </c>
      <c r="E496" t="str">
        <f>IF($C496="","",IF(AND(LEFT($F496,3)="ДОК",$H496&lt;&gt;""),IFERROR(INDEX(Документация!$D$2:$D$57,MATCH($H496,Документация!$F$2:$F$57,0)),""),IFERROR(INDEX(Работы!$C$2:$C$6000,MATCH($C496,Работы!$A$2:$A$6000,0)),"")))</f>
        <v/>
      </c>
      <c r="F496" t="str">
        <f>IF($C496="","",IFERROR(INDEX(Работы!$G$2:$G$6000,MATCH($C496,Работы!$A$2:$A$6000,0))&amp;"",""))</f>
        <v/>
      </c>
      <c r="G496" s="4"/>
      <c r="H496" s="4"/>
      <c r="I496" s="5" t="str">
        <f>IF((LEFT($F496,3)="ДОК"),"",IF($H496="","",IFERROR(INDEX(Материалы!$B$2:$B$9000,MATCH($H496,Материалы!$M$2:$M$9000,0)),"")))</f>
        <v/>
      </c>
      <c r="J496" s="6">
        <f>IF(AND(LEFT($F496,3)="ДОК",$H496&lt;&gt;""),IFERROR(INDEX(Документация!$E$2:$E$57,MATCH($H496,Документация!$F$2:$F$57,0)),0),IFERROR(INDEX(Работы!$H$2:$H$6000,MATCH($C496,Работы!$A$2:$A$6000,0)),0))*(1-MEDIAN(0,N(ДисконтТендер),1))</f>
        <v>0</v>
      </c>
      <c r="K496" s="6">
        <f>IF(OR((LEFT($F496,3)="ДОК"),$H496=""),0,IFERROR(INDEX(Материалы!$H$2:$H$9000,MATCH($H496,Материалы!$M$2:$M$9000,0))*IF(INDEX(Материалы!$I$2:$I$9000,MATCH($H496,Материалы!$M$2:$M$9000,0))="USD",КурсUSD,IF(INDEX(Материалы!$I$2:$I$9000,MATCH($H496,Материалы!$M$2:$M$9000,0))="EUR",КурсEUR,1))*(1+IFERROR(INDEX(Работы!$I$2:$I$6000,MATCH($C496,Работы!$A$2:$A$6000,0))/100,0))*(1-MEDIAN(0,N(ДисконтТендер),1)),0))</f>
        <v>0</v>
      </c>
      <c r="L496" s="6">
        <f t="shared" si="43"/>
        <v>0</v>
      </c>
      <c r="M496" s="6">
        <f t="shared" si="44"/>
        <v>0</v>
      </c>
      <c r="N496" s="6">
        <f t="shared" si="45"/>
        <v>0</v>
      </c>
      <c r="O496" t="str">
        <f>IF($N496&gt;0,MAX($O$1:$O495)+1,"")</f>
        <v/>
      </c>
      <c r="P496" t="str">
        <f>IF($C496="","",IFERROR(INDEX(Работы!$D$2:$D$6000,MATCH($C496,Работы!$A$2:$A$6000,0)),""))</f>
        <v/>
      </c>
      <c r="Q496" t="str">
        <f t="shared" si="46"/>
        <v/>
      </c>
      <c r="R496" t="str">
        <f t="shared" si="47"/>
        <v/>
      </c>
      <c r="S496" t="str">
        <f>IF($P496="","",$P496&amp;" · "&amp;IFERROR(INDEX(Работы!$E$2:$E$6000,MATCH($C496,Работы!$A$2:$A$6000,0)),""))</f>
        <v/>
      </c>
    </row>
    <row r="497" spans="1:19" x14ac:dyDescent="0.3">
      <c r="A497" s="4"/>
      <c r="B497" s="4"/>
      <c r="C497" t="str">
        <f t="shared" si="42"/>
        <v/>
      </c>
      <c r="D497" s="5" t="str">
        <f>IF($C497="","",IF(AND(LEFT($F497,3)="ДОК",$H497&lt;&gt;""),IFERROR(INDEX(Документация!$G$2:$G$57,MATCH($H497,Документация!$F$2:$F$57,0)),"— вариант не найден —"),IFERROR(INDEX(Работы!$B$2:$B$6000,MATCH($C497,Работы!$A$2:$A$6000,0)),"— нет такого кода —")))</f>
        <v/>
      </c>
      <c r="E497" t="str">
        <f>IF($C497="","",IF(AND(LEFT($F497,3)="ДОК",$H497&lt;&gt;""),IFERROR(INDEX(Документация!$D$2:$D$57,MATCH($H497,Документация!$F$2:$F$57,0)),""),IFERROR(INDEX(Работы!$C$2:$C$6000,MATCH($C497,Работы!$A$2:$A$6000,0)),"")))</f>
        <v/>
      </c>
      <c r="F497" t="str">
        <f>IF($C497="","",IFERROR(INDEX(Работы!$G$2:$G$6000,MATCH($C497,Работы!$A$2:$A$6000,0))&amp;"",""))</f>
        <v/>
      </c>
      <c r="G497" s="4"/>
      <c r="H497" s="4"/>
      <c r="I497" s="5" t="str">
        <f>IF((LEFT($F497,3)="ДОК"),"",IF($H497="","",IFERROR(INDEX(Материалы!$B$2:$B$9000,MATCH($H497,Материалы!$M$2:$M$9000,0)),"")))</f>
        <v/>
      </c>
      <c r="J497" s="6">
        <f>IF(AND(LEFT($F497,3)="ДОК",$H497&lt;&gt;""),IFERROR(INDEX(Документация!$E$2:$E$57,MATCH($H497,Документация!$F$2:$F$57,0)),0),IFERROR(INDEX(Работы!$H$2:$H$6000,MATCH($C497,Работы!$A$2:$A$6000,0)),0))*(1-MEDIAN(0,N(ДисконтТендер),1))</f>
        <v>0</v>
      </c>
      <c r="K497" s="6">
        <f>IF(OR((LEFT($F497,3)="ДОК"),$H497=""),0,IFERROR(INDEX(Материалы!$H$2:$H$9000,MATCH($H497,Материалы!$M$2:$M$9000,0))*IF(INDEX(Материалы!$I$2:$I$9000,MATCH($H497,Материалы!$M$2:$M$9000,0))="USD",КурсUSD,IF(INDEX(Материалы!$I$2:$I$9000,MATCH($H497,Материалы!$M$2:$M$9000,0))="EUR",КурсEUR,1))*(1+IFERROR(INDEX(Работы!$I$2:$I$6000,MATCH($C497,Работы!$A$2:$A$6000,0))/100,0))*(1-MEDIAN(0,N(ДисконтТендер),1)),0))</f>
        <v>0</v>
      </c>
      <c r="L497" s="6">
        <f t="shared" si="43"/>
        <v>0</v>
      </c>
      <c r="M497" s="6">
        <f t="shared" si="44"/>
        <v>0</v>
      </c>
      <c r="N497" s="6">
        <f t="shared" si="45"/>
        <v>0</v>
      </c>
      <c r="O497" t="str">
        <f>IF($N497&gt;0,MAX($O$1:$O496)+1,"")</f>
        <v/>
      </c>
      <c r="P497" t="str">
        <f>IF($C497="","",IFERROR(INDEX(Работы!$D$2:$D$6000,MATCH($C497,Работы!$A$2:$A$6000,0)),""))</f>
        <v/>
      </c>
      <c r="Q497" t="str">
        <f t="shared" si="46"/>
        <v/>
      </c>
      <c r="R497" t="str">
        <f t="shared" si="47"/>
        <v/>
      </c>
      <c r="S497" t="str">
        <f>IF($P497="","",$P497&amp;" · "&amp;IFERROR(INDEX(Работы!$E$2:$E$6000,MATCH($C497,Работы!$A$2:$A$6000,0)),""))</f>
        <v/>
      </c>
    </row>
    <row r="498" spans="1:19" x14ac:dyDescent="0.3">
      <c r="A498" s="4"/>
      <c r="B498" s="4"/>
      <c r="C498" t="str">
        <f t="shared" si="42"/>
        <v/>
      </c>
      <c r="D498" s="5" t="str">
        <f>IF($C498="","",IF(AND(LEFT($F498,3)="ДОК",$H498&lt;&gt;""),IFERROR(INDEX(Документация!$G$2:$G$57,MATCH($H498,Документация!$F$2:$F$57,0)),"— вариант не найден —"),IFERROR(INDEX(Работы!$B$2:$B$6000,MATCH($C498,Работы!$A$2:$A$6000,0)),"— нет такого кода —")))</f>
        <v/>
      </c>
      <c r="E498" t="str">
        <f>IF($C498="","",IF(AND(LEFT($F498,3)="ДОК",$H498&lt;&gt;""),IFERROR(INDEX(Документация!$D$2:$D$57,MATCH($H498,Документация!$F$2:$F$57,0)),""),IFERROR(INDEX(Работы!$C$2:$C$6000,MATCH($C498,Работы!$A$2:$A$6000,0)),"")))</f>
        <v/>
      </c>
      <c r="F498" t="str">
        <f>IF($C498="","",IFERROR(INDEX(Работы!$G$2:$G$6000,MATCH($C498,Работы!$A$2:$A$6000,0))&amp;"",""))</f>
        <v/>
      </c>
      <c r="G498" s="4"/>
      <c r="H498" s="4"/>
      <c r="I498" s="5" t="str">
        <f>IF((LEFT($F498,3)="ДОК"),"",IF($H498="","",IFERROR(INDEX(Материалы!$B$2:$B$9000,MATCH($H498,Материалы!$M$2:$M$9000,0)),"")))</f>
        <v/>
      </c>
      <c r="J498" s="6">
        <f>IF(AND(LEFT($F498,3)="ДОК",$H498&lt;&gt;""),IFERROR(INDEX(Документация!$E$2:$E$57,MATCH($H498,Документация!$F$2:$F$57,0)),0),IFERROR(INDEX(Работы!$H$2:$H$6000,MATCH($C498,Работы!$A$2:$A$6000,0)),0))*(1-MEDIAN(0,N(ДисконтТендер),1))</f>
        <v>0</v>
      </c>
      <c r="K498" s="6">
        <f>IF(OR((LEFT($F498,3)="ДОК"),$H498=""),0,IFERROR(INDEX(Материалы!$H$2:$H$9000,MATCH($H498,Материалы!$M$2:$M$9000,0))*IF(INDEX(Материалы!$I$2:$I$9000,MATCH($H498,Материалы!$M$2:$M$9000,0))="USD",КурсUSD,IF(INDEX(Материалы!$I$2:$I$9000,MATCH($H498,Материалы!$M$2:$M$9000,0))="EUR",КурсEUR,1))*(1+IFERROR(INDEX(Работы!$I$2:$I$6000,MATCH($C498,Работы!$A$2:$A$6000,0))/100,0))*(1-MEDIAN(0,N(ДисконтТендер),1)),0))</f>
        <v>0</v>
      </c>
      <c r="L498" s="6">
        <f t="shared" si="43"/>
        <v>0</v>
      </c>
      <c r="M498" s="6">
        <f t="shared" si="44"/>
        <v>0</v>
      </c>
      <c r="N498" s="6">
        <f t="shared" si="45"/>
        <v>0</v>
      </c>
      <c r="O498" t="str">
        <f>IF($N498&gt;0,MAX($O$1:$O497)+1,"")</f>
        <v/>
      </c>
      <c r="P498" t="str">
        <f>IF($C498="","",IFERROR(INDEX(Работы!$D$2:$D$6000,MATCH($C498,Работы!$A$2:$A$6000,0)),""))</f>
        <v/>
      </c>
      <c r="Q498" t="str">
        <f t="shared" si="46"/>
        <v/>
      </c>
      <c r="R498" t="str">
        <f t="shared" si="47"/>
        <v/>
      </c>
      <c r="S498" t="str">
        <f>IF($P498="","",$P498&amp;" · "&amp;IFERROR(INDEX(Работы!$E$2:$E$6000,MATCH($C498,Работы!$A$2:$A$6000,0)),""))</f>
        <v/>
      </c>
    </row>
    <row r="499" spans="1:19" x14ac:dyDescent="0.3">
      <c r="A499" s="4"/>
      <c r="B499" s="4"/>
      <c r="C499" t="str">
        <f t="shared" si="42"/>
        <v/>
      </c>
      <c r="D499" s="5" t="str">
        <f>IF($C499="","",IF(AND(LEFT($F499,3)="ДОК",$H499&lt;&gt;""),IFERROR(INDEX(Документация!$G$2:$G$57,MATCH($H499,Документация!$F$2:$F$57,0)),"— вариант не найден —"),IFERROR(INDEX(Работы!$B$2:$B$6000,MATCH($C499,Работы!$A$2:$A$6000,0)),"— нет такого кода —")))</f>
        <v/>
      </c>
      <c r="E499" t="str">
        <f>IF($C499="","",IF(AND(LEFT($F499,3)="ДОК",$H499&lt;&gt;""),IFERROR(INDEX(Документация!$D$2:$D$57,MATCH($H499,Документация!$F$2:$F$57,0)),""),IFERROR(INDEX(Работы!$C$2:$C$6000,MATCH($C499,Работы!$A$2:$A$6000,0)),"")))</f>
        <v/>
      </c>
      <c r="F499" t="str">
        <f>IF($C499="","",IFERROR(INDEX(Работы!$G$2:$G$6000,MATCH($C499,Работы!$A$2:$A$6000,0))&amp;"",""))</f>
        <v/>
      </c>
      <c r="G499" s="4"/>
      <c r="H499" s="4"/>
      <c r="I499" s="5" t="str">
        <f>IF((LEFT($F499,3)="ДОК"),"",IF($H499="","",IFERROR(INDEX(Материалы!$B$2:$B$9000,MATCH($H499,Материалы!$M$2:$M$9000,0)),"")))</f>
        <v/>
      </c>
      <c r="J499" s="6">
        <f>IF(AND(LEFT($F499,3)="ДОК",$H499&lt;&gt;""),IFERROR(INDEX(Документация!$E$2:$E$57,MATCH($H499,Документация!$F$2:$F$57,0)),0),IFERROR(INDEX(Работы!$H$2:$H$6000,MATCH($C499,Работы!$A$2:$A$6000,0)),0))*(1-MEDIAN(0,N(ДисконтТендер),1))</f>
        <v>0</v>
      </c>
      <c r="K499" s="6">
        <f>IF(OR((LEFT($F499,3)="ДОК"),$H499=""),0,IFERROR(INDEX(Материалы!$H$2:$H$9000,MATCH($H499,Материалы!$M$2:$M$9000,0))*IF(INDEX(Материалы!$I$2:$I$9000,MATCH($H499,Материалы!$M$2:$M$9000,0))="USD",КурсUSD,IF(INDEX(Материалы!$I$2:$I$9000,MATCH($H499,Материалы!$M$2:$M$9000,0))="EUR",КурсEUR,1))*(1+IFERROR(INDEX(Работы!$I$2:$I$6000,MATCH($C499,Работы!$A$2:$A$6000,0))/100,0))*(1-MEDIAN(0,N(ДисконтТендер),1)),0))</f>
        <v>0</v>
      </c>
      <c r="L499" s="6">
        <f t="shared" si="43"/>
        <v>0</v>
      </c>
      <c r="M499" s="6">
        <f t="shared" si="44"/>
        <v>0</v>
      </c>
      <c r="N499" s="6">
        <f t="shared" si="45"/>
        <v>0</v>
      </c>
      <c r="O499" t="str">
        <f>IF($N499&gt;0,MAX($O$1:$O498)+1,"")</f>
        <v/>
      </c>
      <c r="P499" t="str">
        <f>IF($C499="","",IFERROR(INDEX(Работы!$D$2:$D$6000,MATCH($C499,Работы!$A$2:$A$6000,0)),""))</f>
        <v/>
      </c>
      <c r="Q499" t="str">
        <f t="shared" si="46"/>
        <v/>
      </c>
      <c r="R499" t="str">
        <f t="shared" si="47"/>
        <v/>
      </c>
      <c r="S499" t="str">
        <f>IF($P499="","",$P499&amp;" · "&amp;IFERROR(INDEX(Работы!$E$2:$E$6000,MATCH($C499,Работы!$A$2:$A$6000,0)),""))</f>
        <v/>
      </c>
    </row>
    <row r="500" spans="1:19" x14ac:dyDescent="0.3">
      <c r="A500" s="4"/>
      <c r="B500" s="4"/>
      <c r="C500" t="str">
        <f t="shared" si="42"/>
        <v/>
      </c>
      <c r="D500" s="5" t="str">
        <f>IF($C500="","",IF(AND(LEFT($F500,3)="ДОК",$H500&lt;&gt;""),IFERROR(INDEX(Документация!$G$2:$G$57,MATCH($H500,Документация!$F$2:$F$57,0)),"— вариант не найден —"),IFERROR(INDEX(Работы!$B$2:$B$6000,MATCH($C500,Работы!$A$2:$A$6000,0)),"— нет такого кода —")))</f>
        <v/>
      </c>
      <c r="E500" t="str">
        <f>IF($C500="","",IF(AND(LEFT($F500,3)="ДОК",$H500&lt;&gt;""),IFERROR(INDEX(Документация!$D$2:$D$57,MATCH($H500,Документация!$F$2:$F$57,0)),""),IFERROR(INDEX(Работы!$C$2:$C$6000,MATCH($C500,Работы!$A$2:$A$6000,0)),"")))</f>
        <v/>
      </c>
      <c r="F500" t="str">
        <f>IF($C500="","",IFERROR(INDEX(Работы!$G$2:$G$6000,MATCH($C500,Работы!$A$2:$A$6000,0))&amp;"",""))</f>
        <v/>
      </c>
      <c r="G500" s="4"/>
      <c r="H500" s="4"/>
      <c r="I500" s="5" t="str">
        <f>IF((LEFT($F500,3)="ДОК"),"",IF($H500="","",IFERROR(INDEX(Материалы!$B$2:$B$9000,MATCH($H500,Материалы!$M$2:$M$9000,0)),"")))</f>
        <v/>
      </c>
      <c r="J500" s="6">
        <f>IF(AND(LEFT($F500,3)="ДОК",$H500&lt;&gt;""),IFERROR(INDEX(Документация!$E$2:$E$57,MATCH($H500,Документация!$F$2:$F$57,0)),0),IFERROR(INDEX(Работы!$H$2:$H$6000,MATCH($C500,Работы!$A$2:$A$6000,0)),0))*(1-MEDIAN(0,N(ДисконтТендер),1))</f>
        <v>0</v>
      </c>
      <c r="K500" s="6">
        <f>IF(OR((LEFT($F500,3)="ДОК"),$H500=""),0,IFERROR(INDEX(Материалы!$H$2:$H$9000,MATCH($H500,Материалы!$M$2:$M$9000,0))*IF(INDEX(Материалы!$I$2:$I$9000,MATCH($H500,Материалы!$M$2:$M$9000,0))="USD",КурсUSD,IF(INDEX(Материалы!$I$2:$I$9000,MATCH($H500,Материалы!$M$2:$M$9000,0))="EUR",КурсEUR,1))*(1+IFERROR(INDEX(Работы!$I$2:$I$6000,MATCH($C500,Работы!$A$2:$A$6000,0))/100,0))*(1-MEDIAN(0,N(ДисконтТендер),1)),0))</f>
        <v>0</v>
      </c>
      <c r="L500" s="6">
        <f t="shared" si="43"/>
        <v>0</v>
      </c>
      <c r="M500" s="6">
        <f t="shared" si="44"/>
        <v>0</v>
      </c>
      <c r="N500" s="6">
        <f t="shared" si="45"/>
        <v>0</v>
      </c>
      <c r="O500" t="str">
        <f>IF($N500&gt;0,MAX($O$1:$O499)+1,"")</f>
        <v/>
      </c>
      <c r="P500" t="str">
        <f>IF($C500="","",IFERROR(INDEX(Работы!$D$2:$D$6000,MATCH($C500,Работы!$A$2:$A$6000,0)),""))</f>
        <v/>
      </c>
      <c r="Q500" t="str">
        <f t="shared" si="46"/>
        <v/>
      </c>
      <c r="R500" t="str">
        <f t="shared" si="47"/>
        <v/>
      </c>
      <c r="S500" t="str">
        <f>IF($P500="","",$P500&amp;" · "&amp;IFERROR(INDEX(Работы!$E$2:$E$6000,MATCH($C500,Работы!$A$2:$A$6000,0)),""))</f>
        <v/>
      </c>
    </row>
    <row r="501" spans="1:19" x14ac:dyDescent="0.3">
      <c r="A501" s="4"/>
      <c r="B501" s="4"/>
      <c r="C501" t="str">
        <f t="shared" si="42"/>
        <v/>
      </c>
      <c r="D501" s="5" t="str">
        <f>IF($C501="","",IF(AND(LEFT($F501,3)="ДОК",$H501&lt;&gt;""),IFERROR(INDEX(Документация!$G$2:$G$57,MATCH($H501,Документация!$F$2:$F$57,0)),"— вариант не найден —"),IFERROR(INDEX(Работы!$B$2:$B$6000,MATCH($C501,Работы!$A$2:$A$6000,0)),"— нет такого кода —")))</f>
        <v/>
      </c>
      <c r="E501" t="str">
        <f>IF($C501="","",IF(AND(LEFT($F501,3)="ДОК",$H501&lt;&gt;""),IFERROR(INDEX(Документация!$D$2:$D$57,MATCH($H501,Документация!$F$2:$F$57,0)),""),IFERROR(INDEX(Работы!$C$2:$C$6000,MATCH($C501,Работы!$A$2:$A$6000,0)),"")))</f>
        <v/>
      </c>
      <c r="F501" t="str">
        <f>IF($C501="","",IFERROR(INDEX(Работы!$G$2:$G$6000,MATCH($C501,Работы!$A$2:$A$6000,0))&amp;"",""))</f>
        <v/>
      </c>
      <c r="G501" s="4"/>
      <c r="H501" s="4"/>
      <c r="I501" s="5" t="str">
        <f>IF((LEFT($F501,3)="ДОК"),"",IF($H501="","",IFERROR(INDEX(Материалы!$B$2:$B$9000,MATCH($H501,Материалы!$M$2:$M$9000,0)),"")))</f>
        <v/>
      </c>
      <c r="J501" s="6">
        <f>IF(AND(LEFT($F501,3)="ДОК",$H501&lt;&gt;""),IFERROR(INDEX(Документация!$E$2:$E$57,MATCH($H501,Документация!$F$2:$F$57,0)),0),IFERROR(INDEX(Работы!$H$2:$H$6000,MATCH($C501,Работы!$A$2:$A$6000,0)),0))*(1-MEDIAN(0,N(ДисконтТендер),1))</f>
        <v>0</v>
      </c>
      <c r="K501" s="6">
        <f>IF(OR((LEFT($F501,3)="ДОК"),$H501=""),0,IFERROR(INDEX(Материалы!$H$2:$H$9000,MATCH($H501,Материалы!$M$2:$M$9000,0))*IF(INDEX(Материалы!$I$2:$I$9000,MATCH($H501,Материалы!$M$2:$M$9000,0))="USD",КурсUSD,IF(INDEX(Материалы!$I$2:$I$9000,MATCH($H501,Материалы!$M$2:$M$9000,0))="EUR",КурсEUR,1))*(1+IFERROR(INDEX(Работы!$I$2:$I$6000,MATCH($C501,Работы!$A$2:$A$6000,0))/100,0))*(1-MEDIAN(0,N(ДисконтТендер),1)),0))</f>
        <v>0</v>
      </c>
      <c r="L501" s="6">
        <f t="shared" si="43"/>
        <v>0</v>
      </c>
      <c r="M501" s="6">
        <f t="shared" si="44"/>
        <v>0</v>
      </c>
      <c r="N501" s="6">
        <f t="shared" si="45"/>
        <v>0</v>
      </c>
      <c r="O501" t="str">
        <f>IF($N501&gt;0,MAX($O$1:$O500)+1,"")</f>
        <v/>
      </c>
      <c r="P501" t="str">
        <f>IF($C501="","",IFERROR(INDEX(Работы!$D$2:$D$6000,MATCH($C501,Работы!$A$2:$A$6000,0)),""))</f>
        <v/>
      </c>
      <c r="Q501" t="str">
        <f t="shared" si="46"/>
        <v/>
      </c>
      <c r="R501" t="str">
        <f t="shared" si="47"/>
        <v/>
      </c>
      <c r="S501" t="str">
        <f>IF($P501="","",$P501&amp;" · "&amp;IFERROR(INDEX(Работы!$E$2:$E$6000,MATCH($C501,Работы!$A$2:$A$6000,0)),""))</f>
        <v/>
      </c>
    </row>
  </sheetData>
  <autoFilter ref="A1:S501" xr:uid="{00000000-0009-0000-0000-000001000000}"/>
  <dataValidations count="3">
    <dataValidation type="list" allowBlank="1" showInputMessage="1" promptTitle="Раздел" prompt="Сначала выбери раздел (Р1…Р12) — по нему отфильтруется список работ." sqref="A2:A501" xr:uid="{00000000-0002-0000-0100-000000000000}">
      <formula1>"Р1,Р2,Р3,Р4,Р5,Р6,Р7,Р8,Р9,Р10,Р11,Р12"</formula1>
    </dataValidation>
    <dataValidation type="list" allowBlank="1" showInputMessage="1" promptTitle="Работа" prompt="Работы выбранного раздела. Для документации Р1 — строки «Рабочая/Исполнительная документация»." sqref="B2:B501" xr:uid="{00000000-0002-0000-0100-000001000000}">
      <formula1>INDIRECT("раб_"&amp;$A2)</formula1>
    </dataValidation>
    <dataValidation type="list" allowBlank="1" showInputMessage="1" promptTitle="Материал / раздел документации" prompt="Обычная работа — материал её группы. «Рабочая/Исполнительная документация» — раздел проекта с листа «Документация». Пусто — материал не нужен." sqref="H2:H501" xr:uid="{00000000-0002-0000-0100-000002000000}">
      <formula1>INDIRECT("мат_"&amp;SUBSTITUTE(SUBSTITUTE(SUBSTITUTE($F2,".","_")," ","_"),"/","_"))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M545"/>
  <sheetViews>
    <sheetView workbookViewId="0">
      <pane ySplit="20" topLeftCell="A21" activePane="bottomLeft" state="frozen"/>
      <selection pane="bottomLeft"/>
    </sheetView>
  </sheetViews>
  <sheetFormatPr defaultRowHeight="14.4" x14ac:dyDescent="0.3"/>
  <cols>
    <col min="1" max="1" width="10" customWidth="1"/>
    <col min="2" max="2" width="20" customWidth="1"/>
    <col min="3" max="3" width="62" customWidth="1"/>
    <col min="4" max="4" width="9" customWidth="1"/>
    <col min="5" max="5" width="11" customWidth="1"/>
    <col min="6" max="6" width="15" customWidth="1"/>
    <col min="7" max="7" width="20" customWidth="1"/>
    <col min="8" max="8" width="17" customWidth="1"/>
    <col min="9" max="9" width="20" customWidth="1"/>
    <col min="10" max="10" width="16" customWidth="1"/>
    <col min="11" max="13" width="13" hidden="1" customWidth="1"/>
  </cols>
  <sheetData>
    <row r="1" spans="1:3" ht="18" x14ac:dyDescent="0.35">
      <c r="A1" s="1" t="s">
        <v>37</v>
      </c>
    </row>
    <row r="2" spans="1:3" x14ac:dyDescent="0.3">
      <c r="A2" s="2" t="s">
        <v>38</v>
      </c>
      <c r="C2" s="7"/>
    </row>
    <row r="3" spans="1:3" x14ac:dyDescent="0.3">
      <c r="A3" s="2" t="s">
        <v>39</v>
      </c>
      <c r="C3" s="7"/>
    </row>
    <row r="4" spans="1:3" x14ac:dyDescent="0.3">
      <c r="A4" s="2" t="s">
        <v>40</v>
      </c>
      <c r="C4" s="7"/>
    </row>
    <row r="5" spans="1:3" x14ac:dyDescent="0.3">
      <c r="A5" s="2" t="s">
        <v>41</v>
      </c>
      <c r="C5" s="7"/>
    </row>
    <row r="6" spans="1:3" x14ac:dyDescent="0.3">
      <c r="A6" s="2" t="s">
        <v>42</v>
      </c>
      <c r="C6" s="7"/>
    </row>
    <row r="7" spans="1:3" x14ac:dyDescent="0.3">
      <c r="A7" s="2" t="s">
        <v>43</v>
      </c>
      <c r="C7" s="7"/>
    </row>
    <row r="8" spans="1:3" x14ac:dyDescent="0.3">
      <c r="A8" s="2" t="s">
        <v>44</v>
      </c>
      <c r="C8" s="7"/>
    </row>
    <row r="9" spans="1:3" x14ac:dyDescent="0.3">
      <c r="A9" s="2" t="s">
        <v>45</v>
      </c>
      <c r="C9" s="7"/>
    </row>
    <row r="10" spans="1:3" x14ac:dyDescent="0.3">
      <c r="A10" s="2" t="s">
        <v>46</v>
      </c>
      <c r="C10" s="7"/>
    </row>
    <row r="11" spans="1:3" x14ac:dyDescent="0.3">
      <c r="A11" s="2" t="s">
        <v>47</v>
      </c>
      <c r="C11" s="7"/>
    </row>
    <row r="12" spans="1:3" x14ac:dyDescent="0.3">
      <c r="A12" s="2" t="s">
        <v>48</v>
      </c>
      <c r="C12" s="8">
        <f>$J$541</f>
        <v>0</v>
      </c>
    </row>
    <row r="13" spans="1:3" x14ac:dyDescent="0.3">
      <c r="A13" s="2" t="s">
        <v>49</v>
      </c>
      <c r="C13" s="9"/>
    </row>
    <row r="15" spans="1:3" x14ac:dyDescent="0.3">
      <c r="A15" s="2" t="s">
        <v>50</v>
      </c>
      <c r="C15" s="10">
        <v>81</v>
      </c>
    </row>
    <row r="16" spans="1:3" x14ac:dyDescent="0.3">
      <c r="A16" s="2" t="s">
        <v>51</v>
      </c>
      <c r="C16" s="10">
        <v>95</v>
      </c>
    </row>
    <row r="17" spans="1:13" x14ac:dyDescent="0.3">
      <c r="A17" s="2" t="s">
        <v>52</v>
      </c>
      <c r="C17" s="11">
        <v>0</v>
      </c>
    </row>
    <row r="19" spans="1:13" x14ac:dyDescent="0.3">
      <c r="A19" s="12" t="s">
        <v>53</v>
      </c>
    </row>
    <row r="20" spans="1:13" ht="43.2" x14ac:dyDescent="0.3">
      <c r="A20" s="3" t="s">
        <v>54</v>
      </c>
      <c r="B20" s="3" t="s">
        <v>55</v>
      </c>
      <c r="C20" s="3" t="s">
        <v>56</v>
      </c>
      <c r="D20" s="3" t="s">
        <v>57</v>
      </c>
      <c r="E20" s="3" t="s">
        <v>58</v>
      </c>
      <c r="F20" s="3" t="s">
        <v>59</v>
      </c>
      <c r="G20" s="3" t="s">
        <v>60</v>
      </c>
      <c r="H20" s="3" t="s">
        <v>61</v>
      </c>
      <c r="I20" s="3" t="s">
        <v>62</v>
      </c>
      <c r="J20" s="3" t="s">
        <v>31</v>
      </c>
      <c r="K20" s="3" t="s">
        <v>63</v>
      </c>
      <c r="L20" s="3" t="s">
        <v>64</v>
      </c>
      <c r="M20" s="3" t="s">
        <v>65</v>
      </c>
    </row>
    <row r="21" spans="1:13" hidden="1" x14ac:dyDescent="0.3">
      <c r="A21" t="str">
        <f>IF(ISNUMBER($K21),INDEX(Сборка!$O$2:$O$501,$K21),"")</f>
        <v/>
      </c>
      <c r="B21" t="str">
        <f>IF(ISNUMBER($K21),INDEX(Сборка!$C$2:$C$501,$K21),"")</f>
        <v/>
      </c>
      <c r="C21" s="5" t="str">
        <f>IF($L21&lt;&gt;"",INDEX(Сборка!$S$2:$S$501,MATCH($L21,Сборка!$P$2:$P$501,0)),IF(ISNUMBER($K21),INDEX(Сборка!$D$2:$D$501,$K21)&amp;IF(INDEX(Сборка!$I$2:$I$501,$K21)&lt;&gt;""," — "&amp;INDEX(Сборка!$I$2:$I$501,$K21),""),""))</f>
        <v/>
      </c>
      <c r="D21" t="str">
        <f>IF(ISNUMBER($K21),INDEX(Сборка!$E$2:$E$501,$K21),"")</f>
        <v/>
      </c>
      <c r="E21" t="str">
        <f>IF(ISNUMBER($K21),INDEX(Сборка!$G$2:$G$501,$K21),"")</f>
        <v/>
      </c>
      <c r="F21" s="6" t="str">
        <f>IF(ISNUMBER($K21),INDEX(Сборка!$J$2:$J$501,$K21),"")</f>
        <v/>
      </c>
      <c r="G21" s="6" t="str">
        <f>IF(ISNUMBER($K21),INDEX(Сборка!$K$2:$K$501,$K21),"")</f>
        <v/>
      </c>
      <c r="H21" s="6" t="str">
        <f t="shared" ref="H21:H84" si="0">IF(ISNUMBER($K21),ROUND($E21*$F21,2),"")</f>
        <v/>
      </c>
      <c r="I21" s="6" t="str">
        <f t="shared" ref="I21:I84" si="1">IF(ISNUMBER($K21),ROUND($E21*$G21,2),"")</f>
        <v/>
      </c>
      <c r="J21" s="6" t="str">
        <f t="shared" ref="J21:J84" si="2">IF(ISNUMBER($K21),$H21+$I21,"")</f>
        <v/>
      </c>
      <c r="K21" t="str">
        <f>IFERROR(MATCH(1,Сборка!$R$2:$R$501,0),"")</f>
        <v/>
      </c>
      <c r="L21" t="str">
        <f>IFERROR(IF(INDEX(Сборка!$Q$2:$Q$501,MATCH(1+1,Сборка!$R$2:$R$501,0))=1,INDEX(Сборка!$P$2:$P$501,MATCH(1+1,Сборка!$R$2:$R$501,0)),""),"")</f>
        <v/>
      </c>
      <c r="M21" t="str">
        <f t="shared" ref="M21:M84" si="3">IF(OR(ISNUMBER($K21),$L21&lt;&gt;""),"показать","")</f>
        <v/>
      </c>
    </row>
    <row r="22" spans="1:13" hidden="1" x14ac:dyDescent="0.3">
      <c r="A22" t="str">
        <f>IF(ISNUMBER($K22),INDEX(Сборка!$O$2:$O$501,$K22),"")</f>
        <v/>
      </c>
      <c r="B22" t="str">
        <f>IF(ISNUMBER($K22),INDEX(Сборка!$C$2:$C$501,$K22),"")</f>
        <v/>
      </c>
      <c r="C22" s="5" t="str">
        <f>IF($L22&lt;&gt;"",INDEX(Сборка!$S$2:$S$501,MATCH($L22,Сборка!$P$2:$P$501,0)),IF(ISNUMBER($K22),INDEX(Сборка!$D$2:$D$501,$K22)&amp;IF(INDEX(Сборка!$I$2:$I$501,$K22)&lt;&gt;""," — "&amp;INDEX(Сборка!$I$2:$I$501,$K22),""),""))</f>
        <v/>
      </c>
      <c r="D22" t="str">
        <f>IF(ISNUMBER($K22),INDEX(Сборка!$E$2:$E$501,$K22),"")</f>
        <v/>
      </c>
      <c r="E22" t="str">
        <f>IF(ISNUMBER($K22),INDEX(Сборка!$G$2:$G$501,$K22),"")</f>
        <v/>
      </c>
      <c r="F22" s="6" t="str">
        <f>IF(ISNUMBER($K22),INDEX(Сборка!$J$2:$J$501,$K22),"")</f>
        <v/>
      </c>
      <c r="G22" s="6" t="str">
        <f>IF(ISNUMBER($K22),INDEX(Сборка!$K$2:$K$501,$K22),"")</f>
        <v/>
      </c>
      <c r="H22" s="6" t="str">
        <f t="shared" si="0"/>
        <v/>
      </c>
      <c r="I22" s="6" t="str">
        <f t="shared" si="1"/>
        <v/>
      </c>
      <c r="J22" s="6" t="str">
        <f t="shared" si="2"/>
        <v/>
      </c>
      <c r="K22" t="str">
        <f>IFERROR(MATCH(2,Сборка!$R$2:$R$501,0),"")</f>
        <v/>
      </c>
      <c r="L22" t="str">
        <f>IFERROR(IF(INDEX(Сборка!$Q$2:$Q$501,MATCH(2+1,Сборка!$R$2:$R$501,0))=1,INDEX(Сборка!$P$2:$P$501,MATCH(2+1,Сборка!$R$2:$R$501,0)),""),"")</f>
        <v/>
      </c>
      <c r="M22" t="str">
        <f t="shared" si="3"/>
        <v/>
      </c>
    </row>
    <row r="23" spans="1:13" hidden="1" x14ac:dyDescent="0.3">
      <c r="A23" t="str">
        <f>IF(ISNUMBER($K23),INDEX(Сборка!$O$2:$O$501,$K23),"")</f>
        <v/>
      </c>
      <c r="B23" t="str">
        <f>IF(ISNUMBER($K23),INDEX(Сборка!$C$2:$C$501,$K23),"")</f>
        <v/>
      </c>
      <c r="C23" s="5" t="str">
        <f>IF($L23&lt;&gt;"",INDEX(Сборка!$S$2:$S$501,MATCH($L23,Сборка!$P$2:$P$501,0)),IF(ISNUMBER($K23),INDEX(Сборка!$D$2:$D$501,$K23)&amp;IF(INDEX(Сборка!$I$2:$I$501,$K23)&lt;&gt;""," — "&amp;INDEX(Сборка!$I$2:$I$501,$K23),""),""))</f>
        <v/>
      </c>
      <c r="D23" t="str">
        <f>IF(ISNUMBER($K23),INDEX(Сборка!$E$2:$E$501,$K23),"")</f>
        <v/>
      </c>
      <c r="E23" t="str">
        <f>IF(ISNUMBER($K23),INDEX(Сборка!$G$2:$G$501,$K23),"")</f>
        <v/>
      </c>
      <c r="F23" s="6" t="str">
        <f>IF(ISNUMBER($K23),INDEX(Сборка!$J$2:$J$501,$K23),"")</f>
        <v/>
      </c>
      <c r="G23" s="6" t="str">
        <f>IF(ISNUMBER($K23),INDEX(Сборка!$K$2:$K$501,$K23),"")</f>
        <v/>
      </c>
      <c r="H23" s="6" t="str">
        <f t="shared" si="0"/>
        <v/>
      </c>
      <c r="I23" s="6" t="str">
        <f t="shared" si="1"/>
        <v/>
      </c>
      <c r="J23" s="6" t="str">
        <f t="shared" si="2"/>
        <v/>
      </c>
      <c r="K23" t="str">
        <f>IFERROR(MATCH(3,Сборка!$R$2:$R$501,0),"")</f>
        <v/>
      </c>
      <c r="L23" t="str">
        <f>IFERROR(IF(INDEX(Сборка!$Q$2:$Q$501,MATCH(3+1,Сборка!$R$2:$R$501,0))=1,INDEX(Сборка!$P$2:$P$501,MATCH(3+1,Сборка!$R$2:$R$501,0)),""),"")</f>
        <v/>
      </c>
      <c r="M23" t="str">
        <f t="shared" si="3"/>
        <v/>
      </c>
    </row>
    <row r="24" spans="1:13" hidden="1" x14ac:dyDescent="0.3">
      <c r="A24" t="str">
        <f>IF(ISNUMBER($K24),INDEX(Сборка!$O$2:$O$501,$K24),"")</f>
        <v/>
      </c>
      <c r="B24" t="str">
        <f>IF(ISNUMBER($K24),INDEX(Сборка!$C$2:$C$501,$K24),"")</f>
        <v/>
      </c>
      <c r="C24" s="5" t="str">
        <f>IF($L24&lt;&gt;"",INDEX(Сборка!$S$2:$S$501,MATCH($L24,Сборка!$P$2:$P$501,0)),IF(ISNUMBER($K24),INDEX(Сборка!$D$2:$D$501,$K24)&amp;IF(INDEX(Сборка!$I$2:$I$501,$K24)&lt;&gt;""," — "&amp;INDEX(Сборка!$I$2:$I$501,$K24),""),""))</f>
        <v/>
      </c>
      <c r="D24" t="str">
        <f>IF(ISNUMBER($K24),INDEX(Сборка!$E$2:$E$501,$K24),"")</f>
        <v/>
      </c>
      <c r="E24" t="str">
        <f>IF(ISNUMBER($K24),INDEX(Сборка!$G$2:$G$501,$K24),"")</f>
        <v/>
      </c>
      <c r="F24" s="6" t="str">
        <f>IF(ISNUMBER($K24),INDEX(Сборка!$J$2:$J$501,$K24),"")</f>
        <v/>
      </c>
      <c r="G24" s="6" t="str">
        <f>IF(ISNUMBER($K24),INDEX(Сборка!$K$2:$K$501,$K24),"")</f>
        <v/>
      </c>
      <c r="H24" s="6" t="str">
        <f t="shared" si="0"/>
        <v/>
      </c>
      <c r="I24" s="6" t="str">
        <f t="shared" si="1"/>
        <v/>
      </c>
      <c r="J24" s="6" t="str">
        <f t="shared" si="2"/>
        <v/>
      </c>
      <c r="K24" t="str">
        <f>IFERROR(MATCH(4,Сборка!$R$2:$R$501,0),"")</f>
        <v/>
      </c>
      <c r="L24" t="str">
        <f>IFERROR(IF(INDEX(Сборка!$Q$2:$Q$501,MATCH(4+1,Сборка!$R$2:$R$501,0))=1,INDEX(Сборка!$P$2:$P$501,MATCH(4+1,Сборка!$R$2:$R$501,0)),""),"")</f>
        <v/>
      </c>
      <c r="M24" t="str">
        <f t="shared" si="3"/>
        <v/>
      </c>
    </row>
    <row r="25" spans="1:13" hidden="1" x14ac:dyDescent="0.3">
      <c r="A25" t="str">
        <f>IF(ISNUMBER($K25),INDEX(Сборка!$O$2:$O$501,$K25),"")</f>
        <v/>
      </c>
      <c r="B25" t="str">
        <f>IF(ISNUMBER($K25),INDEX(Сборка!$C$2:$C$501,$K25),"")</f>
        <v/>
      </c>
      <c r="C25" s="5" t="str">
        <f>IF($L25&lt;&gt;"",INDEX(Сборка!$S$2:$S$501,MATCH($L25,Сборка!$P$2:$P$501,0)),IF(ISNUMBER($K25),INDEX(Сборка!$D$2:$D$501,$K25)&amp;IF(INDEX(Сборка!$I$2:$I$501,$K25)&lt;&gt;""," — "&amp;INDEX(Сборка!$I$2:$I$501,$K25),""),""))</f>
        <v/>
      </c>
      <c r="D25" t="str">
        <f>IF(ISNUMBER($K25),INDEX(Сборка!$E$2:$E$501,$K25),"")</f>
        <v/>
      </c>
      <c r="E25" t="str">
        <f>IF(ISNUMBER($K25),INDEX(Сборка!$G$2:$G$501,$K25),"")</f>
        <v/>
      </c>
      <c r="F25" s="6" t="str">
        <f>IF(ISNUMBER($K25),INDEX(Сборка!$J$2:$J$501,$K25),"")</f>
        <v/>
      </c>
      <c r="G25" s="6" t="str">
        <f>IF(ISNUMBER($K25),INDEX(Сборка!$K$2:$K$501,$K25),"")</f>
        <v/>
      </c>
      <c r="H25" s="6" t="str">
        <f t="shared" si="0"/>
        <v/>
      </c>
      <c r="I25" s="6" t="str">
        <f t="shared" si="1"/>
        <v/>
      </c>
      <c r="J25" s="6" t="str">
        <f t="shared" si="2"/>
        <v/>
      </c>
      <c r="K25" t="str">
        <f>IFERROR(MATCH(5,Сборка!$R$2:$R$501,0),"")</f>
        <v/>
      </c>
      <c r="L25" t="str">
        <f>IFERROR(IF(INDEX(Сборка!$Q$2:$Q$501,MATCH(5+1,Сборка!$R$2:$R$501,0))=1,INDEX(Сборка!$P$2:$P$501,MATCH(5+1,Сборка!$R$2:$R$501,0)),""),"")</f>
        <v/>
      </c>
      <c r="M25" t="str">
        <f t="shared" si="3"/>
        <v/>
      </c>
    </row>
    <row r="26" spans="1:13" hidden="1" x14ac:dyDescent="0.3">
      <c r="A26" t="str">
        <f>IF(ISNUMBER($K26),INDEX(Сборка!$O$2:$O$501,$K26),"")</f>
        <v/>
      </c>
      <c r="B26" t="str">
        <f>IF(ISNUMBER($K26),INDEX(Сборка!$C$2:$C$501,$K26),"")</f>
        <v/>
      </c>
      <c r="C26" s="5" t="str">
        <f>IF($L26&lt;&gt;"",INDEX(Сборка!$S$2:$S$501,MATCH($L26,Сборка!$P$2:$P$501,0)),IF(ISNUMBER($K26),INDEX(Сборка!$D$2:$D$501,$K26)&amp;IF(INDEX(Сборка!$I$2:$I$501,$K26)&lt;&gt;""," — "&amp;INDEX(Сборка!$I$2:$I$501,$K26),""),""))</f>
        <v/>
      </c>
      <c r="D26" t="str">
        <f>IF(ISNUMBER($K26),INDEX(Сборка!$E$2:$E$501,$K26),"")</f>
        <v/>
      </c>
      <c r="E26" t="str">
        <f>IF(ISNUMBER($K26),INDEX(Сборка!$G$2:$G$501,$K26),"")</f>
        <v/>
      </c>
      <c r="F26" s="6" t="str">
        <f>IF(ISNUMBER($K26),INDEX(Сборка!$J$2:$J$501,$K26),"")</f>
        <v/>
      </c>
      <c r="G26" s="6" t="str">
        <f>IF(ISNUMBER($K26),INDEX(Сборка!$K$2:$K$501,$K26),"")</f>
        <v/>
      </c>
      <c r="H26" s="6" t="str">
        <f t="shared" si="0"/>
        <v/>
      </c>
      <c r="I26" s="6" t="str">
        <f t="shared" si="1"/>
        <v/>
      </c>
      <c r="J26" s="6" t="str">
        <f t="shared" si="2"/>
        <v/>
      </c>
      <c r="K26" t="str">
        <f>IFERROR(MATCH(6,Сборка!$R$2:$R$501,0),"")</f>
        <v/>
      </c>
      <c r="L26" t="str">
        <f>IFERROR(IF(INDEX(Сборка!$Q$2:$Q$501,MATCH(6+1,Сборка!$R$2:$R$501,0))=1,INDEX(Сборка!$P$2:$P$501,MATCH(6+1,Сборка!$R$2:$R$501,0)),""),"")</f>
        <v/>
      </c>
      <c r="M26" t="str">
        <f t="shared" si="3"/>
        <v/>
      </c>
    </row>
    <row r="27" spans="1:13" hidden="1" x14ac:dyDescent="0.3">
      <c r="A27" t="str">
        <f>IF(ISNUMBER($K27),INDEX(Сборка!$O$2:$O$501,$K27),"")</f>
        <v/>
      </c>
      <c r="B27" t="str">
        <f>IF(ISNUMBER($K27),INDEX(Сборка!$C$2:$C$501,$K27),"")</f>
        <v/>
      </c>
      <c r="C27" s="5" t="str">
        <f>IF($L27&lt;&gt;"",INDEX(Сборка!$S$2:$S$501,MATCH($L27,Сборка!$P$2:$P$501,0)),IF(ISNUMBER($K27),INDEX(Сборка!$D$2:$D$501,$K27)&amp;IF(INDEX(Сборка!$I$2:$I$501,$K27)&lt;&gt;""," — "&amp;INDEX(Сборка!$I$2:$I$501,$K27),""),""))</f>
        <v/>
      </c>
      <c r="D27" t="str">
        <f>IF(ISNUMBER($K27),INDEX(Сборка!$E$2:$E$501,$K27),"")</f>
        <v/>
      </c>
      <c r="E27" t="str">
        <f>IF(ISNUMBER($K27),INDEX(Сборка!$G$2:$G$501,$K27),"")</f>
        <v/>
      </c>
      <c r="F27" s="6" t="str">
        <f>IF(ISNUMBER($K27),INDEX(Сборка!$J$2:$J$501,$K27),"")</f>
        <v/>
      </c>
      <c r="G27" s="6" t="str">
        <f>IF(ISNUMBER($K27),INDEX(Сборка!$K$2:$K$501,$K27),"")</f>
        <v/>
      </c>
      <c r="H27" s="6" t="str">
        <f t="shared" si="0"/>
        <v/>
      </c>
      <c r="I27" s="6" t="str">
        <f t="shared" si="1"/>
        <v/>
      </c>
      <c r="J27" s="6" t="str">
        <f t="shared" si="2"/>
        <v/>
      </c>
      <c r="K27" t="str">
        <f>IFERROR(MATCH(7,Сборка!$R$2:$R$501,0),"")</f>
        <v/>
      </c>
      <c r="L27" t="str">
        <f>IFERROR(IF(INDEX(Сборка!$Q$2:$Q$501,MATCH(7+1,Сборка!$R$2:$R$501,0))=1,INDEX(Сборка!$P$2:$P$501,MATCH(7+1,Сборка!$R$2:$R$501,0)),""),"")</f>
        <v/>
      </c>
      <c r="M27" t="str">
        <f t="shared" si="3"/>
        <v/>
      </c>
    </row>
    <row r="28" spans="1:13" hidden="1" x14ac:dyDescent="0.3">
      <c r="A28" t="str">
        <f>IF(ISNUMBER($K28),INDEX(Сборка!$O$2:$O$501,$K28),"")</f>
        <v/>
      </c>
      <c r="B28" t="str">
        <f>IF(ISNUMBER($K28),INDEX(Сборка!$C$2:$C$501,$K28),"")</f>
        <v/>
      </c>
      <c r="C28" s="5" t="str">
        <f>IF($L28&lt;&gt;"",INDEX(Сборка!$S$2:$S$501,MATCH($L28,Сборка!$P$2:$P$501,0)),IF(ISNUMBER($K28),INDEX(Сборка!$D$2:$D$501,$K28)&amp;IF(INDEX(Сборка!$I$2:$I$501,$K28)&lt;&gt;""," — "&amp;INDEX(Сборка!$I$2:$I$501,$K28),""),""))</f>
        <v/>
      </c>
      <c r="D28" t="str">
        <f>IF(ISNUMBER($K28),INDEX(Сборка!$E$2:$E$501,$K28),"")</f>
        <v/>
      </c>
      <c r="E28" t="str">
        <f>IF(ISNUMBER($K28),INDEX(Сборка!$G$2:$G$501,$K28),"")</f>
        <v/>
      </c>
      <c r="F28" s="6" t="str">
        <f>IF(ISNUMBER($K28),INDEX(Сборка!$J$2:$J$501,$K28),"")</f>
        <v/>
      </c>
      <c r="G28" s="6" t="str">
        <f>IF(ISNUMBER($K28),INDEX(Сборка!$K$2:$K$501,$K28),"")</f>
        <v/>
      </c>
      <c r="H28" s="6" t="str">
        <f t="shared" si="0"/>
        <v/>
      </c>
      <c r="I28" s="6" t="str">
        <f t="shared" si="1"/>
        <v/>
      </c>
      <c r="J28" s="6" t="str">
        <f t="shared" si="2"/>
        <v/>
      </c>
      <c r="K28" t="str">
        <f>IFERROR(MATCH(8,Сборка!$R$2:$R$501,0),"")</f>
        <v/>
      </c>
      <c r="L28" t="str">
        <f>IFERROR(IF(INDEX(Сборка!$Q$2:$Q$501,MATCH(8+1,Сборка!$R$2:$R$501,0))=1,INDEX(Сборка!$P$2:$P$501,MATCH(8+1,Сборка!$R$2:$R$501,0)),""),"")</f>
        <v/>
      </c>
      <c r="M28" t="str">
        <f t="shared" si="3"/>
        <v/>
      </c>
    </row>
    <row r="29" spans="1:13" hidden="1" x14ac:dyDescent="0.3">
      <c r="A29" t="str">
        <f>IF(ISNUMBER($K29),INDEX(Сборка!$O$2:$O$501,$K29),"")</f>
        <v/>
      </c>
      <c r="B29" t="str">
        <f>IF(ISNUMBER($K29),INDEX(Сборка!$C$2:$C$501,$K29),"")</f>
        <v/>
      </c>
      <c r="C29" s="5" t="str">
        <f>IF($L29&lt;&gt;"",INDEX(Сборка!$S$2:$S$501,MATCH($L29,Сборка!$P$2:$P$501,0)),IF(ISNUMBER($K29),INDEX(Сборка!$D$2:$D$501,$K29)&amp;IF(INDEX(Сборка!$I$2:$I$501,$K29)&lt;&gt;""," — "&amp;INDEX(Сборка!$I$2:$I$501,$K29),""),""))</f>
        <v/>
      </c>
      <c r="D29" t="str">
        <f>IF(ISNUMBER($K29),INDEX(Сборка!$E$2:$E$501,$K29),"")</f>
        <v/>
      </c>
      <c r="E29" t="str">
        <f>IF(ISNUMBER($K29),INDEX(Сборка!$G$2:$G$501,$K29),"")</f>
        <v/>
      </c>
      <c r="F29" s="6" t="str">
        <f>IF(ISNUMBER($K29),INDEX(Сборка!$J$2:$J$501,$K29),"")</f>
        <v/>
      </c>
      <c r="G29" s="6" t="str">
        <f>IF(ISNUMBER($K29),INDEX(Сборка!$K$2:$K$501,$K29),"")</f>
        <v/>
      </c>
      <c r="H29" s="6" t="str">
        <f t="shared" si="0"/>
        <v/>
      </c>
      <c r="I29" s="6" t="str">
        <f t="shared" si="1"/>
        <v/>
      </c>
      <c r="J29" s="6" t="str">
        <f t="shared" si="2"/>
        <v/>
      </c>
      <c r="K29" t="str">
        <f>IFERROR(MATCH(9,Сборка!$R$2:$R$501,0),"")</f>
        <v/>
      </c>
      <c r="L29" t="str">
        <f>IFERROR(IF(INDEX(Сборка!$Q$2:$Q$501,MATCH(9+1,Сборка!$R$2:$R$501,0))=1,INDEX(Сборка!$P$2:$P$501,MATCH(9+1,Сборка!$R$2:$R$501,0)),""),"")</f>
        <v/>
      </c>
      <c r="M29" t="str">
        <f t="shared" si="3"/>
        <v/>
      </c>
    </row>
    <row r="30" spans="1:13" hidden="1" x14ac:dyDescent="0.3">
      <c r="A30" t="str">
        <f>IF(ISNUMBER($K30),INDEX(Сборка!$O$2:$O$501,$K30),"")</f>
        <v/>
      </c>
      <c r="B30" t="str">
        <f>IF(ISNUMBER($K30),INDEX(Сборка!$C$2:$C$501,$K30),"")</f>
        <v/>
      </c>
      <c r="C30" s="5" t="str">
        <f>IF($L30&lt;&gt;"",INDEX(Сборка!$S$2:$S$501,MATCH($L30,Сборка!$P$2:$P$501,0)),IF(ISNUMBER($K30),INDEX(Сборка!$D$2:$D$501,$K30)&amp;IF(INDEX(Сборка!$I$2:$I$501,$K30)&lt;&gt;""," — "&amp;INDEX(Сборка!$I$2:$I$501,$K30),""),""))</f>
        <v/>
      </c>
      <c r="D30" t="str">
        <f>IF(ISNUMBER($K30),INDEX(Сборка!$E$2:$E$501,$K30),"")</f>
        <v/>
      </c>
      <c r="E30" t="str">
        <f>IF(ISNUMBER($K30),INDEX(Сборка!$G$2:$G$501,$K30),"")</f>
        <v/>
      </c>
      <c r="F30" s="6" t="str">
        <f>IF(ISNUMBER($K30),INDEX(Сборка!$J$2:$J$501,$K30),"")</f>
        <v/>
      </c>
      <c r="G30" s="6" t="str">
        <f>IF(ISNUMBER($K30),INDEX(Сборка!$K$2:$K$501,$K30),"")</f>
        <v/>
      </c>
      <c r="H30" s="6" t="str">
        <f t="shared" si="0"/>
        <v/>
      </c>
      <c r="I30" s="6" t="str">
        <f t="shared" si="1"/>
        <v/>
      </c>
      <c r="J30" s="6" t="str">
        <f t="shared" si="2"/>
        <v/>
      </c>
      <c r="K30" t="str">
        <f>IFERROR(MATCH(10,Сборка!$R$2:$R$501,0),"")</f>
        <v/>
      </c>
      <c r="L30" t="str">
        <f>IFERROR(IF(INDEX(Сборка!$Q$2:$Q$501,MATCH(10+1,Сборка!$R$2:$R$501,0))=1,INDEX(Сборка!$P$2:$P$501,MATCH(10+1,Сборка!$R$2:$R$501,0)),""),"")</f>
        <v/>
      </c>
      <c r="M30" t="str">
        <f t="shared" si="3"/>
        <v/>
      </c>
    </row>
    <row r="31" spans="1:13" hidden="1" x14ac:dyDescent="0.3">
      <c r="A31" t="str">
        <f>IF(ISNUMBER($K31),INDEX(Сборка!$O$2:$O$501,$K31),"")</f>
        <v/>
      </c>
      <c r="B31" t="str">
        <f>IF(ISNUMBER($K31),INDEX(Сборка!$C$2:$C$501,$K31),"")</f>
        <v/>
      </c>
      <c r="C31" s="5" t="str">
        <f>IF($L31&lt;&gt;"",INDEX(Сборка!$S$2:$S$501,MATCH($L31,Сборка!$P$2:$P$501,0)),IF(ISNUMBER($K31),INDEX(Сборка!$D$2:$D$501,$K31)&amp;IF(INDEX(Сборка!$I$2:$I$501,$K31)&lt;&gt;""," — "&amp;INDEX(Сборка!$I$2:$I$501,$K31),""),""))</f>
        <v/>
      </c>
      <c r="D31" t="str">
        <f>IF(ISNUMBER($K31),INDEX(Сборка!$E$2:$E$501,$K31),"")</f>
        <v/>
      </c>
      <c r="E31" t="str">
        <f>IF(ISNUMBER($K31),INDEX(Сборка!$G$2:$G$501,$K31),"")</f>
        <v/>
      </c>
      <c r="F31" s="6" t="str">
        <f>IF(ISNUMBER($K31),INDEX(Сборка!$J$2:$J$501,$K31),"")</f>
        <v/>
      </c>
      <c r="G31" s="6" t="str">
        <f>IF(ISNUMBER($K31),INDEX(Сборка!$K$2:$K$501,$K31),"")</f>
        <v/>
      </c>
      <c r="H31" s="6" t="str">
        <f t="shared" si="0"/>
        <v/>
      </c>
      <c r="I31" s="6" t="str">
        <f t="shared" si="1"/>
        <v/>
      </c>
      <c r="J31" s="6" t="str">
        <f t="shared" si="2"/>
        <v/>
      </c>
      <c r="K31" t="str">
        <f>IFERROR(MATCH(11,Сборка!$R$2:$R$501,0),"")</f>
        <v/>
      </c>
      <c r="L31" t="str">
        <f>IFERROR(IF(INDEX(Сборка!$Q$2:$Q$501,MATCH(11+1,Сборка!$R$2:$R$501,0))=1,INDEX(Сборка!$P$2:$P$501,MATCH(11+1,Сборка!$R$2:$R$501,0)),""),"")</f>
        <v/>
      </c>
      <c r="M31" t="str">
        <f t="shared" si="3"/>
        <v/>
      </c>
    </row>
    <row r="32" spans="1:13" hidden="1" x14ac:dyDescent="0.3">
      <c r="A32" t="str">
        <f>IF(ISNUMBER($K32),INDEX(Сборка!$O$2:$O$501,$K32),"")</f>
        <v/>
      </c>
      <c r="B32" t="str">
        <f>IF(ISNUMBER($K32),INDEX(Сборка!$C$2:$C$501,$K32),"")</f>
        <v/>
      </c>
      <c r="C32" s="5" t="str">
        <f>IF($L32&lt;&gt;"",INDEX(Сборка!$S$2:$S$501,MATCH($L32,Сборка!$P$2:$P$501,0)),IF(ISNUMBER($K32),INDEX(Сборка!$D$2:$D$501,$K32)&amp;IF(INDEX(Сборка!$I$2:$I$501,$K32)&lt;&gt;""," — "&amp;INDEX(Сборка!$I$2:$I$501,$K32),""),""))</f>
        <v/>
      </c>
      <c r="D32" t="str">
        <f>IF(ISNUMBER($K32),INDEX(Сборка!$E$2:$E$501,$K32),"")</f>
        <v/>
      </c>
      <c r="E32" t="str">
        <f>IF(ISNUMBER($K32),INDEX(Сборка!$G$2:$G$501,$K32),"")</f>
        <v/>
      </c>
      <c r="F32" s="6" t="str">
        <f>IF(ISNUMBER($K32),INDEX(Сборка!$J$2:$J$501,$K32),"")</f>
        <v/>
      </c>
      <c r="G32" s="6" t="str">
        <f>IF(ISNUMBER($K32),INDEX(Сборка!$K$2:$K$501,$K32),"")</f>
        <v/>
      </c>
      <c r="H32" s="6" t="str">
        <f t="shared" si="0"/>
        <v/>
      </c>
      <c r="I32" s="6" t="str">
        <f t="shared" si="1"/>
        <v/>
      </c>
      <c r="J32" s="6" t="str">
        <f t="shared" si="2"/>
        <v/>
      </c>
      <c r="K32" t="str">
        <f>IFERROR(MATCH(12,Сборка!$R$2:$R$501,0),"")</f>
        <v/>
      </c>
      <c r="L32" t="str">
        <f>IFERROR(IF(INDEX(Сборка!$Q$2:$Q$501,MATCH(12+1,Сборка!$R$2:$R$501,0))=1,INDEX(Сборка!$P$2:$P$501,MATCH(12+1,Сборка!$R$2:$R$501,0)),""),"")</f>
        <v/>
      </c>
      <c r="M32" t="str">
        <f t="shared" si="3"/>
        <v/>
      </c>
    </row>
    <row r="33" spans="1:13" hidden="1" x14ac:dyDescent="0.3">
      <c r="A33" t="str">
        <f>IF(ISNUMBER($K33),INDEX(Сборка!$O$2:$O$501,$K33),"")</f>
        <v/>
      </c>
      <c r="B33" t="str">
        <f>IF(ISNUMBER($K33),INDEX(Сборка!$C$2:$C$501,$K33),"")</f>
        <v/>
      </c>
      <c r="C33" s="5" t="str">
        <f>IF($L33&lt;&gt;"",INDEX(Сборка!$S$2:$S$501,MATCH($L33,Сборка!$P$2:$P$501,0)),IF(ISNUMBER($K33),INDEX(Сборка!$D$2:$D$501,$K33)&amp;IF(INDEX(Сборка!$I$2:$I$501,$K33)&lt;&gt;""," — "&amp;INDEX(Сборка!$I$2:$I$501,$K33),""),""))</f>
        <v/>
      </c>
      <c r="D33" t="str">
        <f>IF(ISNUMBER($K33),INDEX(Сборка!$E$2:$E$501,$K33),"")</f>
        <v/>
      </c>
      <c r="E33" t="str">
        <f>IF(ISNUMBER($K33),INDEX(Сборка!$G$2:$G$501,$K33),"")</f>
        <v/>
      </c>
      <c r="F33" s="6" t="str">
        <f>IF(ISNUMBER($K33),INDEX(Сборка!$J$2:$J$501,$K33),"")</f>
        <v/>
      </c>
      <c r="G33" s="6" t="str">
        <f>IF(ISNUMBER($K33),INDEX(Сборка!$K$2:$K$501,$K33),"")</f>
        <v/>
      </c>
      <c r="H33" s="6" t="str">
        <f t="shared" si="0"/>
        <v/>
      </c>
      <c r="I33" s="6" t="str">
        <f t="shared" si="1"/>
        <v/>
      </c>
      <c r="J33" s="6" t="str">
        <f t="shared" si="2"/>
        <v/>
      </c>
      <c r="K33" t="str">
        <f>IFERROR(MATCH(13,Сборка!$R$2:$R$501,0),"")</f>
        <v/>
      </c>
      <c r="L33" t="str">
        <f>IFERROR(IF(INDEX(Сборка!$Q$2:$Q$501,MATCH(13+1,Сборка!$R$2:$R$501,0))=1,INDEX(Сборка!$P$2:$P$501,MATCH(13+1,Сборка!$R$2:$R$501,0)),""),"")</f>
        <v/>
      </c>
      <c r="M33" t="str">
        <f t="shared" si="3"/>
        <v/>
      </c>
    </row>
    <row r="34" spans="1:13" hidden="1" x14ac:dyDescent="0.3">
      <c r="A34" t="str">
        <f>IF(ISNUMBER($K34),INDEX(Сборка!$O$2:$O$501,$K34),"")</f>
        <v/>
      </c>
      <c r="B34" t="str">
        <f>IF(ISNUMBER($K34),INDEX(Сборка!$C$2:$C$501,$K34),"")</f>
        <v/>
      </c>
      <c r="C34" s="5" t="str">
        <f>IF($L34&lt;&gt;"",INDEX(Сборка!$S$2:$S$501,MATCH($L34,Сборка!$P$2:$P$501,0)),IF(ISNUMBER($K34),INDEX(Сборка!$D$2:$D$501,$K34)&amp;IF(INDEX(Сборка!$I$2:$I$501,$K34)&lt;&gt;""," — "&amp;INDEX(Сборка!$I$2:$I$501,$K34),""),""))</f>
        <v/>
      </c>
      <c r="D34" t="str">
        <f>IF(ISNUMBER($K34),INDEX(Сборка!$E$2:$E$501,$K34),"")</f>
        <v/>
      </c>
      <c r="E34" t="str">
        <f>IF(ISNUMBER($K34),INDEX(Сборка!$G$2:$G$501,$K34),"")</f>
        <v/>
      </c>
      <c r="F34" s="6" t="str">
        <f>IF(ISNUMBER($K34),INDEX(Сборка!$J$2:$J$501,$K34),"")</f>
        <v/>
      </c>
      <c r="G34" s="6" t="str">
        <f>IF(ISNUMBER($K34),INDEX(Сборка!$K$2:$K$501,$K34),"")</f>
        <v/>
      </c>
      <c r="H34" s="6" t="str">
        <f t="shared" si="0"/>
        <v/>
      </c>
      <c r="I34" s="6" t="str">
        <f t="shared" si="1"/>
        <v/>
      </c>
      <c r="J34" s="6" t="str">
        <f t="shared" si="2"/>
        <v/>
      </c>
      <c r="K34" t="str">
        <f>IFERROR(MATCH(14,Сборка!$R$2:$R$501,0),"")</f>
        <v/>
      </c>
      <c r="L34" t="str">
        <f>IFERROR(IF(INDEX(Сборка!$Q$2:$Q$501,MATCH(14+1,Сборка!$R$2:$R$501,0))=1,INDEX(Сборка!$P$2:$P$501,MATCH(14+1,Сборка!$R$2:$R$501,0)),""),"")</f>
        <v/>
      </c>
      <c r="M34" t="str">
        <f t="shared" si="3"/>
        <v/>
      </c>
    </row>
    <row r="35" spans="1:13" hidden="1" x14ac:dyDescent="0.3">
      <c r="A35" t="str">
        <f>IF(ISNUMBER($K35),INDEX(Сборка!$O$2:$O$501,$K35),"")</f>
        <v/>
      </c>
      <c r="B35" t="str">
        <f>IF(ISNUMBER($K35),INDEX(Сборка!$C$2:$C$501,$K35),"")</f>
        <v/>
      </c>
      <c r="C35" s="5" t="str">
        <f>IF($L35&lt;&gt;"",INDEX(Сборка!$S$2:$S$501,MATCH($L35,Сборка!$P$2:$P$501,0)),IF(ISNUMBER($K35),INDEX(Сборка!$D$2:$D$501,$K35)&amp;IF(INDEX(Сборка!$I$2:$I$501,$K35)&lt;&gt;""," — "&amp;INDEX(Сборка!$I$2:$I$501,$K35),""),""))</f>
        <v/>
      </c>
      <c r="D35" t="str">
        <f>IF(ISNUMBER($K35),INDEX(Сборка!$E$2:$E$501,$K35),"")</f>
        <v/>
      </c>
      <c r="E35" t="str">
        <f>IF(ISNUMBER($K35),INDEX(Сборка!$G$2:$G$501,$K35),"")</f>
        <v/>
      </c>
      <c r="F35" s="6" t="str">
        <f>IF(ISNUMBER($K35),INDEX(Сборка!$J$2:$J$501,$K35),"")</f>
        <v/>
      </c>
      <c r="G35" s="6" t="str">
        <f>IF(ISNUMBER($K35),INDEX(Сборка!$K$2:$K$501,$K35),"")</f>
        <v/>
      </c>
      <c r="H35" s="6" t="str">
        <f t="shared" si="0"/>
        <v/>
      </c>
      <c r="I35" s="6" t="str">
        <f t="shared" si="1"/>
        <v/>
      </c>
      <c r="J35" s="6" t="str">
        <f t="shared" si="2"/>
        <v/>
      </c>
      <c r="K35" t="str">
        <f>IFERROR(MATCH(15,Сборка!$R$2:$R$501,0),"")</f>
        <v/>
      </c>
      <c r="L35" t="str">
        <f>IFERROR(IF(INDEX(Сборка!$Q$2:$Q$501,MATCH(15+1,Сборка!$R$2:$R$501,0))=1,INDEX(Сборка!$P$2:$P$501,MATCH(15+1,Сборка!$R$2:$R$501,0)),""),"")</f>
        <v/>
      </c>
      <c r="M35" t="str">
        <f t="shared" si="3"/>
        <v/>
      </c>
    </row>
    <row r="36" spans="1:13" hidden="1" x14ac:dyDescent="0.3">
      <c r="A36" t="str">
        <f>IF(ISNUMBER($K36),INDEX(Сборка!$O$2:$O$501,$K36),"")</f>
        <v/>
      </c>
      <c r="B36" t="str">
        <f>IF(ISNUMBER($K36),INDEX(Сборка!$C$2:$C$501,$K36),"")</f>
        <v/>
      </c>
      <c r="C36" s="5" t="str">
        <f>IF($L36&lt;&gt;"",INDEX(Сборка!$S$2:$S$501,MATCH($L36,Сборка!$P$2:$P$501,0)),IF(ISNUMBER($K36),INDEX(Сборка!$D$2:$D$501,$K36)&amp;IF(INDEX(Сборка!$I$2:$I$501,$K36)&lt;&gt;""," — "&amp;INDEX(Сборка!$I$2:$I$501,$K36),""),""))</f>
        <v/>
      </c>
      <c r="D36" t="str">
        <f>IF(ISNUMBER($K36),INDEX(Сборка!$E$2:$E$501,$K36),"")</f>
        <v/>
      </c>
      <c r="E36" t="str">
        <f>IF(ISNUMBER($K36),INDEX(Сборка!$G$2:$G$501,$K36),"")</f>
        <v/>
      </c>
      <c r="F36" s="6" t="str">
        <f>IF(ISNUMBER($K36),INDEX(Сборка!$J$2:$J$501,$K36),"")</f>
        <v/>
      </c>
      <c r="G36" s="6" t="str">
        <f>IF(ISNUMBER($K36),INDEX(Сборка!$K$2:$K$501,$K36),"")</f>
        <v/>
      </c>
      <c r="H36" s="6" t="str">
        <f t="shared" si="0"/>
        <v/>
      </c>
      <c r="I36" s="6" t="str">
        <f t="shared" si="1"/>
        <v/>
      </c>
      <c r="J36" s="6" t="str">
        <f t="shared" si="2"/>
        <v/>
      </c>
      <c r="K36" t="str">
        <f>IFERROR(MATCH(16,Сборка!$R$2:$R$501,0),"")</f>
        <v/>
      </c>
      <c r="L36" t="str">
        <f>IFERROR(IF(INDEX(Сборка!$Q$2:$Q$501,MATCH(16+1,Сборка!$R$2:$R$501,0))=1,INDEX(Сборка!$P$2:$P$501,MATCH(16+1,Сборка!$R$2:$R$501,0)),""),"")</f>
        <v/>
      </c>
      <c r="M36" t="str">
        <f t="shared" si="3"/>
        <v/>
      </c>
    </row>
    <row r="37" spans="1:13" hidden="1" x14ac:dyDescent="0.3">
      <c r="A37" t="str">
        <f>IF(ISNUMBER($K37),INDEX(Сборка!$O$2:$O$501,$K37),"")</f>
        <v/>
      </c>
      <c r="B37" t="str">
        <f>IF(ISNUMBER($K37),INDEX(Сборка!$C$2:$C$501,$K37),"")</f>
        <v/>
      </c>
      <c r="C37" s="5" t="str">
        <f>IF($L37&lt;&gt;"",INDEX(Сборка!$S$2:$S$501,MATCH($L37,Сборка!$P$2:$P$501,0)),IF(ISNUMBER($K37),INDEX(Сборка!$D$2:$D$501,$K37)&amp;IF(INDEX(Сборка!$I$2:$I$501,$K37)&lt;&gt;""," — "&amp;INDEX(Сборка!$I$2:$I$501,$K37),""),""))</f>
        <v/>
      </c>
      <c r="D37" t="str">
        <f>IF(ISNUMBER($K37),INDEX(Сборка!$E$2:$E$501,$K37),"")</f>
        <v/>
      </c>
      <c r="E37" t="str">
        <f>IF(ISNUMBER($K37),INDEX(Сборка!$G$2:$G$501,$K37),"")</f>
        <v/>
      </c>
      <c r="F37" s="6" t="str">
        <f>IF(ISNUMBER($K37),INDEX(Сборка!$J$2:$J$501,$K37),"")</f>
        <v/>
      </c>
      <c r="G37" s="6" t="str">
        <f>IF(ISNUMBER($K37),INDEX(Сборка!$K$2:$K$501,$K37),"")</f>
        <v/>
      </c>
      <c r="H37" s="6" t="str">
        <f t="shared" si="0"/>
        <v/>
      </c>
      <c r="I37" s="6" t="str">
        <f t="shared" si="1"/>
        <v/>
      </c>
      <c r="J37" s="6" t="str">
        <f t="shared" si="2"/>
        <v/>
      </c>
      <c r="K37" t="str">
        <f>IFERROR(MATCH(17,Сборка!$R$2:$R$501,0),"")</f>
        <v/>
      </c>
      <c r="L37" t="str">
        <f>IFERROR(IF(INDEX(Сборка!$Q$2:$Q$501,MATCH(17+1,Сборка!$R$2:$R$501,0))=1,INDEX(Сборка!$P$2:$P$501,MATCH(17+1,Сборка!$R$2:$R$501,0)),""),"")</f>
        <v/>
      </c>
      <c r="M37" t="str">
        <f t="shared" si="3"/>
        <v/>
      </c>
    </row>
    <row r="38" spans="1:13" hidden="1" x14ac:dyDescent="0.3">
      <c r="A38" t="str">
        <f>IF(ISNUMBER($K38),INDEX(Сборка!$O$2:$O$501,$K38),"")</f>
        <v/>
      </c>
      <c r="B38" t="str">
        <f>IF(ISNUMBER($K38),INDEX(Сборка!$C$2:$C$501,$K38),"")</f>
        <v/>
      </c>
      <c r="C38" s="5" t="str">
        <f>IF($L38&lt;&gt;"",INDEX(Сборка!$S$2:$S$501,MATCH($L38,Сборка!$P$2:$P$501,0)),IF(ISNUMBER($K38),INDEX(Сборка!$D$2:$D$501,$K38)&amp;IF(INDEX(Сборка!$I$2:$I$501,$K38)&lt;&gt;""," — "&amp;INDEX(Сборка!$I$2:$I$501,$K38),""),""))</f>
        <v/>
      </c>
      <c r="D38" t="str">
        <f>IF(ISNUMBER($K38),INDEX(Сборка!$E$2:$E$501,$K38),"")</f>
        <v/>
      </c>
      <c r="E38" t="str">
        <f>IF(ISNUMBER($K38),INDEX(Сборка!$G$2:$G$501,$K38),"")</f>
        <v/>
      </c>
      <c r="F38" s="6" t="str">
        <f>IF(ISNUMBER($K38),INDEX(Сборка!$J$2:$J$501,$K38),"")</f>
        <v/>
      </c>
      <c r="G38" s="6" t="str">
        <f>IF(ISNUMBER($K38),INDEX(Сборка!$K$2:$K$501,$K38),"")</f>
        <v/>
      </c>
      <c r="H38" s="6" t="str">
        <f t="shared" si="0"/>
        <v/>
      </c>
      <c r="I38" s="6" t="str">
        <f t="shared" si="1"/>
        <v/>
      </c>
      <c r="J38" s="6" t="str">
        <f t="shared" si="2"/>
        <v/>
      </c>
      <c r="K38" t="str">
        <f>IFERROR(MATCH(18,Сборка!$R$2:$R$501,0),"")</f>
        <v/>
      </c>
      <c r="L38" t="str">
        <f>IFERROR(IF(INDEX(Сборка!$Q$2:$Q$501,MATCH(18+1,Сборка!$R$2:$R$501,0))=1,INDEX(Сборка!$P$2:$P$501,MATCH(18+1,Сборка!$R$2:$R$501,0)),""),"")</f>
        <v/>
      </c>
      <c r="M38" t="str">
        <f t="shared" si="3"/>
        <v/>
      </c>
    </row>
    <row r="39" spans="1:13" hidden="1" x14ac:dyDescent="0.3">
      <c r="A39" t="str">
        <f>IF(ISNUMBER($K39),INDEX(Сборка!$O$2:$O$501,$K39),"")</f>
        <v/>
      </c>
      <c r="B39" t="str">
        <f>IF(ISNUMBER($K39),INDEX(Сборка!$C$2:$C$501,$K39),"")</f>
        <v/>
      </c>
      <c r="C39" s="5" t="str">
        <f>IF($L39&lt;&gt;"",INDEX(Сборка!$S$2:$S$501,MATCH($L39,Сборка!$P$2:$P$501,0)),IF(ISNUMBER($K39),INDEX(Сборка!$D$2:$D$501,$K39)&amp;IF(INDEX(Сборка!$I$2:$I$501,$K39)&lt;&gt;""," — "&amp;INDEX(Сборка!$I$2:$I$501,$K39),""),""))</f>
        <v/>
      </c>
      <c r="D39" t="str">
        <f>IF(ISNUMBER($K39),INDEX(Сборка!$E$2:$E$501,$K39),"")</f>
        <v/>
      </c>
      <c r="E39" t="str">
        <f>IF(ISNUMBER($K39),INDEX(Сборка!$G$2:$G$501,$K39),"")</f>
        <v/>
      </c>
      <c r="F39" s="6" t="str">
        <f>IF(ISNUMBER($K39),INDEX(Сборка!$J$2:$J$501,$K39),"")</f>
        <v/>
      </c>
      <c r="G39" s="6" t="str">
        <f>IF(ISNUMBER($K39),INDEX(Сборка!$K$2:$K$501,$K39),"")</f>
        <v/>
      </c>
      <c r="H39" s="6" t="str">
        <f t="shared" si="0"/>
        <v/>
      </c>
      <c r="I39" s="6" t="str">
        <f t="shared" si="1"/>
        <v/>
      </c>
      <c r="J39" s="6" t="str">
        <f t="shared" si="2"/>
        <v/>
      </c>
      <c r="K39" t="str">
        <f>IFERROR(MATCH(19,Сборка!$R$2:$R$501,0),"")</f>
        <v/>
      </c>
      <c r="L39" t="str">
        <f>IFERROR(IF(INDEX(Сборка!$Q$2:$Q$501,MATCH(19+1,Сборка!$R$2:$R$501,0))=1,INDEX(Сборка!$P$2:$P$501,MATCH(19+1,Сборка!$R$2:$R$501,0)),""),"")</f>
        <v/>
      </c>
      <c r="M39" t="str">
        <f t="shared" si="3"/>
        <v/>
      </c>
    </row>
    <row r="40" spans="1:13" hidden="1" x14ac:dyDescent="0.3">
      <c r="A40" t="str">
        <f>IF(ISNUMBER($K40),INDEX(Сборка!$O$2:$O$501,$K40),"")</f>
        <v/>
      </c>
      <c r="B40" t="str">
        <f>IF(ISNUMBER($K40),INDEX(Сборка!$C$2:$C$501,$K40),"")</f>
        <v/>
      </c>
      <c r="C40" s="5" t="str">
        <f>IF($L40&lt;&gt;"",INDEX(Сборка!$S$2:$S$501,MATCH($L40,Сборка!$P$2:$P$501,0)),IF(ISNUMBER($K40),INDEX(Сборка!$D$2:$D$501,$K40)&amp;IF(INDEX(Сборка!$I$2:$I$501,$K40)&lt;&gt;""," — "&amp;INDEX(Сборка!$I$2:$I$501,$K40),""),""))</f>
        <v/>
      </c>
      <c r="D40" t="str">
        <f>IF(ISNUMBER($K40),INDEX(Сборка!$E$2:$E$501,$K40),"")</f>
        <v/>
      </c>
      <c r="E40" t="str">
        <f>IF(ISNUMBER($K40),INDEX(Сборка!$G$2:$G$501,$K40),"")</f>
        <v/>
      </c>
      <c r="F40" s="6" t="str">
        <f>IF(ISNUMBER($K40),INDEX(Сборка!$J$2:$J$501,$K40),"")</f>
        <v/>
      </c>
      <c r="G40" s="6" t="str">
        <f>IF(ISNUMBER($K40),INDEX(Сборка!$K$2:$K$501,$K40),"")</f>
        <v/>
      </c>
      <c r="H40" s="6" t="str">
        <f t="shared" si="0"/>
        <v/>
      </c>
      <c r="I40" s="6" t="str">
        <f t="shared" si="1"/>
        <v/>
      </c>
      <c r="J40" s="6" t="str">
        <f t="shared" si="2"/>
        <v/>
      </c>
      <c r="K40" t="str">
        <f>IFERROR(MATCH(20,Сборка!$R$2:$R$501,0),"")</f>
        <v/>
      </c>
      <c r="L40" t="str">
        <f>IFERROR(IF(INDEX(Сборка!$Q$2:$Q$501,MATCH(20+1,Сборка!$R$2:$R$501,0))=1,INDEX(Сборка!$P$2:$P$501,MATCH(20+1,Сборка!$R$2:$R$501,0)),""),"")</f>
        <v/>
      </c>
      <c r="M40" t="str">
        <f t="shared" si="3"/>
        <v/>
      </c>
    </row>
    <row r="41" spans="1:13" hidden="1" x14ac:dyDescent="0.3">
      <c r="A41" t="str">
        <f>IF(ISNUMBER($K41),INDEX(Сборка!$O$2:$O$501,$K41),"")</f>
        <v/>
      </c>
      <c r="B41" t="str">
        <f>IF(ISNUMBER($K41),INDEX(Сборка!$C$2:$C$501,$K41),"")</f>
        <v/>
      </c>
      <c r="C41" s="5" t="str">
        <f>IF($L41&lt;&gt;"",INDEX(Сборка!$S$2:$S$501,MATCH($L41,Сборка!$P$2:$P$501,0)),IF(ISNUMBER($K41),INDEX(Сборка!$D$2:$D$501,$K41)&amp;IF(INDEX(Сборка!$I$2:$I$501,$K41)&lt;&gt;""," — "&amp;INDEX(Сборка!$I$2:$I$501,$K41),""),""))</f>
        <v/>
      </c>
      <c r="D41" t="str">
        <f>IF(ISNUMBER($K41),INDEX(Сборка!$E$2:$E$501,$K41),"")</f>
        <v/>
      </c>
      <c r="E41" t="str">
        <f>IF(ISNUMBER($K41),INDEX(Сборка!$G$2:$G$501,$K41),"")</f>
        <v/>
      </c>
      <c r="F41" s="6" t="str">
        <f>IF(ISNUMBER($K41),INDEX(Сборка!$J$2:$J$501,$K41),"")</f>
        <v/>
      </c>
      <c r="G41" s="6" t="str">
        <f>IF(ISNUMBER($K41),INDEX(Сборка!$K$2:$K$501,$K41),"")</f>
        <v/>
      </c>
      <c r="H41" s="6" t="str">
        <f t="shared" si="0"/>
        <v/>
      </c>
      <c r="I41" s="6" t="str">
        <f t="shared" si="1"/>
        <v/>
      </c>
      <c r="J41" s="6" t="str">
        <f t="shared" si="2"/>
        <v/>
      </c>
      <c r="K41" t="str">
        <f>IFERROR(MATCH(21,Сборка!$R$2:$R$501,0),"")</f>
        <v/>
      </c>
      <c r="L41" t="str">
        <f>IFERROR(IF(INDEX(Сборка!$Q$2:$Q$501,MATCH(21+1,Сборка!$R$2:$R$501,0))=1,INDEX(Сборка!$P$2:$P$501,MATCH(21+1,Сборка!$R$2:$R$501,0)),""),"")</f>
        <v/>
      </c>
      <c r="M41" t="str">
        <f t="shared" si="3"/>
        <v/>
      </c>
    </row>
    <row r="42" spans="1:13" hidden="1" x14ac:dyDescent="0.3">
      <c r="A42" t="str">
        <f>IF(ISNUMBER($K42),INDEX(Сборка!$O$2:$O$501,$K42),"")</f>
        <v/>
      </c>
      <c r="B42" t="str">
        <f>IF(ISNUMBER($K42),INDEX(Сборка!$C$2:$C$501,$K42),"")</f>
        <v/>
      </c>
      <c r="C42" s="5" t="str">
        <f>IF($L42&lt;&gt;"",INDEX(Сборка!$S$2:$S$501,MATCH($L42,Сборка!$P$2:$P$501,0)),IF(ISNUMBER($K42),INDEX(Сборка!$D$2:$D$501,$K42)&amp;IF(INDEX(Сборка!$I$2:$I$501,$K42)&lt;&gt;""," — "&amp;INDEX(Сборка!$I$2:$I$501,$K42),""),""))</f>
        <v/>
      </c>
      <c r="D42" t="str">
        <f>IF(ISNUMBER($K42),INDEX(Сборка!$E$2:$E$501,$K42),"")</f>
        <v/>
      </c>
      <c r="E42" t="str">
        <f>IF(ISNUMBER($K42),INDEX(Сборка!$G$2:$G$501,$K42),"")</f>
        <v/>
      </c>
      <c r="F42" s="6" t="str">
        <f>IF(ISNUMBER($K42),INDEX(Сборка!$J$2:$J$501,$K42),"")</f>
        <v/>
      </c>
      <c r="G42" s="6" t="str">
        <f>IF(ISNUMBER($K42),INDEX(Сборка!$K$2:$K$501,$K42),"")</f>
        <v/>
      </c>
      <c r="H42" s="6" t="str">
        <f t="shared" si="0"/>
        <v/>
      </c>
      <c r="I42" s="6" t="str">
        <f t="shared" si="1"/>
        <v/>
      </c>
      <c r="J42" s="6" t="str">
        <f t="shared" si="2"/>
        <v/>
      </c>
      <c r="K42" t="str">
        <f>IFERROR(MATCH(22,Сборка!$R$2:$R$501,0),"")</f>
        <v/>
      </c>
      <c r="L42" t="str">
        <f>IFERROR(IF(INDEX(Сборка!$Q$2:$Q$501,MATCH(22+1,Сборка!$R$2:$R$501,0))=1,INDEX(Сборка!$P$2:$P$501,MATCH(22+1,Сборка!$R$2:$R$501,0)),""),"")</f>
        <v/>
      </c>
      <c r="M42" t="str">
        <f t="shared" si="3"/>
        <v/>
      </c>
    </row>
    <row r="43" spans="1:13" hidden="1" x14ac:dyDescent="0.3">
      <c r="A43" t="str">
        <f>IF(ISNUMBER($K43),INDEX(Сборка!$O$2:$O$501,$K43),"")</f>
        <v/>
      </c>
      <c r="B43" t="str">
        <f>IF(ISNUMBER($K43),INDEX(Сборка!$C$2:$C$501,$K43),"")</f>
        <v/>
      </c>
      <c r="C43" s="5" t="str">
        <f>IF($L43&lt;&gt;"",INDEX(Сборка!$S$2:$S$501,MATCH($L43,Сборка!$P$2:$P$501,0)),IF(ISNUMBER($K43),INDEX(Сборка!$D$2:$D$501,$K43)&amp;IF(INDEX(Сборка!$I$2:$I$501,$K43)&lt;&gt;""," — "&amp;INDEX(Сборка!$I$2:$I$501,$K43),""),""))</f>
        <v/>
      </c>
      <c r="D43" t="str">
        <f>IF(ISNUMBER($K43),INDEX(Сборка!$E$2:$E$501,$K43),"")</f>
        <v/>
      </c>
      <c r="E43" t="str">
        <f>IF(ISNUMBER($K43),INDEX(Сборка!$G$2:$G$501,$K43),"")</f>
        <v/>
      </c>
      <c r="F43" s="6" t="str">
        <f>IF(ISNUMBER($K43),INDEX(Сборка!$J$2:$J$501,$K43),"")</f>
        <v/>
      </c>
      <c r="G43" s="6" t="str">
        <f>IF(ISNUMBER($K43),INDEX(Сборка!$K$2:$K$501,$K43),"")</f>
        <v/>
      </c>
      <c r="H43" s="6" t="str">
        <f t="shared" si="0"/>
        <v/>
      </c>
      <c r="I43" s="6" t="str">
        <f t="shared" si="1"/>
        <v/>
      </c>
      <c r="J43" s="6" t="str">
        <f t="shared" si="2"/>
        <v/>
      </c>
      <c r="K43" t="str">
        <f>IFERROR(MATCH(23,Сборка!$R$2:$R$501,0),"")</f>
        <v/>
      </c>
      <c r="L43" t="str">
        <f>IFERROR(IF(INDEX(Сборка!$Q$2:$Q$501,MATCH(23+1,Сборка!$R$2:$R$501,0))=1,INDEX(Сборка!$P$2:$P$501,MATCH(23+1,Сборка!$R$2:$R$501,0)),""),"")</f>
        <v/>
      </c>
      <c r="M43" t="str">
        <f t="shared" si="3"/>
        <v/>
      </c>
    </row>
    <row r="44" spans="1:13" hidden="1" x14ac:dyDescent="0.3">
      <c r="A44" t="str">
        <f>IF(ISNUMBER($K44),INDEX(Сборка!$O$2:$O$501,$K44),"")</f>
        <v/>
      </c>
      <c r="B44" t="str">
        <f>IF(ISNUMBER($K44),INDEX(Сборка!$C$2:$C$501,$K44),"")</f>
        <v/>
      </c>
      <c r="C44" s="5" t="str">
        <f>IF($L44&lt;&gt;"",INDEX(Сборка!$S$2:$S$501,MATCH($L44,Сборка!$P$2:$P$501,0)),IF(ISNUMBER($K44),INDEX(Сборка!$D$2:$D$501,$K44)&amp;IF(INDEX(Сборка!$I$2:$I$501,$K44)&lt;&gt;""," — "&amp;INDEX(Сборка!$I$2:$I$501,$K44),""),""))</f>
        <v/>
      </c>
      <c r="D44" t="str">
        <f>IF(ISNUMBER($K44),INDEX(Сборка!$E$2:$E$501,$K44),"")</f>
        <v/>
      </c>
      <c r="E44" t="str">
        <f>IF(ISNUMBER($K44),INDEX(Сборка!$G$2:$G$501,$K44),"")</f>
        <v/>
      </c>
      <c r="F44" s="6" t="str">
        <f>IF(ISNUMBER($K44),INDEX(Сборка!$J$2:$J$501,$K44),"")</f>
        <v/>
      </c>
      <c r="G44" s="6" t="str">
        <f>IF(ISNUMBER($K44),INDEX(Сборка!$K$2:$K$501,$K44),"")</f>
        <v/>
      </c>
      <c r="H44" s="6" t="str">
        <f t="shared" si="0"/>
        <v/>
      </c>
      <c r="I44" s="6" t="str">
        <f t="shared" si="1"/>
        <v/>
      </c>
      <c r="J44" s="6" t="str">
        <f t="shared" si="2"/>
        <v/>
      </c>
      <c r="K44" t="str">
        <f>IFERROR(MATCH(24,Сборка!$R$2:$R$501,0),"")</f>
        <v/>
      </c>
      <c r="L44" t="str">
        <f>IFERROR(IF(INDEX(Сборка!$Q$2:$Q$501,MATCH(24+1,Сборка!$R$2:$R$501,0))=1,INDEX(Сборка!$P$2:$P$501,MATCH(24+1,Сборка!$R$2:$R$501,0)),""),"")</f>
        <v/>
      </c>
      <c r="M44" t="str">
        <f t="shared" si="3"/>
        <v/>
      </c>
    </row>
    <row r="45" spans="1:13" hidden="1" x14ac:dyDescent="0.3">
      <c r="A45" t="str">
        <f>IF(ISNUMBER($K45),INDEX(Сборка!$O$2:$O$501,$K45),"")</f>
        <v/>
      </c>
      <c r="B45" t="str">
        <f>IF(ISNUMBER($K45),INDEX(Сборка!$C$2:$C$501,$K45),"")</f>
        <v/>
      </c>
      <c r="C45" s="5" t="str">
        <f>IF($L45&lt;&gt;"",INDEX(Сборка!$S$2:$S$501,MATCH($L45,Сборка!$P$2:$P$501,0)),IF(ISNUMBER($K45),INDEX(Сборка!$D$2:$D$501,$K45)&amp;IF(INDEX(Сборка!$I$2:$I$501,$K45)&lt;&gt;""," — "&amp;INDEX(Сборка!$I$2:$I$501,$K45),""),""))</f>
        <v/>
      </c>
      <c r="D45" t="str">
        <f>IF(ISNUMBER($K45),INDEX(Сборка!$E$2:$E$501,$K45),"")</f>
        <v/>
      </c>
      <c r="E45" t="str">
        <f>IF(ISNUMBER($K45),INDEX(Сборка!$G$2:$G$501,$K45),"")</f>
        <v/>
      </c>
      <c r="F45" s="6" t="str">
        <f>IF(ISNUMBER($K45),INDEX(Сборка!$J$2:$J$501,$K45),"")</f>
        <v/>
      </c>
      <c r="G45" s="6" t="str">
        <f>IF(ISNUMBER($K45),INDEX(Сборка!$K$2:$K$501,$K45),"")</f>
        <v/>
      </c>
      <c r="H45" s="6" t="str">
        <f t="shared" si="0"/>
        <v/>
      </c>
      <c r="I45" s="6" t="str">
        <f t="shared" si="1"/>
        <v/>
      </c>
      <c r="J45" s="6" t="str">
        <f t="shared" si="2"/>
        <v/>
      </c>
      <c r="K45" t="str">
        <f>IFERROR(MATCH(25,Сборка!$R$2:$R$501,0),"")</f>
        <v/>
      </c>
      <c r="L45" t="str">
        <f>IFERROR(IF(INDEX(Сборка!$Q$2:$Q$501,MATCH(25+1,Сборка!$R$2:$R$501,0))=1,INDEX(Сборка!$P$2:$P$501,MATCH(25+1,Сборка!$R$2:$R$501,0)),""),"")</f>
        <v/>
      </c>
      <c r="M45" t="str">
        <f t="shared" si="3"/>
        <v/>
      </c>
    </row>
    <row r="46" spans="1:13" hidden="1" x14ac:dyDescent="0.3">
      <c r="A46" t="str">
        <f>IF(ISNUMBER($K46),INDEX(Сборка!$O$2:$O$501,$K46),"")</f>
        <v/>
      </c>
      <c r="B46" t="str">
        <f>IF(ISNUMBER($K46),INDEX(Сборка!$C$2:$C$501,$K46),"")</f>
        <v/>
      </c>
      <c r="C46" s="5" t="str">
        <f>IF($L46&lt;&gt;"",INDEX(Сборка!$S$2:$S$501,MATCH($L46,Сборка!$P$2:$P$501,0)),IF(ISNUMBER($K46),INDEX(Сборка!$D$2:$D$501,$K46)&amp;IF(INDEX(Сборка!$I$2:$I$501,$K46)&lt;&gt;""," — "&amp;INDEX(Сборка!$I$2:$I$501,$K46),""),""))</f>
        <v/>
      </c>
      <c r="D46" t="str">
        <f>IF(ISNUMBER($K46),INDEX(Сборка!$E$2:$E$501,$K46),"")</f>
        <v/>
      </c>
      <c r="E46" t="str">
        <f>IF(ISNUMBER($K46),INDEX(Сборка!$G$2:$G$501,$K46),"")</f>
        <v/>
      </c>
      <c r="F46" s="6" t="str">
        <f>IF(ISNUMBER($K46),INDEX(Сборка!$J$2:$J$501,$K46),"")</f>
        <v/>
      </c>
      <c r="G46" s="6" t="str">
        <f>IF(ISNUMBER($K46),INDEX(Сборка!$K$2:$K$501,$K46),"")</f>
        <v/>
      </c>
      <c r="H46" s="6" t="str">
        <f t="shared" si="0"/>
        <v/>
      </c>
      <c r="I46" s="6" t="str">
        <f t="shared" si="1"/>
        <v/>
      </c>
      <c r="J46" s="6" t="str">
        <f t="shared" si="2"/>
        <v/>
      </c>
      <c r="K46" t="str">
        <f>IFERROR(MATCH(26,Сборка!$R$2:$R$501,0),"")</f>
        <v/>
      </c>
      <c r="L46" t="str">
        <f>IFERROR(IF(INDEX(Сборка!$Q$2:$Q$501,MATCH(26+1,Сборка!$R$2:$R$501,0))=1,INDEX(Сборка!$P$2:$P$501,MATCH(26+1,Сборка!$R$2:$R$501,0)),""),"")</f>
        <v/>
      </c>
      <c r="M46" t="str">
        <f t="shared" si="3"/>
        <v/>
      </c>
    </row>
    <row r="47" spans="1:13" hidden="1" x14ac:dyDescent="0.3">
      <c r="A47" t="str">
        <f>IF(ISNUMBER($K47),INDEX(Сборка!$O$2:$O$501,$K47),"")</f>
        <v/>
      </c>
      <c r="B47" t="str">
        <f>IF(ISNUMBER($K47),INDEX(Сборка!$C$2:$C$501,$K47),"")</f>
        <v/>
      </c>
      <c r="C47" s="5" t="str">
        <f>IF($L47&lt;&gt;"",INDEX(Сборка!$S$2:$S$501,MATCH($L47,Сборка!$P$2:$P$501,0)),IF(ISNUMBER($K47),INDEX(Сборка!$D$2:$D$501,$K47)&amp;IF(INDEX(Сборка!$I$2:$I$501,$K47)&lt;&gt;""," — "&amp;INDEX(Сборка!$I$2:$I$501,$K47),""),""))</f>
        <v/>
      </c>
      <c r="D47" t="str">
        <f>IF(ISNUMBER($K47),INDEX(Сборка!$E$2:$E$501,$K47),"")</f>
        <v/>
      </c>
      <c r="E47" t="str">
        <f>IF(ISNUMBER($K47),INDEX(Сборка!$G$2:$G$501,$K47),"")</f>
        <v/>
      </c>
      <c r="F47" s="6" t="str">
        <f>IF(ISNUMBER($K47),INDEX(Сборка!$J$2:$J$501,$K47),"")</f>
        <v/>
      </c>
      <c r="G47" s="6" t="str">
        <f>IF(ISNUMBER($K47),INDEX(Сборка!$K$2:$K$501,$K47),"")</f>
        <v/>
      </c>
      <c r="H47" s="6" t="str">
        <f t="shared" si="0"/>
        <v/>
      </c>
      <c r="I47" s="6" t="str">
        <f t="shared" si="1"/>
        <v/>
      </c>
      <c r="J47" s="6" t="str">
        <f t="shared" si="2"/>
        <v/>
      </c>
      <c r="K47" t="str">
        <f>IFERROR(MATCH(27,Сборка!$R$2:$R$501,0),"")</f>
        <v/>
      </c>
      <c r="L47" t="str">
        <f>IFERROR(IF(INDEX(Сборка!$Q$2:$Q$501,MATCH(27+1,Сборка!$R$2:$R$501,0))=1,INDEX(Сборка!$P$2:$P$501,MATCH(27+1,Сборка!$R$2:$R$501,0)),""),"")</f>
        <v/>
      </c>
      <c r="M47" t="str">
        <f t="shared" si="3"/>
        <v/>
      </c>
    </row>
    <row r="48" spans="1:13" hidden="1" x14ac:dyDescent="0.3">
      <c r="A48" t="str">
        <f>IF(ISNUMBER($K48),INDEX(Сборка!$O$2:$O$501,$K48),"")</f>
        <v/>
      </c>
      <c r="B48" t="str">
        <f>IF(ISNUMBER($K48),INDEX(Сборка!$C$2:$C$501,$K48),"")</f>
        <v/>
      </c>
      <c r="C48" s="5" t="str">
        <f>IF($L48&lt;&gt;"",INDEX(Сборка!$S$2:$S$501,MATCH($L48,Сборка!$P$2:$P$501,0)),IF(ISNUMBER($K48),INDEX(Сборка!$D$2:$D$501,$K48)&amp;IF(INDEX(Сборка!$I$2:$I$501,$K48)&lt;&gt;""," — "&amp;INDEX(Сборка!$I$2:$I$501,$K48),""),""))</f>
        <v/>
      </c>
      <c r="D48" t="str">
        <f>IF(ISNUMBER($K48),INDEX(Сборка!$E$2:$E$501,$K48),"")</f>
        <v/>
      </c>
      <c r="E48" t="str">
        <f>IF(ISNUMBER($K48),INDEX(Сборка!$G$2:$G$501,$K48),"")</f>
        <v/>
      </c>
      <c r="F48" s="6" t="str">
        <f>IF(ISNUMBER($K48),INDEX(Сборка!$J$2:$J$501,$K48),"")</f>
        <v/>
      </c>
      <c r="G48" s="6" t="str">
        <f>IF(ISNUMBER($K48),INDEX(Сборка!$K$2:$K$501,$K48),"")</f>
        <v/>
      </c>
      <c r="H48" s="6" t="str">
        <f t="shared" si="0"/>
        <v/>
      </c>
      <c r="I48" s="6" t="str">
        <f t="shared" si="1"/>
        <v/>
      </c>
      <c r="J48" s="6" t="str">
        <f t="shared" si="2"/>
        <v/>
      </c>
      <c r="K48" t="str">
        <f>IFERROR(MATCH(28,Сборка!$R$2:$R$501,0),"")</f>
        <v/>
      </c>
      <c r="L48" t="str">
        <f>IFERROR(IF(INDEX(Сборка!$Q$2:$Q$501,MATCH(28+1,Сборка!$R$2:$R$501,0))=1,INDEX(Сборка!$P$2:$P$501,MATCH(28+1,Сборка!$R$2:$R$501,0)),""),"")</f>
        <v/>
      </c>
      <c r="M48" t="str">
        <f t="shared" si="3"/>
        <v/>
      </c>
    </row>
    <row r="49" spans="1:13" hidden="1" x14ac:dyDescent="0.3">
      <c r="A49" t="str">
        <f>IF(ISNUMBER($K49),INDEX(Сборка!$O$2:$O$501,$K49),"")</f>
        <v/>
      </c>
      <c r="B49" t="str">
        <f>IF(ISNUMBER($K49),INDEX(Сборка!$C$2:$C$501,$K49),"")</f>
        <v/>
      </c>
      <c r="C49" s="5" t="str">
        <f>IF($L49&lt;&gt;"",INDEX(Сборка!$S$2:$S$501,MATCH($L49,Сборка!$P$2:$P$501,0)),IF(ISNUMBER($K49),INDEX(Сборка!$D$2:$D$501,$K49)&amp;IF(INDEX(Сборка!$I$2:$I$501,$K49)&lt;&gt;""," — "&amp;INDEX(Сборка!$I$2:$I$501,$K49),""),""))</f>
        <v/>
      </c>
      <c r="D49" t="str">
        <f>IF(ISNUMBER($K49),INDEX(Сборка!$E$2:$E$501,$K49),"")</f>
        <v/>
      </c>
      <c r="E49" t="str">
        <f>IF(ISNUMBER($K49),INDEX(Сборка!$G$2:$G$501,$K49),"")</f>
        <v/>
      </c>
      <c r="F49" s="6" t="str">
        <f>IF(ISNUMBER($K49),INDEX(Сборка!$J$2:$J$501,$K49),"")</f>
        <v/>
      </c>
      <c r="G49" s="6" t="str">
        <f>IF(ISNUMBER($K49),INDEX(Сборка!$K$2:$K$501,$K49),"")</f>
        <v/>
      </c>
      <c r="H49" s="6" t="str">
        <f t="shared" si="0"/>
        <v/>
      </c>
      <c r="I49" s="6" t="str">
        <f t="shared" si="1"/>
        <v/>
      </c>
      <c r="J49" s="6" t="str">
        <f t="shared" si="2"/>
        <v/>
      </c>
      <c r="K49" t="str">
        <f>IFERROR(MATCH(29,Сборка!$R$2:$R$501,0),"")</f>
        <v/>
      </c>
      <c r="L49" t="str">
        <f>IFERROR(IF(INDEX(Сборка!$Q$2:$Q$501,MATCH(29+1,Сборка!$R$2:$R$501,0))=1,INDEX(Сборка!$P$2:$P$501,MATCH(29+1,Сборка!$R$2:$R$501,0)),""),"")</f>
        <v/>
      </c>
      <c r="M49" t="str">
        <f t="shared" si="3"/>
        <v/>
      </c>
    </row>
    <row r="50" spans="1:13" hidden="1" x14ac:dyDescent="0.3">
      <c r="A50" t="str">
        <f>IF(ISNUMBER($K50),INDEX(Сборка!$O$2:$O$501,$K50),"")</f>
        <v/>
      </c>
      <c r="B50" t="str">
        <f>IF(ISNUMBER($K50),INDEX(Сборка!$C$2:$C$501,$K50),"")</f>
        <v/>
      </c>
      <c r="C50" s="5" t="str">
        <f>IF($L50&lt;&gt;"",INDEX(Сборка!$S$2:$S$501,MATCH($L50,Сборка!$P$2:$P$501,0)),IF(ISNUMBER($K50),INDEX(Сборка!$D$2:$D$501,$K50)&amp;IF(INDEX(Сборка!$I$2:$I$501,$K50)&lt;&gt;""," — "&amp;INDEX(Сборка!$I$2:$I$501,$K50),""),""))</f>
        <v/>
      </c>
      <c r="D50" t="str">
        <f>IF(ISNUMBER($K50),INDEX(Сборка!$E$2:$E$501,$K50),"")</f>
        <v/>
      </c>
      <c r="E50" t="str">
        <f>IF(ISNUMBER($K50),INDEX(Сборка!$G$2:$G$501,$K50),"")</f>
        <v/>
      </c>
      <c r="F50" s="6" t="str">
        <f>IF(ISNUMBER($K50),INDEX(Сборка!$J$2:$J$501,$K50),"")</f>
        <v/>
      </c>
      <c r="G50" s="6" t="str">
        <f>IF(ISNUMBER($K50),INDEX(Сборка!$K$2:$K$501,$K50),"")</f>
        <v/>
      </c>
      <c r="H50" s="6" t="str">
        <f t="shared" si="0"/>
        <v/>
      </c>
      <c r="I50" s="6" t="str">
        <f t="shared" si="1"/>
        <v/>
      </c>
      <c r="J50" s="6" t="str">
        <f t="shared" si="2"/>
        <v/>
      </c>
      <c r="K50" t="str">
        <f>IFERROR(MATCH(30,Сборка!$R$2:$R$501,0),"")</f>
        <v/>
      </c>
      <c r="L50" t="str">
        <f>IFERROR(IF(INDEX(Сборка!$Q$2:$Q$501,MATCH(30+1,Сборка!$R$2:$R$501,0))=1,INDEX(Сборка!$P$2:$P$501,MATCH(30+1,Сборка!$R$2:$R$501,0)),""),"")</f>
        <v/>
      </c>
      <c r="M50" t="str">
        <f t="shared" si="3"/>
        <v/>
      </c>
    </row>
    <row r="51" spans="1:13" hidden="1" x14ac:dyDescent="0.3">
      <c r="A51" t="str">
        <f>IF(ISNUMBER($K51),INDEX(Сборка!$O$2:$O$501,$K51),"")</f>
        <v/>
      </c>
      <c r="B51" t="str">
        <f>IF(ISNUMBER($K51),INDEX(Сборка!$C$2:$C$501,$K51),"")</f>
        <v/>
      </c>
      <c r="C51" s="5" t="str">
        <f>IF($L51&lt;&gt;"",INDEX(Сборка!$S$2:$S$501,MATCH($L51,Сборка!$P$2:$P$501,0)),IF(ISNUMBER($K51),INDEX(Сборка!$D$2:$D$501,$K51)&amp;IF(INDEX(Сборка!$I$2:$I$501,$K51)&lt;&gt;""," — "&amp;INDEX(Сборка!$I$2:$I$501,$K51),""),""))</f>
        <v/>
      </c>
      <c r="D51" t="str">
        <f>IF(ISNUMBER($K51),INDEX(Сборка!$E$2:$E$501,$K51),"")</f>
        <v/>
      </c>
      <c r="E51" t="str">
        <f>IF(ISNUMBER($K51),INDEX(Сборка!$G$2:$G$501,$K51),"")</f>
        <v/>
      </c>
      <c r="F51" s="6" t="str">
        <f>IF(ISNUMBER($K51),INDEX(Сборка!$J$2:$J$501,$K51),"")</f>
        <v/>
      </c>
      <c r="G51" s="6" t="str">
        <f>IF(ISNUMBER($K51),INDEX(Сборка!$K$2:$K$501,$K51),"")</f>
        <v/>
      </c>
      <c r="H51" s="6" t="str">
        <f t="shared" si="0"/>
        <v/>
      </c>
      <c r="I51" s="6" t="str">
        <f t="shared" si="1"/>
        <v/>
      </c>
      <c r="J51" s="6" t="str">
        <f t="shared" si="2"/>
        <v/>
      </c>
      <c r="K51" t="str">
        <f>IFERROR(MATCH(31,Сборка!$R$2:$R$501,0),"")</f>
        <v/>
      </c>
      <c r="L51" t="str">
        <f>IFERROR(IF(INDEX(Сборка!$Q$2:$Q$501,MATCH(31+1,Сборка!$R$2:$R$501,0))=1,INDEX(Сборка!$P$2:$P$501,MATCH(31+1,Сборка!$R$2:$R$501,0)),""),"")</f>
        <v/>
      </c>
      <c r="M51" t="str">
        <f t="shared" si="3"/>
        <v/>
      </c>
    </row>
    <row r="52" spans="1:13" hidden="1" x14ac:dyDescent="0.3">
      <c r="A52" t="str">
        <f>IF(ISNUMBER($K52),INDEX(Сборка!$O$2:$O$501,$K52),"")</f>
        <v/>
      </c>
      <c r="B52" t="str">
        <f>IF(ISNUMBER($K52),INDEX(Сборка!$C$2:$C$501,$K52),"")</f>
        <v/>
      </c>
      <c r="C52" s="5" t="str">
        <f>IF($L52&lt;&gt;"",INDEX(Сборка!$S$2:$S$501,MATCH($L52,Сборка!$P$2:$P$501,0)),IF(ISNUMBER($K52),INDEX(Сборка!$D$2:$D$501,$K52)&amp;IF(INDEX(Сборка!$I$2:$I$501,$K52)&lt;&gt;""," — "&amp;INDEX(Сборка!$I$2:$I$501,$K52),""),""))</f>
        <v/>
      </c>
      <c r="D52" t="str">
        <f>IF(ISNUMBER($K52),INDEX(Сборка!$E$2:$E$501,$K52),"")</f>
        <v/>
      </c>
      <c r="E52" t="str">
        <f>IF(ISNUMBER($K52),INDEX(Сборка!$G$2:$G$501,$K52),"")</f>
        <v/>
      </c>
      <c r="F52" s="6" t="str">
        <f>IF(ISNUMBER($K52),INDEX(Сборка!$J$2:$J$501,$K52),"")</f>
        <v/>
      </c>
      <c r="G52" s="6" t="str">
        <f>IF(ISNUMBER($K52),INDEX(Сборка!$K$2:$K$501,$K52),"")</f>
        <v/>
      </c>
      <c r="H52" s="6" t="str">
        <f t="shared" si="0"/>
        <v/>
      </c>
      <c r="I52" s="6" t="str">
        <f t="shared" si="1"/>
        <v/>
      </c>
      <c r="J52" s="6" t="str">
        <f t="shared" si="2"/>
        <v/>
      </c>
      <c r="K52" t="str">
        <f>IFERROR(MATCH(32,Сборка!$R$2:$R$501,0),"")</f>
        <v/>
      </c>
      <c r="L52" t="str">
        <f>IFERROR(IF(INDEX(Сборка!$Q$2:$Q$501,MATCH(32+1,Сборка!$R$2:$R$501,0))=1,INDEX(Сборка!$P$2:$P$501,MATCH(32+1,Сборка!$R$2:$R$501,0)),""),"")</f>
        <v/>
      </c>
      <c r="M52" t="str">
        <f t="shared" si="3"/>
        <v/>
      </c>
    </row>
    <row r="53" spans="1:13" hidden="1" x14ac:dyDescent="0.3">
      <c r="A53" t="str">
        <f>IF(ISNUMBER($K53),INDEX(Сборка!$O$2:$O$501,$K53),"")</f>
        <v/>
      </c>
      <c r="B53" t="str">
        <f>IF(ISNUMBER($K53),INDEX(Сборка!$C$2:$C$501,$K53),"")</f>
        <v/>
      </c>
      <c r="C53" s="5" t="str">
        <f>IF($L53&lt;&gt;"",INDEX(Сборка!$S$2:$S$501,MATCH($L53,Сборка!$P$2:$P$501,0)),IF(ISNUMBER($K53),INDEX(Сборка!$D$2:$D$501,$K53)&amp;IF(INDEX(Сборка!$I$2:$I$501,$K53)&lt;&gt;""," — "&amp;INDEX(Сборка!$I$2:$I$501,$K53),""),""))</f>
        <v/>
      </c>
      <c r="D53" t="str">
        <f>IF(ISNUMBER($K53),INDEX(Сборка!$E$2:$E$501,$K53),"")</f>
        <v/>
      </c>
      <c r="E53" t="str">
        <f>IF(ISNUMBER($K53),INDEX(Сборка!$G$2:$G$501,$K53),"")</f>
        <v/>
      </c>
      <c r="F53" s="6" t="str">
        <f>IF(ISNUMBER($K53),INDEX(Сборка!$J$2:$J$501,$K53),"")</f>
        <v/>
      </c>
      <c r="G53" s="6" t="str">
        <f>IF(ISNUMBER($K53),INDEX(Сборка!$K$2:$K$501,$K53),"")</f>
        <v/>
      </c>
      <c r="H53" s="6" t="str">
        <f t="shared" si="0"/>
        <v/>
      </c>
      <c r="I53" s="6" t="str">
        <f t="shared" si="1"/>
        <v/>
      </c>
      <c r="J53" s="6" t="str">
        <f t="shared" si="2"/>
        <v/>
      </c>
      <c r="K53" t="str">
        <f>IFERROR(MATCH(33,Сборка!$R$2:$R$501,0),"")</f>
        <v/>
      </c>
      <c r="L53" t="str">
        <f>IFERROR(IF(INDEX(Сборка!$Q$2:$Q$501,MATCH(33+1,Сборка!$R$2:$R$501,0))=1,INDEX(Сборка!$P$2:$P$501,MATCH(33+1,Сборка!$R$2:$R$501,0)),""),"")</f>
        <v/>
      </c>
      <c r="M53" t="str">
        <f t="shared" si="3"/>
        <v/>
      </c>
    </row>
    <row r="54" spans="1:13" hidden="1" x14ac:dyDescent="0.3">
      <c r="A54" t="str">
        <f>IF(ISNUMBER($K54),INDEX(Сборка!$O$2:$O$501,$K54),"")</f>
        <v/>
      </c>
      <c r="B54" t="str">
        <f>IF(ISNUMBER($K54),INDEX(Сборка!$C$2:$C$501,$K54),"")</f>
        <v/>
      </c>
      <c r="C54" s="5" t="str">
        <f>IF($L54&lt;&gt;"",INDEX(Сборка!$S$2:$S$501,MATCH($L54,Сборка!$P$2:$P$501,0)),IF(ISNUMBER($K54),INDEX(Сборка!$D$2:$D$501,$K54)&amp;IF(INDEX(Сборка!$I$2:$I$501,$K54)&lt;&gt;""," — "&amp;INDEX(Сборка!$I$2:$I$501,$K54),""),""))</f>
        <v/>
      </c>
      <c r="D54" t="str">
        <f>IF(ISNUMBER($K54),INDEX(Сборка!$E$2:$E$501,$K54),"")</f>
        <v/>
      </c>
      <c r="E54" t="str">
        <f>IF(ISNUMBER($K54),INDEX(Сборка!$G$2:$G$501,$K54),"")</f>
        <v/>
      </c>
      <c r="F54" s="6" t="str">
        <f>IF(ISNUMBER($K54),INDEX(Сборка!$J$2:$J$501,$K54),"")</f>
        <v/>
      </c>
      <c r="G54" s="6" t="str">
        <f>IF(ISNUMBER($K54),INDEX(Сборка!$K$2:$K$501,$K54),"")</f>
        <v/>
      </c>
      <c r="H54" s="6" t="str">
        <f t="shared" si="0"/>
        <v/>
      </c>
      <c r="I54" s="6" t="str">
        <f t="shared" si="1"/>
        <v/>
      </c>
      <c r="J54" s="6" t="str">
        <f t="shared" si="2"/>
        <v/>
      </c>
      <c r="K54" t="str">
        <f>IFERROR(MATCH(34,Сборка!$R$2:$R$501,0),"")</f>
        <v/>
      </c>
      <c r="L54" t="str">
        <f>IFERROR(IF(INDEX(Сборка!$Q$2:$Q$501,MATCH(34+1,Сборка!$R$2:$R$501,0))=1,INDEX(Сборка!$P$2:$P$501,MATCH(34+1,Сборка!$R$2:$R$501,0)),""),"")</f>
        <v/>
      </c>
      <c r="M54" t="str">
        <f t="shared" si="3"/>
        <v/>
      </c>
    </row>
    <row r="55" spans="1:13" hidden="1" x14ac:dyDescent="0.3">
      <c r="A55" t="str">
        <f>IF(ISNUMBER($K55),INDEX(Сборка!$O$2:$O$501,$K55),"")</f>
        <v/>
      </c>
      <c r="B55" t="str">
        <f>IF(ISNUMBER($K55),INDEX(Сборка!$C$2:$C$501,$K55),"")</f>
        <v/>
      </c>
      <c r="C55" s="5" t="str">
        <f>IF($L55&lt;&gt;"",INDEX(Сборка!$S$2:$S$501,MATCH($L55,Сборка!$P$2:$P$501,0)),IF(ISNUMBER($K55),INDEX(Сборка!$D$2:$D$501,$K55)&amp;IF(INDEX(Сборка!$I$2:$I$501,$K55)&lt;&gt;""," — "&amp;INDEX(Сборка!$I$2:$I$501,$K55),""),""))</f>
        <v/>
      </c>
      <c r="D55" t="str">
        <f>IF(ISNUMBER($K55),INDEX(Сборка!$E$2:$E$501,$K55),"")</f>
        <v/>
      </c>
      <c r="E55" t="str">
        <f>IF(ISNUMBER($K55),INDEX(Сборка!$G$2:$G$501,$K55),"")</f>
        <v/>
      </c>
      <c r="F55" s="6" t="str">
        <f>IF(ISNUMBER($K55),INDEX(Сборка!$J$2:$J$501,$K55),"")</f>
        <v/>
      </c>
      <c r="G55" s="6" t="str">
        <f>IF(ISNUMBER($K55),INDEX(Сборка!$K$2:$K$501,$K55),"")</f>
        <v/>
      </c>
      <c r="H55" s="6" t="str">
        <f t="shared" si="0"/>
        <v/>
      </c>
      <c r="I55" s="6" t="str">
        <f t="shared" si="1"/>
        <v/>
      </c>
      <c r="J55" s="6" t="str">
        <f t="shared" si="2"/>
        <v/>
      </c>
      <c r="K55" t="str">
        <f>IFERROR(MATCH(35,Сборка!$R$2:$R$501,0),"")</f>
        <v/>
      </c>
      <c r="L55" t="str">
        <f>IFERROR(IF(INDEX(Сборка!$Q$2:$Q$501,MATCH(35+1,Сборка!$R$2:$R$501,0))=1,INDEX(Сборка!$P$2:$P$501,MATCH(35+1,Сборка!$R$2:$R$501,0)),""),"")</f>
        <v/>
      </c>
      <c r="M55" t="str">
        <f t="shared" si="3"/>
        <v/>
      </c>
    </row>
    <row r="56" spans="1:13" hidden="1" x14ac:dyDescent="0.3">
      <c r="A56" t="str">
        <f>IF(ISNUMBER($K56),INDEX(Сборка!$O$2:$O$501,$K56),"")</f>
        <v/>
      </c>
      <c r="B56" t="str">
        <f>IF(ISNUMBER($K56),INDEX(Сборка!$C$2:$C$501,$K56),"")</f>
        <v/>
      </c>
      <c r="C56" s="5" t="str">
        <f>IF($L56&lt;&gt;"",INDEX(Сборка!$S$2:$S$501,MATCH($L56,Сборка!$P$2:$P$501,0)),IF(ISNUMBER($K56),INDEX(Сборка!$D$2:$D$501,$K56)&amp;IF(INDEX(Сборка!$I$2:$I$501,$K56)&lt;&gt;""," — "&amp;INDEX(Сборка!$I$2:$I$501,$K56),""),""))</f>
        <v/>
      </c>
      <c r="D56" t="str">
        <f>IF(ISNUMBER($K56),INDEX(Сборка!$E$2:$E$501,$K56),"")</f>
        <v/>
      </c>
      <c r="E56" t="str">
        <f>IF(ISNUMBER($K56),INDEX(Сборка!$G$2:$G$501,$K56),"")</f>
        <v/>
      </c>
      <c r="F56" s="6" t="str">
        <f>IF(ISNUMBER($K56),INDEX(Сборка!$J$2:$J$501,$K56),"")</f>
        <v/>
      </c>
      <c r="G56" s="6" t="str">
        <f>IF(ISNUMBER($K56),INDEX(Сборка!$K$2:$K$501,$K56),"")</f>
        <v/>
      </c>
      <c r="H56" s="6" t="str">
        <f t="shared" si="0"/>
        <v/>
      </c>
      <c r="I56" s="6" t="str">
        <f t="shared" si="1"/>
        <v/>
      </c>
      <c r="J56" s="6" t="str">
        <f t="shared" si="2"/>
        <v/>
      </c>
      <c r="K56" t="str">
        <f>IFERROR(MATCH(36,Сборка!$R$2:$R$501,0),"")</f>
        <v/>
      </c>
      <c r="L56" t="str">
        <f>IFERROR(IF(INDEX(Сборка!$Q$2:$Q$501,MATCH(36+1,Сборка!$R$2:$R$501,0))=1,INDEX(Сборка!$P$2:$P$501,MATCH(36+1,Сборка!$R$2:$R$501,0)),""),"")</f>
        <v/>
      </c>
      <c r="M56" t="str">
        <f t="shared" si="3"/>
        <v/>
      </c>
    </row>
    <row r="57" spans="1:13" hidden="1" x14ac:dyDescent="0.3">
      <c r="A57" t="str">
        <f>IF(ISNUMBER($K57),INDEX(Сборка!$O$2:$O$501,$K57),"")</f>
        <v/>
      </c>
      <c r="B57" t="str">
        <f>IF(ISNUMBER($K57),INDEX(Сборка!$C$2:$C$501,$K57),"")</f>
        <v/>
      </c>
      <c r="C57" s="5" t="str">
        <f>IF($L57&lt;&gt;"",INDEX(Сборка!$S$2:$S$501,MATCH($L57,Сборка!$P$2:$P$501,0)),IF(ISNUMBER($K57),INDEX(Сборка!$D$2:$D$501,$K57)&amp;IF(INDEX(Сборка!$I$2:$I$501,$K57)&lt;&gt;""," — "&amp;INDEX(Сборка!$I$2:$I$501,$K57),""),""))</f>
        <v/>
      </c>
      <c r="D57" t="str">
        <f>IF(ISNUMBER($K57),INDEX(Сборка!$E$2:$E$501,$K57),"")</f>
        <v/>
      </c>
      <c r="E57" t="str">
        <f>IF(ISNUMBER($K57),INDEX(Сборка!$G$2:$G$501,$K57),"")</f>
        <v/>
      </c>
      <c r="F57" s="6" t="str">
        <f>IF(ISNUMBER($K57),INDEX(Сборка!$J$2:$J$501,$K57),"")</f>
        <v/>
      </c>
      <c r="G57" s="6" t="str">
        <f>IF(ISNUMBER($K57),INDEX(Сборка!$K$2:$K$501,$K57),"")</f>
        <v/>
      </c>
      <c r="H57" s="6" t="str">
        <f t="shared" si="0"/>
        <v/>
      </c>
      <c r="I57" s="6" t="str">
        <f t="shared" si="1"/>
        <v/>
      </c>
      <c r="J57" s="6" t="str">
        <f t="shared" si="2"/>
        <v/>
      </c>
      <c r="K57" t="str">
        <f>IFERROR(MATCH(37,Сборка!$R$2:$R$501,0),"")</f>
        <v/>
      </c>
      <c r="L57" t="str">
        <f>IFERROR(IF(INDEX(Сборка!$Q$2:$Q$501,MATCH(37+1,Сборка!$R$2:$R$501,0))=1,INDEX(Сборка!$P$2:$P$501,MATCH(37+1,Сборка!$R$2:$R$501,0)),""),"")</f>
        <v/>
      </c>
      <c r="M57" t="str">
        <f t="shared" si="3"/>
        <v/>
      </c>
    </row>
    <row r="58" spans="1:13" hidden="1" x14ac:dyDescent="0.3">
      <c r="A58" t="str">
        <f>IF(ISNUMBER($K58),INDEX(Сборка!$O$2:$O$501,$K58),"")</f>
        <v/>
      </c>
      <c r="B58" t="str">
        <f>IF(ISNUMBER($K58),INDEX(Сборка!$C$2:$C$501,$K58),"")</f>
        <v/>
      </c>
      <c r="C58" s="5" t="str">
        <f>IF($L58&lt;&gt;"",INDEX(Сборка!$S$2:$S$501,MATCH($L58,Сборка!$P$2:$P$501,0)),IF(ISNUMBER($K58),INDEX(Сборка!$D$2:$D$501,$K58)&amp;IF(INDEX(Сборка!$I$2:$I$501,$K58)&lt;&gt;""," — "&amp;INDEX(Сборка!$I$2:$I$501,$K58),""),""))</f>
        <v/>
      </c>
      <c r="D58" t="str">
        <f>IF(ISNUMBER($K58),INDEX(Сборка!$E$2:$E$501,$K58),"")</f>
        <v/>
      </c>
      <c r="E58" t="str">
        <f>IF(ISNUMBER($K58),INDEX(Сборка!$G$2:$G$501,$K58),"")</f>
        <v/>
      </c>
      <c r="F58" s="6" t="str">
        <f>IF(ISNUMBER($K58),INDEX(Сборка!$J$2:$J$501,$K58),"")</f>
        <v/>
      </c>
      <c r="G58" s="6" t="str">
        <f>IF(ISNUMBER($K58),INDEX(Сборка!$K$2:$K$501,$K58),"")</f>
        <v/>
      </c>
      <c r="H58" s="6" t="str">
        <f t="shared" si="0"/>
        <v/>
      </c>
      <c r="I58" s="6" t="str">
        <f t="shared" si="1"/>
        <v/>
      </c>
      <c r="J58" s="6" t="str">
        <f t="shared" si="2"/>
        <v/>
      </c>
      <c r="K58" t="str">
        <f>IFERROR(MATCH(38,Сборка!$R$2:$R$501,0),"")</f>
        <v/>
      </c>
      <c r="L58" t="str">
        <f>IFERROR(IF(INDEX(Сборка!$Q$2:$Q$501,MATCH(38+1,Сборка!$R$2:$R$501,0))=1,INDEX(Сборка!$P$2:$P$501,MATCH(38+1,Сборка!$R$2:$R$501,0)),""),"")</f>
        <v/>
      </c>
      <c r="M58" t="str">
        <f t="shared" si="3"/>
        <v/>
      </c>
    </row>
    <row r="59" spans="1:13" hidden="1" x14ac:dyDescent="0.3">
      <c r="A59" t="str">
        <f>IF(ISNUMBER($K59),INDEX(Сборка!$O$2:$O$501,$K59),"")</f>
        <v/>
      </c>
      <c r="B59" t="str">
        <f>IF(ISNUMBER($K59),INDEX(Сборка!$C$2:$C$501,$K59),"")</f>
        <v/>
      </c>
      <c r="C59" s="5" t="str">
        <f>IF($L59&lt;&gt;"",INDEX(Сборка!$S$2:$S$501,MATCH($L59,Сборка!$P$2:$P$501,0)),IF(ISNUMBER($K59),INDEX(Сборка!$D$2:$D$501,$K59)&amp;IF(INDEX(Сборка!$I$2:$I$501,$K59)&lt;&gt;""," — "&amp;INDEX(Сборка!$I$2:$I$501,$K59),""),""))</f>
        <v/>
      </c>
      <c r="D59" t="str">
        <f>IF(ISNUMBER($K59),INDEX(Сборка!$E$2:$E$501,$K59),"")</f>
        <v/>
      </c>
      <c r="E59" t="str">
        <f>IF(ISNUMBER($K59),INDEX(Сборка!$G$2:$G$501,$K59),"")</f>
        <v/>
      </c>
      <c r="F59" s="6" t="str">
        <f>IF(ISNUMBER($K59),INDEX(Сборка!$J$2:$J$501,$K59),"")</f>
        <v/>
      </c>
      <c r="G59" s="6" t="str">
        <f>IF(ISNUMBER($K59),INDEX(Сборка!$K$2:$K$501,$K59),"")</f>
        <v/>
      </c>
      <c r="H59" s="6" t="str">
        <f t="shared" si="0"/>
        <v/>
      </c>
      <c r="I59" s="6" t="str">
        <f t="shared" si="1"/>
        <v/>
      </c>
      <c r="J59" s="6" t="str">
        <f t="shared" si="2"/>
        <v/>
      </c>
      <c r="K59" t="str">
        <f>IFERROR(MATCH(39,Сборка!$R$2:$R$501,0),"")</f>
        <v/>
      </c>
      <c r="L59" t="str">
        <f>IFERROR(IF(INDEX(Сборка!$Q$2:$Q$501,MATCH(39+1,Сборка!$R$2:$R$501,0))=1,INDEX(Сборка!$P$2:$P$501,MATCH(39+1,Сборка!$R$2:$R$501,0)),""),"")</f>
        <v/>
      </c>
      <c r="M59" t="str">
        <f t="shared" si="3"/>
        <v/>
      </c>
    </row>
    <row r="60" spans="1:13" hidden="1" x14ac:dyDescent="0.3">
      <c r="A60" t="str">
        <f>IF(ISNUMBER($K60),INDEX(Сборка!$O$2:$O$501,$K60),"")</f>
        <v/>
      </c>
      <c r="B60" t="str">
        <f>IF(ISNUMBER($K60),INDEX(Сборка!$C$2:$C$501,$K60),"")</f>
        <v/>
      </c>
      <c r="C60" s="5" t="str">
        <f>IF($L60&lt;&gt;"",INDEX(Сборка!$S$2:$S$501,MATCH($L60,Сборка!$P$2:$P$501,0)),IF(ISNUMBER($K60),INDEX(Сборка!$D$2:$D$501,$K60)&amp;IF(INDEX(Сборка!$I$2:$I$501,$K60)&lt;&gt;""," — "&amp;INDEX(Сборка!$I$2:$I$501,$K60),""),""))</f>
        <v/>
      </c>
      <c r="D60" t="str">
        <f>IF(ISNUMBER($K60),INDEX(Сборка!$E$2:$E$501,$K60),"")</f>
        <v/>
      </c>
      <c r="E60" t="str">
        <f>IF(ISNUMBER($K60),INDEX(Сборка!$G$2:$G$501,$K60),"")</f>
        <v/>
      </c>
      <c r="F60" s="6" t="str">
        <f>IF(ISNUMBER($K60),INDEX(Сборка!$J$2:$J$501,$K60),"")</f>
        <v/>
      </c>
      <c r="G60" s="6" t="str">
        <f>IF(ISNUMBER($K60),INDEX(Сборка!$K$2:$K$501,$K60),"")</f>
        <v/>
      </c>
      <c r="H60" s="6" t="str">
        <f t="shared" si="0"/>
        <v/>
      </c>
      <c r="I60" s="6" t="str">
        <f t="shared" si="1"/>
        <v/>
      </c>
      <c r="J60" s="6" t="str">
        <f t="shared" si="2"/>
        <v/>
      </c>
      <c r="K60" t="str">
        <f>IFERROR(MATCH(40,Сборка!$R$2:$R$501,0),"")</f>
        <v/>
      </c>
      <c r="L60" t="str">
        <f>IFERROR(IF(INDEX(Сборка!$Q$2:$Q$501,MATCH(40+1,Сборка!$R$2:$R$501,0))=1,INDEX(Сборка!$P$2:$P$501,MATCH(40+1,Сборка!$R$2:$R$501,0)),""),"")</f>
        <v/>
      </c>
      <c r="M60" t="str">
        <f t="shared" si="3"/>
        <v/>
      </c>
    </row>
    <row r="61" spans="1:13" hidden="1" x14ac:dyDescent="0.3">
      <c r="A61" t="str">
        <f>IF(ISNUMBER($K61),INDEX(Сборка!$O$2:$O$501,$K61),"")</f>
        <v/>
      </c>
      <c r="B61" t="str">
        <f>IF(ISNUMBER($K61),INDEX(Сборка!$C$2:$C$501,$K61),"")</f>
        <v/>
      </c>
      <c r="C61" s="5" t="str">
        <f>IF($L61&lt;&gt;"",INDEX(Сборка!$S$2:$S$501,MATCH($L61,Сборка!$P$2:$P$501,0)),IF(ISNUMBER($K61),INDEX(Сборка!$D$2:$D$501,$K61)&amp;IF(INDEX(Сборка!$I$2:$I$501,$K61)&lt;&gt;""," — "&amp;INDEX(Сборка!$I$2:$I$501,$K61),""),""))</f>
        <v/>
      </c>
      <c r="D61" t="str">
        <f>IF(ISNUMBER($K61),INDEX(Сборка!$E$2:$E$501,$K61),"")</f>
        <v/>
      </c>
      <c r="E61" t="str">
        <f>IF(ISNUMBER($K61),INDEX(Сборка!$G$2:$G$501,$K61),"")</f>
        <v/>
      </c>
      <c r="F61" s="6" t="str">
        <f>IF(ISNUMBER($K61),INDEX(Сборка!$J$2:$J$501,$K61),"")</f>
        <v/>
      </c>
      <c r="G61" s="6" t="str">
        <f>IF(ISNUMBER($K61),INDEX(Сборка!$K$2:$K$501,$K61),"")</f>
        <v/>
      </c>
      <c r="H61" s="6" t="str">
        <f t="shared" si="0"/>
        <v/>
      </c>
      <c r="I61" s="6" t="str">
        <f t="shared" si="1"/>
        <v/>
      </c>
      <c r="J61" s="6" t="str">
        <f t="shared" si="2"/>
        <v/>
      </c>
      <c r="K61" t="str">
        <f>IFERROR(MATCH(41,Сборка!$R$2:$R$501,0),"")</f>
        <v/>
      </c>
      <c r="L61" t="str">
        <f>IFERROR(IF(INDEX(Сборка!$Q$2:$Q$501,MATCH(41+1,Сборка!$R$2:$R$501,0))=1,INDEX(Сборка!$P$2:$P$501,MATCH(41+1,Сборка!$R$2:$R$501,0)),""),"")</f>
        <v/>
      </c>
      <c r="M61" t="str">
        <f t="shared" si="3"/>
        <v/>
      </c>
    </row>
    <row r="62" spans="1:13" hidden="1" x14ac:dyDescent="0.3">
      <c r="A62" t="str">
        <f>IF(ISNUMBER($K62),INDEX(Сборка!$O$2:$O$501,$K62),"")</f>
        <v/>
      </c>
      <c r="B62" t="str">
        <f>IF(ISNUMBER($K62),INDEX(Сборка!$C$2:$C$501,$K62),"")</f>
        <v/>
      </c>
      <c r="C62" s="5" t="str">
        <f>IF($L62&lt;&gt;"",INDEX(Сборка!$S$2:$S$501,MATCH($L62,Сборка!$P$2:$P$501,0)),IF(ISNUMBER($K62),INDEX(Сборка!$D$2:$D$501,$K62)&amp;IF(INDEX(Сборка!$I$2:$I$501,$K62)&lt;&gt;""," — "&amp;INDEX(Сборка!$I$2:$I$501,$K62),""),""))</f>
        <v/>
      </c>
      <c r="D62" t="str">
        <f>IF(ISNUMBER($K62),INDEX(Сборка!$E$2:$E$501,$K62),"")</f>
        <v/>
      </c>
      <c r="E62" t="str">
        <f>IF(ISNUMBER($K62),INDEX(Сборка!$G$2:$G$501,$K62),"")</f>
        <v/>
      </c>
      <c r="F62" s="6" t="str">
        <f>IF(ISNUMBER($K62),INDEX(Сборка!$J$2:$J$501,$K62),"")</f>
        <v/>
      </c>
      <c r="G62" s="6" t="str">
        <f>IF(ISNUMBER($K62),INDEX(Сборка!$K$2:$K$501,$K62),"")</f>
        <v/>
      </c>
      <c r="H62" s="6" t="str">
        <f t="shared" si="0"/>
        <v/>
      </c>
      <c r="I62" s="6" t="str">
        <f t="shared" si="1"/>
        <v/>
      </c>
      <c r="J62" s="6" t="str">
        <f t="shared" si="2"/>
        <v/>
      </c>
      <c r="K62" t="str">
        <f>IFERROR(MATCH(42,Сборка!$R$2:$R$501,0),"")</f>
        <v/>
      </c>
      <c r="L62" t="str">
        <f>IFERROR(IF(INDEX(Сборка!$Q$2:$Q$501,MATCH(42+1,Сборка!$R$2:$R$501,0))=1,INDEX(Сборка!$P$2:$P$501,MATCH(42+1,Сборка!$R$2:$R$501,0)),""),"")</f>
        <v/>
      </c>
      <c r="M62" t="str">
        <f t="shared" si="3"/>
        <v/>
      </c>
    </row>
    <row r="63" spans="1:13" hidden="1" x14ac:dyDescent="0.3">
      <c r="A63" t="str">
        <f>IF(ISNUMBER($K63),INDEX(Сборка!$O$2:$O$501,$K63),"")</f>
        <v/>
      </c>
      <c r="B63" t="str">
        <f>IF(ISNUMBER($K63),INDEX(Сборка!$C$2:$C$501,$K63),"")</f>
        <v/>
      </c>
      <c r="C63" s="5" t="str">
        <f>IF($L63&lt;&gt;"",INDEX(Сборка!$S$2:$S$501,MATCH($L63,Сборка!$P$2:$P$501,0)),IF(ISNUMBER($K63),INDEX(Сборка!$D$2:$D$501,$K63)&amp;IF(INDEX(Сборка!$I$2:$I$501,$K63)&lt;&gt;""," — "&amp;INDEX(Сборка!$I$2:$I$501,$K63),""),""))</f>
        <v/>
      </c>
      <c r="D63" t="str">
        <f>IF(ISNUMBER($K63),INDEX(Сборка!$E$2:$E$501,$K63),"")</f>
        <v/>
      </c>
      <c r="E63" t="str">
        <f>IF(ISNUMBER($K63),INDEX(Сборка!$G$2:$G$501,$K63),"")</f>
        <v/>
      </c>
      <c r="F63" s="6" t="str">
        <f>IF(ISNUMBER($K63),INDEX(Сборка!$J$2:$J$501,$K63),"")</f>
        <v/>
      </c>
      <c r="G63" s="6" t="str">
        <f>IF(ISNUMBER($K63),INDEX(Сборка!$K$2:$K$501,$K63),"")</f>
        <v/>
      </c>
      <c r="H63" s="6" t="str">
        <f t="shared" si="0"/>
        <v/>
      </c>
      <c r="I63" s="6" t="str">
        <f t="shared" si="1"/>
        <v/>
      </c>
      <c r="J63" s="6" t="str">
        <f t="shared" si="2"/>
        <v/>
      </c>
      <c r="K63" t="str">
        <f>IFERROR(MATCH(43,Сборка!$R$2:$R$501,0),"")</f>
        <v/>
      </c>
      <c r="L63" t="str">
        <f>IFERROR(IF(INDEX(Сборка!$Q$2:$Q$501,MATCH(43+1,Сборка!$R$2:$R$501,0))=1,INDEX(Сборка!$P$2:$P$501,MATCH(43+1,Сборка!$R$2:$R$501,0)),""),"")</f>
        <v/>
      </c>
      <c r="M63" t="str">
        <f t="shared" si="3"/>
        <v/>
      </c>
    </row>
    <row r="64" spans="1:13" hidden="1" x14ac:dyDescent="0.3">
      <c r="A64" t="str">
        <f>IF(ISNUMBER($K64),INDEX(Сборка!$O$2:$O$501,$K64),"")</f>
        <v/>
      </c>
      <c r="B64" t="str">
        <f>IF(ISNUMBER($K64),INDEX(Сборка!$C$2:$C$501,$K64),"")</f>
        <v/>
      </c>
      <c r="C64" s="5" t="str">
        <f>IF($L64&lt;&gt;"",INDEX(Сборка!$S$2:$S$501,MATCH($L64,Сборка!$P$2:$P$501,0)),IF(ISNUMBER($K64),INDEX(Сборка!$D$2:$D$501,$K64)&amp;IF(INDEX(Сборка!$I$2:$I$501,$K64)&lt;&gt;""," — "&amp;INDEX(Сборка!$I$2:$I$501,$K64),""),""))</f>
        <v/>
      </c>
      <c r="D64" t="str">
        <f>IF(ISNUMBER($K64),INDEX(Сборка!$E$2:$E$501,$K64),"")</f>
        <v/>
      </c>
      <c r="E64" t="str">
        <f>IF(ISNUMBER($K64),INDEX(Сборка!$G$2:$G$501,$K64),"")</f>
        <v/>
      </c>
      <c r="F64" s="6" t="str">
        <f>IF(ISNUMBER($K64),INDEX(Сборка!$J$2:$J$501,$K64),"")</f>
        <v/>
      </c>
      <c r="G64" s="6" t="str">
        <f>IF(ISNUMBER($K64),INDEX(Сборка!$K$2:$K$501,$K64),"")</f>
        <v/>
      </c>
      <c r="H64" s="6" t="str">
        <f t="shared" si="0"/>
        <v/>
      </c>
      <c r="I64" s="6" t="str">
        <f t="shared" si="1"/>
        <v/>
      </c>
      <c r="J64" s="6" t="str">
        <f t="shared" si="2"/>
        <v/>
      </c>
      <c r="K64" t="str">
        <f>IFERROR(MATCH(44,Сборка!$R$2:$R$501,0),"")</f>
        <v/>
      </c>
      <c r="L64" t="str">
        <f>IFERROR(IF(INDEX(Сборка!$Q$2:$Q$501,MATCH(44+1,Сборка!$R$2:$R$501,0))=1,INDEX(Сборка!$P$2:$P$501,MATCH(44+1,Сборка!$R$2:$R$501,0)),""),"")</f>
        <v/>
      </c>
      <c r="M64" t="str">
        <f t="shared" si="3"/>
        <v/>
      </c>
    </row>
    <row r="65" spans="1:13" hidden="1" x14ac:dyDescent="0.3">
      <c r="A65" t="str">
        <f>IF(ISNUMBER($K65),INDEX(Сборка!$O$2:$O$501,$K65),"")</f>
        <v/>
      </c>
      <c r="B65" t="str">
        <f>IF(ISNUMBER($K65),INDEX(Сборка!$C$2:$C$501,$K65),"")</f>
        <v/>
      </c>
      <c r="C65" s="5" t="str">
        <f>IF($L65&lt;&gt;"",INDEX(Сборка!$S$2:$S$501,MATCH($L65,Сборка!$P$2:$P$501,0)),IF(ISNUMBER($K65),INDEX(Сборка!$D$2:$D$501,$K65)&amp;IF(INDEX(Сборка!$I$2:$I$501,$K65)&lt;&gt;""," — "&amp;INDEX(Сборка!$I$2:$I$501,$K65),""),""))</f>
        <v/>
      </c>
      <c r="D65" t="str">
        <f>IF(ISNUMBER($K65),INDEX(Сборка!$E$2:$E$501,$K65),"")</f>
        <v/>
      </c>
      <c r="E65" t="str">
        <f>IF(ISNUMBER($K65),INDEX(Сборка!$G$2:$G$501,$K65),"")</f>
        <v/>
      </c>
      <c r="F65" s="6" t="str">
        <f>IF(ISNUMBER($K65),INDEX(Сборка!$J$2:$J$501,$K65),"")</f>
        <v/>
      </c>
      <c r="G65" s="6" t="str">
        <f>IF(ISNUMBER($K65),INDEX(Сборка!$K$2:$K$501,$K65),"")</f>
        <v/>
      </c>
      <c r="H65" s="6" t="str">
        <f t="shared" si="0"/>
        <v/>
      </c>
      <c r="I65" s="6" t="str">
        <f t="shared" si="1"/>
        <v/>
      </c>
      <c r="J65" s="6" t="str">
        <f t="shared" si="2"/>
        <v/>
      </c>
      <c r="K65" t="str">
        <f>IFERROR(MATCH(45,Сборка!$R$2:$R$501,0),"")</f>
        <v/>
      </c>
      <c r="L65" t="str">
        <f>IFERROR(IF(INDEX(Сборка!$Q$2:$Q$501,MATCH(45+1,Сборка!$R$2:$R$501,0))=1,INDEX(Сборка!$P$2:$P$501,MATCH(45+1,Сборка!$R$2:$R$501,0)),""),"")</f>
        <v/>
      </c>
      <c r="M65" t="str">
        <f t="shared" si="3"/>
        <v/>
      </c>
    </row>
    <row r="66" spans="1:13" hidden="1" x14ac:dyDescent="0.3">
      <c r="A66" t="str">
        <f>IF(ISNUMBER($K66),INDEX(Сборка!$O$2:$O$501,$K66),"")</f>
        <v/>
      </c>
      <c r="B66" t="str">
        <f>IF(ISNUMBER($K66),INDEX(Сборка!$C$2:$C$501,$K66),"")</f>
        <v/>
      </c>
      <c r="C66" s="5" t="str">
        <f>IF($L66&lt;&gt;"",INDEX(Сборка!$S$2:$S$501,MATCH($L66,Сборка!$P$2:$P$501,0)),IF(ISNUMBER($K66),INDEX(Сборка!$D$2:$D$501,$K66)&amp;IF(INDEX(Сборка!$I$2:$I$501,$K66)&lt;&gt;""," — "&amp;INDEX(Сборка!$I$2:$I$501,$K66),""),""))</f>
        <v/>
      </c>
      <c r="D66" t="str">
        <f>IF(ISNUMBER($K66),INDEX(Сборка!$E$2:$E$501,$K66),"")</f>
        <v/>
      </c>
      <c r="E66" t="str">
        <f>IF(ISNUMBER($K66),INDEX(Сборка!$G$2:$G$501,$K66),"")</f>
        <v/>
      </c>
      <c r="F66" s="6" t="str">
        <f>IF(ISNUMBER($K66),INDEX(Сборка!$J$2:$J$501,$K66),"")</f>
        <v/>
      </c>
      <c r="G66" s="6" t="str">
        <f>IF(ISNUMBER($K66),INDEX(Сборка!$K$2:$K$501,$K66),"")</f>
        <v/>
      </c>
      <c r="H66" s="6" t="str">
        <f t="shared" si="0"/>
        <v/>
      </c>
      <c r="I66" s="6" t="str">
        <f t="shared" si="1"/>
        <v/>
      </c>
      <c r="J66" s="6" t="str">
        <f t="shared" si="2"/>
        <v/>
      </c>
      <c r="K66" t="str">
        <f>IFERROR(MATCH(46,Сборка!$R$2:$R$501,0),"")</f>
        <v/>
      </c>
      <c r="L66" t="str">
        <f>IFERROR(IF(INDEX(Сборка!$Q$2:$Q$501,MATCH(46+1,Сборка!$R$2:$R$501,0))=1,INDEX(Сборка!$P$2:$P$501,MATCH(46+1,Сборка!$R$2:$R$501,0)),""),"")</f>
        <v/>
      </c>
      <c r="M66" t="str">
        <f t="shared" si="3"/>
        <v/>
      </c>
    </row>
    <row r="67" spans="1:13" hidden="1" x14ac:dyDescent="0.3">
      <c r="A67" t="str">
        <f>IF(ISNUMBER($K67),INDEX(Сборка!$O$2:$O$501,$K67),"")</f>
        <v/>
      </c>
      <c r="B67" t="str">
        <f>IF(ISNUMBER($K67),INDEX(Сборка!$C$2:$C$501,$K67),"")</f>
        <v/>
      </c>
      <c r="C67" s="5" t="str">
        <f>IF($L67&lt;&gt;"",INDEX(Сборка!$S$2:$S$501,MATCH($L67,Сборка!$P$2:$P$501,0)),IF(ISNUMBER($K67),INDEX(Сборка!$D$2:$D$501,$K67)&amp;IF(INDEX(Сборка!$I$2:$I$501,$K67)&lt;&gt;""," — "&amp;INDEX(Сборка!$I$2:$I$501,$K67),""),""))</f>
        <v/>
      </c>
      <c r="D67" t="str">
        <f>IF(ISNUMBER($K67),INDEX(Сборка!$E$2:$E$501,$K67),"")</f>
        <v/>
      </c>
      <c r="E67" t="str">
        <f>IF(ISNUMBER($K67),INDEX(Сборка!$G$2:$G$501,$K67),"")</f>
        <v/>
      </c>
      <c r="F67" s="6" t="str">
        <f>IF(ISNUMBER($K67),INDEX(Сборка!$J$2:$J$501,$K67),"")</f>
        <v/>
      </c>
      <c r="G67" s="6" t="str">
        <f>IF(ISNUMBER($K67),INDEX(Сборка!$K$2:$K$501,$K67),"")</f>
        <v/>
      </c>
      <c r="H67" s="6" t="str">
        <f t="shared" si="0"/>
        <v/>
      </c>
      <c r="I67" s="6" t="str">
        <f t="shared" si="1"/>
        <v/>
      </c>
      <c r="J67" s="6" t="str">
        <f t="shared" si="2"/>
        <v/>
      </c>
      <c r="K67" t="str">
        <f>IFERROR(MATCH(47,Сборка!$R$2:$R$501,0),"")</f>
        <v/>
      </c>
      <c r="L67" t="str">
        <f>IFERROR(IF(INDEX(Сборка!$Q$2:$Q$501,MATCH(47+1,Сборка!$R$2:$R$501,0))=1,INDEX(Сборка!$P$2:$P$501,MATCH(47+1,Сборка!$R$2:$R$501,0)),""),"")</f>
        <v/>
      </c>
      <c r="M67" t="str">
        <f t="shared" si="3"/>
        <v/>
      </c>
    </row>
    <row r="68" spans="1:13" hidden="1" x14ac:dyDescent="0.3">
      <c r="A68" t="str">
        <f>IF(ISNUMBER($K68),INDEX(Сборка!$O$2:$O$501,$K68),"")</f>
        <v/>
      </c>
      <c r="B68" t="str">
        <f>IF(ISNUMBER($K68),INDEX(Сборка!$C$2:$C$501,$K68),"")</f>
        <v/>
      </c>
      <c r="C68" s="5" t="str">
        <f>IF($L68&lt;&gt;"",INDEX(Сборка!$S$2:$S$501,MATCH($L68,Сборка!$P$2:$P$501,0)),IF(ISNUMBER($K68),INDEX(Сборка!$D$2:$D$501,$K68)&amp;IF(INDEX(Сборка!$I$2:$I$501,$K68)&lt;&gt;""," — "&amp;INDEX(Сборка!$I$2:$I$501,$K68),""),""))</f>
        <v/>
      </c>
      <c r="D68" t="str">
        <f>IF(ISNUMBER($K68),INDEX(Сборка!$E$2:$E$501,$K68),"")</f>
        <v/>
      </c>
      <c r="E68" t="str">
        <f>IF(ISNUMBER($K68),INDEX(Сборка!$G$2:$G$501,$K68),"")</f>
        <v/>
      </c>
      <c r="F68" s="6" t="str">
        <f>IF(ISNUMBER($K68),INDEX(Сборка!$J$2:$J$501,$K68),"")</f>
        <v/>
      </c>
      <c r="G68" s="6" t="str">
        <f>IF(ISNUMBER($K68),INDEX(Сборка!$K$2:$K$501,$K68),"")</f>
        <v/>
      </c>
      <c r="H68" s="6" t="str">
        <f t="shared" si="0"/>
        <v/>
      </c>
      <c r="I68" s="6" t="str">
        <f t="shared" si="1"/>
        <v/>
      </c>
      <c r="J68" s="6" t="str">
        <f t="shared" si="2"/>
        <v/>
      </c>
      <c r="K68" t="str">
        <f>IFERROR(MATCH(48,Сборка!$R$2:$R$501,0),"")</f>
        <v/>
      </c>
      <c r="L68" t="str">
        <f>IFERROR(IF(INDEX(Сборка!$Q$2:$Q$501,MATCH(48+1,Сборка!$R$2:$R$501,0))=1,INDEX(Сборка!$P$2:$P$501,MATCH(48+1,Сборка!$R$2:$R$501,0)),""),"")</f>
        <v/>
      </c>
      <c r="M68" t="str">
        <f t="shared" si="3"/>
        <v/>
      </c>
    </row>
    <row r="69" spans="1:13" hidden="1" x14ac:dyDescent="0.3">
      <c r="A69" t="str">
        <f>IF(ISNUMBER($K69),INDEX(Сборка!$O$2:$O$501,$K69),"")</f>
        <v/>
      </c>
      <c r="B69" t="str">
        <f>IF(ISNUMBER($K69),INDEX(Сборка!$C$2:$C$501,$K69),"")</f>
        <v/>
      </c>
      <c r="C69" s="5" t="str">
        <f>IF($L69&lt;&gt;"",INDEX(Сборка!$S$2:$S$501,MATCH($L69,Сборка!$P$2:$P$501,0)),IF(ISNUMBER($K69),INDEX(Сборка!$D$2:$D$501,$K69)&amp;IF(INDEX(Сборка!$I$2:$I$501,$K69)&lt;&gt;""," — "&amp;INDEX(Сборка!$I$2:$I$501,$K69),""),""))</f>
        <v/>
      </c>
      <c r="D69" t="str">
        <f>IF(ISNUMBER($K69),INDEX(Сборка!$E$2:$E$501,$K69),"")</f>
        <v/>
      </c>
      <c r="E69" t="str">
        <f>IF(ISNUMBER($K69),INDEX(Сборка!$G$2:$G$501,$K69),"")</f>
        <v/>
      </c>
      <c r="F69" s="6" t="str">
        <f>IF(ISNUMBER($K69),INDEX(Сборка!$J$2:$J$501,$K69),"")</f>
        <v/>
      </c>
      <c r="G69" s="6" t="str">
        <f>IF(ISNUMBER($K69),INDEX(Сборка!$K$2:$K$501,$K69),"")</f>
        <v/>
      </c>
      <c r="H69" s="6" t="str">
        <f t="shared" si="0"/>
        <v/>
      </c>
      <c r="I69" s="6" t="str">
        <f t="shared" si="1"/>
        <v/>
      </c>
      <c r="J69" s="6" t="str">
        <f t="shared" si="2"/>
        <v/>
      </c>
      <c r="K69" t="str">
        <f>IFERROR(MATCH(49,Сборка!$R$2:$R$501,0),"")</f>
        <v/>
      </c>
      <c r="L69" t="str">
        <f>IFERROR(IF(INDEX(Сборка!$Q$2:$Q$501,MATCH(49+1,Сборка!$R$2:$R$501,0))=1,INDEX(Сборка!$P$2:$P$501,MATCH(49+1,Сборка!$R$2:$R$501,0)),""),"")</f>
        <v/>
      </c>
      <c r="M69" t="str">
        <f t="shared" si="3"/>
        <v/>
      </c>
    </row>
    <row r="70" spans="1:13" hidden="1" x14ac:dyDescent="0.3">
      <c r="A70" t="str">
        <f>IF(ISNUMBER($K70),INDEX(Сборка!$O$2:$O$501,$K70),"")</f>
        <v/>
      </c>
      <c r="B70" t="str">
        <f>IF(ISNUMBER($K70),INDEX(Сборка!$C$2:$C$501,$K70),"")</f>
        <v/>
      </c>
      <c r="C70" s="5" t="str">
        <f>IF($L70&lt;&gt;"",INDEX(Сборка!$S$2:$S$501,MATCH($L70,Сборка!$P$2:$P$501,0)),IF(ISNUMBER($K70),INDEX(Сборка!$D$2:$D$501,$K70)&amp;IF(INDEX(Сборка!$I$2:$I$501,$K70)&lt;&gt;""," — "&amp;INDEX(Сборка!$I$2:$I$501,$K70),""),""))</f>
        <v/>
      </c>
      <c r="D70" t="str">
        <f>IF(ISNUMBER($K70),INDEX(Сборка!$E$2:$E$501,$K70),"")</f>
        <v/>
      </c>
      <c r="E70" t="str">
        <f>IF(ISNUMBER($K70),INDEX(Сборка!$G$2:$G$501,$K70),"")</f>
        <v/>
      </c>
      <c r="F70" s="6" t="str">
        <f>IF(ISNUMBER($K70),INDEX(Сборка!$J$2:$J$501,$K70),"")</f>
        <v/>
      </c>
      <c r="G70" s="6" t="str">
        <f>IF(ISNUMBER($K70),INDEX(Сборка!$K$2:$K$501,$K70),"")</f>
        <v/>
      </c>
      <c r="H70" s="6" t="str">
        <f t="shared" si="0"/>
        <v/>
      </c>
      <c r="I70" s="6" t="str">
        <f t="shared" si="1"/>
        <v/>
      </c>
      <c r="J70" s="6" t="str">
        <f t="shared" si="2"/>
        <v/>
      </c>
      <c r="K70" t="str">
        <f>IFERROR(MATCH(50,Сборка!$R$2:$R$501,0),"")</f>
        <v/>
      </c>
      <c r="L70" t="str">
        <f>IFERROR(IF(INDEX(Сборка!$Q$2:$Q$501,MATCH(50+1,Сборка!$R$2:$R$501,0))=1,INDEX(Сборка!$P$2:$P$501,MATCH(50+1,Сборка!$R$2:$R$501,0)),""),"")</f>
        <v/>
      </c>
      <c r="M70" t="str">
        <f t="shared" si="3"/>
        <v/>
      </c>
    </row>
    <row r="71" spans="1:13" hidden="1" x14ac:dyDescent="0.3">
      <c r="A71" t="str">
        <f>IF(ISNUMBER($K71),INDEX(Сборка!$O$2:$O$501,$K71),"")</f>
        <v/>
      </c>
      <c r="B71" t="str">
        <f>IF(ISNUMBER($K71),INDEX(Сборка!$C$2:$C$501,$K71),"")</f>
        <v/>
      </c>
      <c r="C71" s="5" t="str">
        <f>IF($L71&lt;&gt;"",INDEX(Сборка!$S$2:$S$501,MATCH($L71,Сборка!$P$2:$P$501,0)),IF(ISNUMBER($K71),INDEX(Сборка!$D$2:$D$501,$K71)&amp;IF(INDEX(Сборка!$I$2:$I$501,$K71)&lt;&gt;""," — "&amp;INDEX(Сборка!$I$2:$I$501,$K71),""),""))</f>
        <v/>
      </c>
      <c r="D71" t="str">
        <f>IF(ISNUMBER($K71),INDEX(Сборка!$E$2:$E$501,$K71),"")</f>
        <v/>
      </c>
      <c r="E71" t="str">
        <f>IF(ISNUMBER($K71),INDEX(Сборка!$G$2:$G$501,$K71),"")</f>
        <v/>
      </c>
      <c r="F71" s="6" t="str">
        <f>IF(ISNUMBER($K71),INDEX(Сборка!$J$2:$J$501,$K71),"")</f>
        <v/>
      </c>
      <c r="G71" s="6" t="str">
        <f>IF(ISNUMBER($K71),INDEX(Сборка!$K$2:$K$501,$K71),"")</f>
        <v/>
      </c>
      <c r="H71" s="6" t="str">
        <f t="shared" si="0"/>
        <v/>
      </c>
      <c r="I71" s="6" t="str">
        <f t="shared" si="1"/>
        <v/>
      </c>
      <c r="J71" s="6" t="str">
        <f t="shared" si="2"/>
        <v/>
      </c>
      <c r="K71" t="str">
        <f>IFERROR(MATCH(51,Сборка!$R$2:$R$501,0),"")</f>
        <v/>
      </c>
      <c r="L71" t="str">
        <f>IFERROR(IF(INDEX(Сборка!$Q$2:$Q$501,MATCH(51+1,Сборка!$R$2:$R$501,0))=1,INDEX(Сборка!$P$2:$P$501,MATCH(51+1,Сборка!$R$2:$R$501,0)),""),"")</f>
        <v/>
      </c>
      <c r="M71" t="str">
        <f t="shared" si="3"/>
        <v/>
      </c>
    </row>
    <row r="72" spans="1:13" hidden="1" x14ac:dyDescent="0.3">
      <c r="A72" t="str">
        <f>IF(ISNUMBER($K72),INDEX(Сборка!$O$2:$O$501,$K72),"")</f>
        <v/>
      </c>
      <c r="B72" t="str">
        <f>IF(ISNUMBER($K72),INDEX(Сборка!$C$2:$C$501,$K72),"")</f>
        <v/>
      </c>
      <c r="C72" s="5" t="str">
        <f>IF($L72&lt;&gt;"",INDEX(Сборка!$S$2:$S$501,MATCH($L72,Сборка!$P$2:$P$501,0)),IF(ISNUMBER($K72),INDEX(Сборка!$D$2:$D$501,$K72)&amp;IF(INDEX(Сборка!$I$2:$I$501,$K72)&lt;&gt;""," — "&amp;INDEX(Сборка!$I$2:$I$501,$K72),""),""))</f>
        <v/>
      </c>
      <c r="D72" t="str">
        <f>IF(ISNUMBER($K72),INDEX(Сборка!$E$2:$E$501,$K72),"")</f>
        <v/>
      </c>
      <c r="E72" t="str">
        <f>IF(ISNUMBER($K72),INDEX(Сборка!$G$2:$G$501,$K72),"")</f>
        <v/>
      </c>
      <c r="F72" s="6" t="str">
        <f>IF(ISNUMBER($K72),INDEX(Сборка!$J$2:$J$501,$K72),"")</f>
        <v/>
      </c>
      <c r="G72" s="6" t="str">
        <f>IF(ISNUMBER($K72),INDEX(Сборка!$K$2:$K$501,$K72),"")</f>
        <v/>
      </c>
      <c r="H72" s="6" t="str">
        <f t="shared" si="0"/>
        <v/>
      </c>
      <c r="I72" s="6" t="str">
        <f t="shared" si="1"/>
        <v/>
      </c>
      <c r="J72" s="6" t="str">
        <f t="shared" si="2"/>
        <v/>
      </c>
      <c r="K72" t="str">
        <f>IFERROR(MATCH(52,Сборка!$R$2:$R$501,0),"")</f>
        <v/>
      </c>
      <c r="L72" t="str">
        <f>IFERROR(IF(INDEX(Сборка!$Q$2:$Q$501,MATCH(52+1,Сборка!$R$2:$R$501,0))=1,INDEX(Сборка!$P$2:$P$501,MATCH(52+1,Сборка!$R$2:$R$501,0)),""),"")</f>
        <v/>
      </c>
      <c r="M72" t="str">
        <f t="shared" si="3"/>
        <v/>
      </c>
    </row>
    <row r="73" spans="1:13" hidden="1" x14ac:dyDescent="0.3">
      <c r="A73" t="str">
        <f>IF(ISNUMBER($K73),INDEX(Сборка!$O$2:$O$501,$K73),"")</f>
        <v/>
      </c>
      <c r="B73" t="str">
        <f>IF(ISNUMBER($K73),INDEX(Сборка!$C$2:$C$501,$K73),"")</f>
        <v/>
      </c>
      <c r="C73" s="5" t="str">
        <f>IF($L73&lt;&gt;"",INDEX(Сборка!$S$2:$S$501,MATCH($L73,Сборка!$P$2:$P$501,0)),IF(ISNUMBER($K73),INDEX(Сборка!$D$2:$D$501,$K73)&amp;IF(INDEX(Сборка!$I$2:$I$501,$K73)&lt;&gt;""," — "&amp;INDEX(Сборка!$I$2:$I$501,$K73),""),""))</f>
        <v/>
      </c>
      <c r="D73" t="str">
        <f>IF(ISNUMBER($K73),INDEX(Сборка!$E$2:$E$501,$K73),"")</f>
        <v/>
      </c>
      <c r="E73" t="str">
        <f>IF(ISNUMBER($K73),INDEX(Сборка!$G$2:$G$501,$K73),"")</f>
        <v/>
      </c>
      <c r="F73" s="6" t="str">
        <f>IF(ISNUMBER($K73),INDEX(Сборка!$J$2:$J$501,$K73),"")</f>
        <v/>
      </c>
      <c r="G73" s="6" t="str">
        <f>IF(ISNUMBER($K73),INDEX(Сборка!$K$2:$K$501,$K73),"")</f>
        <v/>
      </c>
      <c r="H73" s="6" t="str">
        <f t="shared" si="0"/>
        <v/>
      </c>
      <c r="I73" s="6" t="str">
        <f t="shared" si="1"/>
        <v/>
      </c>
      <c r="J73" s="6" t="str">
        <f t="shared" si="2"/>
        <v/>
      </c>
      <c r="K73" t="str">
        <f>IFERROR(MATCH(53,Сборка!$R$2:$R$501,0),"")</f>
        <v/>
      </c>
      <c r="L73" t="str">
        <f>IFERROR(IF(INDEX(Сборка!$Q$2:$Q$501,MATCH(53+1,Сборка!$R$2:$R$501,0))=1,INDEX(Сборка!$P$2:$P$501,MATCH(53+1,Сборка!$R$2:$R$501,0)),""),"")</f>
        <v/>
      </c>
      <c r="M73" t="str">
        <f t="shared" si="3"/>
        <v/>
      </c>
    </row>
    <row r="74" spans="1:13" hidden="1" x14ac:dyDescent="0.3">
      <c r="A74" t="str">
        <f>IF(ISNUMBER($K74),INDEX(Сборка!$O$2:$O$501,$K74),"")</f>
        <v/>
      </c>
      <c r="B74" t="str">
        <f>IF(ISNUMBER($K74),INDEX(Сборка!$C$2:$C$501,$K74),"")</f>
        <v/>
      </c>
      <c r="C74" s="5" t="str">
        <f>IF($L74&lt;&gt;"",INDEX(Сборка!$S$2:$S$501,MATCH($L74,Сборка!$P$2:$P$501,0)),IF(ISNUMBER($K74),INDEX(Сборка!$D$2:$D$501,$K74)&amp;IF(INDEX(Сборка!$I$2:$I$501,$K74)&lt;&gt;""," — "&amp;INDEX(Сборка!$I$2:$I$501,$K74),""),""))</f>
        <v/>
      </c>
      <c r="D74" t="str">
        <f>IF(ISNUMBER($K74),INDEX(Сборка!$E$2:$E$501,$K74),"")</f>
        <v/>
      </c>
      <c r="E74" t="str">
        <f>IF(ISNUMBER($K74),INDEX(Сборка!$G$2:$G$501,$K74),"")</f>
        <v/>
      </c>
      <c r="F74" s="6" t="str">
        <f>IF(ISNUMBER($K74),INDEX(Сборка!$J$2:$J$501,$K74),"")</f>
        <v/>
      </c>
      <c r="G74" s="6" t="str">
        <f>IF(ISNUMBER($K74),INDEX(Сборка!$K$2:$K$501,$K74),"")</f>
        <v/>
      </c>
      <c r="H74" s="6" t="str">
        <f t="shared" si="0"/>
        <v/>
      </c>
      <c r="I74" s="6" t="str">
        <f t="shared" si="1"/>
        <v/>
      </c>
      <c r="J74" s="6" t="str">
        <f t="shared" si="2"/>
        <v/>
      </c>
      <c r="K74" t="str">
        <f>IFERROR(MATCH(54,Сборка!$R$2:$R$501,0),"")</f>
        <v/>
      </c>
      <c r="L74" t="str">
        <f>IFERROR(IF(INDEX(Сборка!$Q$2:$Q$501,MATCH(54+1,Сборка!$R$2:$R$501,0))=1,INDEX(Сборка!$P$2:$P$501,MATCH(54+1,Сборка!$R$2:$R$501,0)),""),"")</f>
        <v/>
      </c>
      <c r="M74" t="str">
        <f t="shared" si="3"/>
        <v/>
      </c>
    </row>
    <row r="75" spans="1:13" hidden="1" x14ac:dyDescent="0.3">
      <c r="A75" t="str">
        <f>IF(ISNUMBER($K75),INDEX(Сборка!$O$2:$O$501,$K75),"")</f>
        <v/>
      </c>
      <c r="B75" t="str">
        <f>IF(ISNUMBER($K75),INDEX(Сборка!$C$2:$C$501,$K75),"")</f>
        <v/>
      </c>
      <c r="C75" s="5" t="str">
        <f>IF($L75&lt;&gt;"",INDEX(Сборка!$S$2:$S$501,MATCH($L75,Сборка!$P$2:$P$501,0)),IF(ISNUMBER($K75),INDEX(Сборка!$D$2:$D$501,$K75)&amp;IF(INDEX(Сборка!$I$2:$I$501,$K75)&lt;&gt;""," — "&amp;INDEX(Сборка!$I$2:$I$501,$K75),""),""))</f>
        <v/>
      </c>
      <c r="D75" t="str">
        <f>IF(ISNUMBER($K75),INDEX(Сборка!$E$2:$E$501,$K75),"")</f>
        <v/>
      </c>
      <c r="E75" t="str">
        <f>IF(ISNUMBER($K75),INDEX(Сборка!$G$2:$G$501,$K75),"")</f>
        <v/>
      </c>
      <c r="F75" s="6" t="str">
        <f>IF(ISNUMBER($K75),INDEX(Сборка!$J$2:$J$501,$K75),"")</f>
        <v/>
      </c>
      <c r="G75" s="6" t="str">
        <f>IF(ISNUMBER($K75),INDEX(Сборка!$K$2:$K$501,$K75),"")</f>
        <v/>
      </c>
      <c r="H75" s="6" t="str">
        <f t="shared" si="0"/>
        <v/>
      </c>
      <c r="I75" s="6" t="str">
        <f t="shared" si="1"/>
        <v/>
      </c>
      <c r="J75" s="6" t="str">
        <f t="shared" si="2"/>
        <v/>
      </c>
      <c r="K75" t="str">
        <f>IFERROR(MATCH(55,Сборка!$R$2:$R$501,0),"")</f>
        <v/>
      </c>
      <c r="L75" t="str">
        <f>IFERROR(IF(INDEX(Сборка!$Q$2:$Q$501,MATCH(55+1,Сборка!$R$2:$R$501,0))=1,INDEX(Сборка!$P$2:$P$501,MATCH(55+1,Сборка!$R$2:$R$501,0)),""),"")</f>
        <v/>
      </c>
      <c r="M75" t="str">
        <f t="shared" si="3"/>
        <v/>
      </c>
    </row>
    <row r="76" spans="1:13" hidden="1" x14ac:dyDescent="0.3">
      <c r="A76" t="str">
        <f>IF(ISNUMBER($K76),INDEX(Сборка!$O$2:$O$501,$K76),"")</f>
        <v/>
      </c>
      <c r="B76" t="str">
        <f>IF(ISNUMBER($K76),INDEX(Сборка!$C$2:$C$501,$K76),"")</f>
        <v/>
      </c>
      <c r="C76" s="5" t="str">
        <f>IF($L76&lt;&gt;"",INDEX(Сборка!$S$2:$S$501,MATCH($L76,Сборка!$P$2:$P$501,0)),IF(ISNUMBER($K76),INDEX(Сборка!$D$2:$D$501,$K76)&amp;IF(INDEX(Сборка!$I$2:$I$501,$K76)&lt;&gt;""," — "&amp;INDEX(Сборка!$I$2:$I$501,$K76),""),""))</f>
        <v/>
      </c>
      <c r="D76" t="str">
        <f>IF(ISNUMBER($K76),INDEX(Сборка!$E$2:$E$501,$K76),"")</f>
        <v/>
      </c>
      <c r="E76" t="str">
        <f>IF(ISNUMBER($K76),INDEX(Сборка!$G$2:$G$501,$K76),"")</f>
        <v/>
      </c>
      <c r="F76" s="6" t="str">
        <f>IF(ISNUMBER($K76),INDEX(Сборка!$J$2:$J$501,$K76),"")</f>
        <v/>
      </c>
      <c r="G76" s="6" t="str">
        <f>IF(ISNUMBER($K76),INDEX(Сборка!$K$2:$K$501,$K76),"")</f>
        <v/>
      </c>
      <c r="H76" s="6" t="str">
        <f t="shared" si="0"/>
        <v/>
      </c>
      <c r="I76" s="6" t="str">
        <f t="shared" si="1"/>
        <v/>
      </c>
      <c r="J76" s="6" t="str">
        <f t="shared" si="2"/>
        <v/>
      </c>
      <c r="K76" t="str">
        <f>IFERROR(MATCH(56,Сборка!$R$2:$R$501,0),"")</f>
        <v/>
      </c>
      <c r="L76" t="str">
        <f>IFERROR(IF(INDEX(Сборка!$Q$2:$Q$501,MATCH(56+1,Сборка!$R$2:$R$501,0))=1,INDEX(Сборка!$P$2:$P$501,MATCH(56+1,Сборка!$R$2:$R$501,0)),""),"")</f>
        <v/>
      </c>
      <c r="M76" t="str">
        <f t="shared" si="3"/>
        <v/>
      </c>
    </row>
    <row r="77" spans="1:13" hidden="1" x14ac:dyDescent="0.3">
      <c r="A77" t="str">
        <f>IF(ISNUMBER($K77),INDEX(Сборка!$O$2:$O$501,$K77),"")</f>
        <v/>
      </c>
      <c r="B77" t="str">
        <f>IF(ISNUMBER($K77),INDEX(Сборка!$C$2:$C$501,$K77),"")</f>
        <v/>
      </c>
      <c r="C77" s="5" t="str">
        <f>IF($L77&lt;&gt;"",INDEX(Сборка!$S$2:$S$501,MATCH($L77,Сборка!$P$2:$P$501,0)),IF(ISNUMBER($K77),INDEX(Сборка!$D$2:$D$501,$K77)&amp;IF(INDEX(Сборка!$I$2:$I$501,$K77)&lt;&gt;""," — "&amp;INDEX(Сборка!$I$2:$I$501,$K77),""),""))</f>
        <v/>
      </c>
      <c r="D77" t="str">
        <f>IF(ISNUMBER($K77),INDEX(Сборка!$E$2:$E$501,$K77),"")</f>
        <v/>
      </c>
      <c r="E77" t="str">
        <f>IF(ISNUMBER($K77),INDEX(Сборка!$G$2:$G$501,$K77),"")</f>
        <v/>
      </c>
      <c r="F77" s="6" t="str">
        <f>IF(ISNUMBER($K77),INDEX(Сборка!$J$2:$J$501,$K77),"")</f>
        <v/>
      </c>
      <c r="G77" s="6" t="str">
        <f>IF(ISNUMBER($K77),INDEX(Сборка!$K$2:$K$501,$K77),"")</f>
        <v/>
      </c>
      <c r="H77" s="6" t="str">
        <f t="shared" si="0"/>
        <v/>
      </c>
      <c r="I77" s="6" t="str">
        <f t="shared" si="1"/>
        <v/>
      </c>
      <c r="J77" s="6" t="str">
        <f t="shared" si="2"/>
        <v/>
      </c>
      <c r="K77" t="str">
        <f>IFERROR(MATCH(57,Сборка!$R$2:$R$501,0),"")</f>
        <v/>
      </c>
      <c r="L77" t="str">
        <f>IFERROR(IF(INDEX(Сборка!$Q$2:$Q$501,MATCH(57+1,Сборка!$R$2:$R$501,0))=1,INDEX(Сборка!$P$2:$P$501,MATCH(57+1,Сборка!$R$2:$R$501,0)),""),"")</f>
        <v/>
      </c>
      <c r="M77" t="str">
        <f t="shared" si="3"/>
        <v/>
      </c>
    </row>
    <row r="78" spans="1:13" hidden="1" x14ac:dyDescent="0.3">
      <c r="A78" t="str">
        <f>IF(ISNUMBER($K78),INDEX(Сборка!$O$2:$O$501,$K78),"")</f>
        <v/>
      </c>
      <c r="B78" t="str">
        <f>IF(ISNUMBER($K78),INDEX(Сборка!$C$2:$C$501,$K78),"")</f>
        <v/>
      </c>
      <c r="C78" s="5" t="str">
        <f>IF($L78&lt;&gt;"",INDEX(Сборка!$S$2:$S$501,MATCH($L78,Сборка!$P$2:$P$501,0)),IF(ISNUMBER($K78),INDEX(Сборка!$D$2:$D$501,$K78)&amp;IF(INDEX(Сборка!$I$2:$I$501,$K78)&lt;&gt;""," — "&amp;INDEX(Сборка!$I$2:$I$501,$K78),""),""))</f>
        <v/>
      </c>
      <c r="D78" t="str">
        <f>IF(ISNUMBER($K78),INDEX(Сборка!$E$2:$E$501,$K78),"")</f>
        <v/>
      </c>
      <c r="E78" t="str">
        <f>IF(ISNUMBER($K78),INDEX(Сборка!$G$2:$G$501,$K78),"")</f>
        <v/>
      </c>
      <c r="F78" s="6" t="str">
        <f>IF(ISNUMBER($K78),INDEX(Сборка!$J$2:$J$501,$K78),"")</f>
        <v/>
      </c>
      <c r="G78" s="6" t="str">
        <f>IF(ISNUMBER($K78),INDEX(Сборка!$K$2:$K$501,$K78),"")</f>
        <v/>
      </c>
      <c r="H78" s="6" t="str">
        <f t="shared" si="0"/>
        <v/>
      </c>
      <c r="I78" s="6" t="str">
        <f t="shared" si="1"/>
        <v/>
      </c>
      <c r="J78" s="6" t="str">
        <f t="shared" si="2"/>
        <v/>
      </c>
      <c r="K78" t="str">
        <f>IFERROR(MATCH(58,Сборка!$R$2:$R$501,0),"")</f>
        <v/>
      </c>
      <c r="L78" t="str">
        <f>IFERROR(IF(INDEX(Сборка!$Q$2:$Q$501,MATCH(58+1,Сборка!$R$2:$R$501,0))=1,INDEX(Сборка!$P$2:$P$501,MATCH(58+1,Сборка!$R$2:$R$501,0)),""),"")</f>
        <v/>
      </c>
      <c r="M78" t="str">
        <f t="shared" si="3"/>
        <v/>
      </c>
    </row>
    <row r="79" spans="1:13" hidden="1" x14ac:dyDescent="0.3">
      <c r="A79" t="str">
        <f>IF(ISNUMBER($K79),INDEX(Сборка!$O$2:$O$501,$K79),"")</f>
        <v/>
      </c>
      <c r="B79" t="str">
        <f>IF(ISNUMBER($K79),INDEX(Сборка!$C$2:$C$501,$K79),"")</f>
        <v/>
      </c>
      <c r="C79" s="5" t="str">
        <f>IF($L79&lt;&gt;"",INDEX(Сборка!$S$2:$S$501,MATCH($L79,Сборка!$P$2:$P$501,0)),IF(ISNUMBER($K79),INDEX(Сборка!$D$2:$D$501,$K79)&amp;IF(INDEX(Сборка!$I$2:$I$501,$K79)&lt;&gt;""," — "&amp;INDEX(Сборка!$I$2:$I$501,$K79),""),""))</f>
        <v/>
      </c>
      <c r="D79" t="str">
        <f>IF(ISNUMBER($K79),INDEX(Сборка!$E$2:$E$501,$K79),"")</f>
        <v/>
      </c>
      <c r="E79" t="str">
        <f>IF(ISNUMBER($K79),INDEX(Сборка!$G$2:$G$501,$K79),"")</f>
        <v/>
      </c>
      <c r="F79" s="6" t="str">
        <f>IF(ISNUMBER($K79),INDEX(Сборка!$J$2:$J$501,$K79),"")</f>
        <v/>
      </c>
      <c r="G79" s="6" t="str">
        <f>IF(ISNUMBER($K79),INDEX(Сборка!$K$2:$K$501,$K79),"")</f>
        <v/>
      </c>
      <c r="H79" s="6" t="str">
        <f t="shared" si="0"/>
        <v/>
      </c>
      <c r="I79" s="6" t="str">
        <f t="shared" si="1"/>
        <v/>
      </c>
      <c r="J79" s="6" t="str">
        <f t="shared" si="2"/>
        <v/>
      </c>
      <c r="K79" t="str">
        <f>IFERROR(MATCH(59,Сборка!$R$2:$R$501,0),"")</f>
        <v/>
      </c>
      <c r="L79" t="str">
        <f>IFERROR(IF(INDEX(Сборка!$Q$2:$Q$501,MATCH(59+1,Сборка!$R$2:$R$501,0))=1,INDEX(Сборка!$P$2:$P$501,MATCH(59+1,Сборка!$R$2:$R$501,0)),""),"")</f>
        <v/>
      </c>
      <c r="M79" t="str">
        <f t="shared" si="3"/>
        <v/>
      </c>
    </row>
    <row r="80" spans="1:13" hidden="1" x14ac:dyDescent="0.3">
      <c r="A80" t="str">
        <f>IF(ISNUMBER($K80),INDEX(Сборка!$O$2:$O$501,$K80),"")</f>
        <v/>
      </c>
      <c r="B80" t="str">
        <f>IF(ISNUMBER($K80),INDEX(Сборка!$C$2:$C$501,$K80),"")</f>
        <v/>
      </c>
      <c r="C80" s="5" t="str">
        <f>IF($L80&lt;&gt;"",INDEX(Сборка!$S$2:$S$501,MATCH($L80,Сборка!$P$2:$P$501,0)),IF(ISNUMBER($K80),INDEX(Сборка!$D$2:$D$501,$K80)&amp;IF(INDEX(Сборка!$I$2:$I$501,$K80)&lt;&gt;""," — "&amp;INDEX(Сборка!$I$2:$I$501,$K80),""),""))</f>
        <v/>
      </c>
      <c r="D80" t="str">
        <f>IF(ISNUMBER($K80),INDEX(Сборка!$E$2:$E$501,$K80),"")</f>
        <v/>
      </c>
      <c r="E80" t="str">
        <f>IF(ISNUMBER($K80),INDEX(Сборка!$G$2:$G$501,$K80),"")</f>
        <v/>
      </c>
      <c r="F80" s="6" t="str">
        <f>IF(ISNUMBER($K80),INDEX(Сборка!$J$2:$J$501,$K80),"")</f>
        <v/>
      </c>
      <c r="G80" s="6" t="str">
        <f>IF(ISNUMBER($K80),INDEX(Сборка!$K$2:$K$501,$K80),"")</f>
        <v/>
      </c>
      <c r="H80" s="6" t="str">
        <f t="shared" si="0"/>
        <v/>
      </c>
      <c r="I80" s="6" t="str">
        <f t="shared" si="1"/>
        <v/>
      </c>
      <c r="J80" s="6" t="str">
        <f t="shared" si="2"/>
        <v/>
      </c>
      <c r="K80" t="str">
        <f>IFERROR(MATCH(60,Сборка!$R$2:$R$501,0),"")</f>
        <v/>
      </c>
      <c r="L80" t="str">
        <f>IFERROR(IF(INDEX(Сборка!$Q$2:$Q$501,MATCH(60+1,Сборка!$R$2:$R$501,0))=1,INDEX(Сборка!$P$2:$P$501,MATCH(60+1,Сборка!$R$2:$R$501,0)),""),"")</f>
        <v/>
      </c>
      <c r="M80" t="str">
        <f t="shared" si="3"/>
        <v/>
      </c>
    </row>
    <row r="81" spans="1:13" hidden="1" x14ac:dyDescent="0.3">
      <c r="A81" t="str">
        <f>IF(ISNUMBER($K81),INDEX(Сборка!$O$2:$O$501,$K81),"")</f>
        <v/>
      </c>
      <c r="B81" t="str">
        <f>IF(ISNUMBER($K81),INDEX(Сборка!$C$2:$C$501,$K81),"")</f>
        <v/>
      </c>
      <c r="C81" s="5" t="str">
        <f>IF($L81&lt;&gt;"",INDEX(Сборка!$S$2:$S$501,MATCH($L81,Сборка!$P$2:$P$501,0)),IF(ISNUMBER($K81),INDEX(Сборка!$D$2:$D$501,$K81)&amp;IF(INDEX(Сборка!$I$2:$I$501,$K81)&lt;&gt;""," — "&amp;INDEX(Сборка!$I$2:$I$501,$K81),""),""))</f>
        <v/>
      </c>
      <c r="D81" t="str">
        <f>IF(ISNUMBER($K81),INDEX(Сборка!$E$2:$E$501,$K81),"")</f>
        <v/>
      </c>
      <c r="E81" t="str">
        <f>IF(ISNUMBER($K81),INDEX(Сборка!$G$2:$G$501,$K81),"")</f>
        <v/>
      </c>
      <c r="F81" s="6" t="str">
        <f>IF(ISNUMBER($K81),INDEX(Сборка!$J$2:$J$501,$K81),"")</f>
        <v/>
      </c>
      <c r="G81" s="6" t="str">
        <f>IF(ISNUMBER($K81),INDEX(Сборка!$K$2:$K$501,$K81),"")</f>
        <v/>
      </c>
      <c r="H81" s="6" t="str">
        <f t="shared" si="0"/>
        <v/>
      </c>
      <c r="I81" s="6" t="str">
        <f t="shared" si="1"/>
        <v/>
      </c>
      <c r="J81" s="6" t="str">
        <f t="shared" si="2"/>
        <v/>
      </c>
      <c r="K81" t="str">
        <f>IFERROR(MATCH(61,Сборка!$R$2:$R$501,0),"")</f>
        <v/>
      </c>
      <c r="L81" t="str">
        <f>IFERROR(IF(INDEX(Сборка!$Q$2:$Q$501,MATCH(61+1,Сборка!$R$2:$R$501,0))=1,INDEX(Сборка!$P$2:$P$501,MATCH(61+1,Сборка!$R$2:$R$501,0)),""),"")</f>
        <v/>
      </c>
      <c r="M81" t="str">
        <f t="shared" si="3"/>
        <v/>
      </c>
    </row>
    <row r="82" spans="1:13" hidden="1" x14ac:dyDescent="0.3">
      <c r="A82" t="str">
        <f>IF(ISNUMBER($K82),INDEX(Сборка!$O$2:$O$501,$K82),"")</f>
        <v/>
      </c>
      <c r="B82" t="str">
        <f>IF(ISNUMBER($K82),INDEX(Сборка!$C$2:$C$501,$K82),"")</f>
        <v/>
      </c>
      <c r="C82" s="5" t="str">
        <f>IF($L82&lt;&gt;"",INDEX(Сборка!$S$2:$S$501,MATCH($L82,Сборка!$P$2:$P$501,0)),IF(ISNUMBER($K82),INDEX(Сборка!$D$2:$D$501,$K82)&amp;IF(INDEX(Сборка!$I$2:$I$501,$K82)&lt;&gt;""," — "&amp;INDEX(Сборка!$I$2:$I$501,$K82),""),""))</f>
        <v/>
      </c>
      <c r="D82" t="str">
        <f>IF(ISNUMBER($K82),INDEX(Сборка!$E$2:$E$501,$K82),"")</f>
        <v/>
      </c>
      <c r="E82" t="str">
        <f>IF(ISNUMBER($K82),INDEX(Сборка!$G$2:$G$501,$K82),"")</f>
        <v/>
      </c>
      <c r="F82" s="6" t="str">
        <f>IF(ISNUMBER($K82),INDEX(Сборка!$J$2:$J$501,$K82),"")</f>
        <v/>
      </c>
      <c r="G82" s="6" t="str">
        <f>IF(ISNUMBER($K82),INDEX(Сборка!$K$2:$K$501,$K82),"")</f>
        <v/>
      </c>
      <c r="H82" s="6" t="str">
        <f t="shared" si="0"/>
        <v/>
      </c>
      <c r="I82" s="6" t="str">
        <f t="shared" si="1"/>
        <v/>
      </c>
      <c r="J82" s="6" t="str">
        <f t="shared" si="2"/>
        <v/>
      </c>
      <c r="K82" t="str">
        <f>IFERROR(MATCH(62,Сборка!$R$2:$R$501,0),"")</f>
        <v/>
      </c>
      <c r="L82" t="str">
        <f>IFERROR(IF(INDEX(Сборка!$Q$2:$Q$501,MATCH(62+1,Сборка!$R$2:$R$501,0))=1,INDEX(Сборка!$P$2:$P$501,MATCH(62+1,Сборка!$R$2:$R$501,0)),""),"")</f>
        <v/>
      </c>
      <c r="M82" t="str">
        <f t="shared" si="3"/>
        <v/>
      </c>
    </row>
    <row r="83" spans="1:13" hidden="1" x14ac:dyDescent="0.3">
      <c r="A83" t="str">
        <f>IF(ISNUMBER($K83),INDEX(Сборка!$O$2:$O$501,$K83),"")</f>
        <v/>
      </c>
      <c r="B83" t="str">
        <f>IF(ISNUMBER($K83),INDEX(Сборка!$C$2:$C$501,$K83),"")</f>
        <v/>
      </c>
      <c r="C83" s="5" t="str">
        <f>IF($L83&lt;&gt;"",INDEX(Сборка!$S$2:$S$501,MATCH($L83,Сборка!$P$2:$P$501,0)),IF(ISNUMBER($K83),INDEX(Сборка!$D$2:$D$501,$K83)&amp;IF(INDEX(Сборка!$I$2:$I$501,$K83)&lt;&gt;""," — "&amp;INDEX(Сборка!$I$2:$I$501,$K83),""),""))</f>
        <v/>
      </c>
      <c r="D83" t="str">
        <f>IF(ISNUMBER($K83),INDEX(Сборка!$E$2:$E$501,$K83),"")</f>
        <v/>
      </c>
      <c r="E83" t="str">
        <f>IF(ISNUMBER($K83),INDEX(Сборка!$G$2:$G$501,$K83),"")</f>
        <v/>
      </c>
      <c r="F83" s="6" t="str">
        <f>IF(ISNUMBER($K83),INDEX(Сборка!$J$2:$J$501,$K83),"")</f>
        <v/>
      </c>
      <c r="G83" s="6" t="str">
        <f>IF(ISNUMBER($K83),INDEX(Сборка!$K$2:$K$501,$K83),"")</f>
        <v/>
      </c>
      <c r="H83" s="6" t="str">
        <f t="shared" si="0"/>
        <v/>
      </c>
      <c r="I83" s="6" t="str">
        <f t="shared" si="1"/>
        <v/>
      </c>
      <c r="J83" s="6" t="str">
        <f t="shared" si="2"/>
        <v/>
      </c>
      <c r="K83" t="str">
        <f>IFERROR(MATCH(63,Сборка!$R$2:$R$501,0),"")</f>
        <v/>
      </c>
      <c r="L83" t="str">
        <f>IFERROR(IF(INDEX(Сборка!$Q$2:$Q$501,MATCH(63+1,Сборка!$R$2:$R$501,0))=1,INDEX(Сборка!$P$2:$P$501,MATCH(63+1,Сборка!$R$2:$R$501,0)),""),"")</f>
        <v/>
      </c>
      <c r="M83" t="str">
        <f t="shared" si="3"/>
        <v/>
      </c>
    </row>
    <row r="84" spans="1:13" hidden="1" x14ac:dyDescent="0.3">
      <c r="A84" t="str">
        <f>IF(ISNUMBER($K84),INDEX(Сборка!$O$2:$O$501,$K84),"")</f>
        <v/>
      </c>
      <c r="B84" t="str">
        <f>IF(ISNUMBER($K84),INDEX(Сборка!$C$2:$C$501,$K84),"")</f>
        <v/>
      </c>
      <c r="C84" s="5" t="str">
        <f>IF($L84&lt;&gt;"",INDEX(Сборка!$S$2:$S$501,MATCH($L84,Сборка!$P$2:$P$501,0)),IF(ISNUMBER($K84),INDEX(Сборка!$D$2:$D$501,$K84)&amp;IF(INDEX(Сборка!$I$2:$I$501,$K84)&lt;&gt;""," — "&amp;INDEX(Сборка!$I$2:$I$501,$K84),""),""))</f>
        <v/>
      </c>
      <c r="D84" t="str">
        <f>IF(ISNUMBER($K84),INDEX(Сборка!$E$2:$E$501,$K84),"")</f>
        <v/>
      </c>
      <c r="E84" t="str">
        <f>IF(ISNUMBER($K84),INDEX(Сборка!$G$2:$G$501,$K84),"")</f>
        <v/>
      </c>
      <c r="F84" s="6" t="str">
        <f>IF(ISNUMBER($K84),INDEX(Сборка!$J$2:$J$501,$K84),"")</f>
        <v/>
      </c>
      <c r="G84" s="6" t="str">
        <f>IF(ISNUMBER($K84),INDEX(Сборка!$K$2:$K$501,$K84),"")</f>
        <v/>
      </c>
      <c r="H84" s="6" t="str">
        <f t="shared" si="0"/>
        <v/>
      </c>
      <c r="I84" s="6" t="str">
        <f t="shared" si="1"/>
        <v/>
      </c>
      <c r="J84" s="6" t="str">
        <f t="shared" si="2"/>
        <v/>
      </c>
      <c r="K84" t="str">
        <f>IFERROR(MATCH(64,Сборка!$R$2:$R$501,0),"")</f>
        <v/>
      </c>
      <c r="L84" t="str">
        <f>IFERROR(IF(INDEX(Сборка!$Q$2:$Q$501,MATCH(64+1,Сборка!$R$2:$R$501,0))=1,INDEX(Сборка!$P$2:$P$501,MATCH(64+1,Сборка!$R$2:$R$501,0)),""),"")</f>
        <v/>
      </c>
      <c r="M84" t="str">
        <f t="shared" si="3"/>
        <v/>
      </c>
    </row>
    <row r="85" spans="1:13" hidden="1" x14ac:dyDescent="0.3">
      <c r="A85" t="str">
        <f>IF(ISNUMBER($K85),INDEX(Сборка!$O$2:$O$501,$K85),"")</f>
        <v/>
      </c>
      <c r="B85" t="str">
        <f>IF(ISNUMBER($K85),INDEX(Сборка!$C$2:$C$501,$K85),"")</f>
        <v/>
      </c>
      <c r="C85" s="5" t="str">
        <f>IF($L85&lt;&gt;"",INDEX(Сборка!$S$2:$S$501,MATCH($L85,Сборка!$P$2:$P$501,0)),IF(ISNUMBER($K85),INDEX(Сборка!$D$2:$D$501,$K85)&amp;IF(INDEX(Сборка!$I$2:$I$501,$K85)&lt;&gt;""," — "&amp;INDEX(Сборка!$I$2:$I$501,$K85),""),""))</f>
        <v/>
      </c>
      <c r="D85" t="str">
        <f>IF(ISNUMBER($K85),INDEX(Сборка!$E$2:$E$501,$K85),"")</f>
        <v/>
      </c>
      <c r="E85" t="str">
        <f>IF(ISNUMBER($K85),INDEX(Сборка!$G$2:$G$501,$K85),"")</f>
        <v/>
      </c>
      <c r="F85" s="6" t="str">
        <f>IF(ISNUMBER($K85),INDEX(Сборка!$J$2:$J$501,$K85),"")</f>
        <v/>
      </c>
      <c r="G85" s="6" t="str">
        <f>IF(ISNUMBER($K85),INDEX(Сборка!$K$2:$K$501,$K85),"")</f>
        <v/>
      </c>
      <c r="H85" s="6" t="str">
        <f t="shared" ref="H85:H148" si="4">IF(ISNUMBER($K85),ROUND($E85*$F85,2),"")</f>
        <v/>
      </c>
      <c r="I85" s="6" t="str">
        <f t="shared" ref="I85:I148" si="5">IF(ISNUMBER($K85),ROUND($E85*$G85,2),"")</f>
        <v/>
      </c>
      <c r="J85" s="6" t="str">
        <f t="shared" ref="J85:J148" si="6">IF(ISNUMBER($K85),$H85+$I85,"")</f>
        <v/>
      </c>
      <c r="K85" t="str">
        <f>IFERROR(MATCH(65,Сборка!$R$2:$R$501,0),"")</f>
        <v/>
      </c>
      <c r="L85" t="str">
        <f>IFERROR(IF(INDEX(Сборка!$Q$2:$Q$501,MATCH(65+1,Сборка!$R$2:$R$501,0))=1,INDEX(Сборка!$P$2:$P$501,MATCH(65+1,Сборка!$R$2:$R$501,0)),""),"")</f>
        <v/>
      </c>
      <c r="M85" t="str">
        <f t="shared" ref="M85:M148" si="7">IF(OR(ISNUMBER($K85),$L85&lt;&gt;""),"показать","")</f>
        <v/>
      </c>
    </row>
    <row r="86" spans="1:13" hidden="1" x14ac:dyDescent="0.3">
      <c r="A86" t="str">
        <f>IF(ISNUMBER($K86),INDEX(Сборка!$O$2:$O$501,$K86),"")</f>
        <v/>
      </c>
      <c r="B86" t="str">
        <f>IF(ISNUMBER($K86),INDEX(Сборка!$C$2:$C$501,$K86),"")</f>
        <v/>
      </c>
      <c r="C86" s="5" t="str">
        <f>IF($L86&lt;&gt;"",INDEX(Сборка!$S$2:$S$501,MATCH($L86,Сборка!$P$2:$P$501,0)),IF(ISNUMBER($K86),INDEX(Сборка!$D$2:$D$501,$K86)&amp;IF(INDEX(Сборка!$I$2:$I$501,$K86)&lt;&gt;""," — "&amp;INDEX(Сборка!$I$2:$I$501,$K86),""),""))</f>
        <v/>
      </c>
      <c r="D86" t="str">
        <f>IF(ISNUMBER($K86),INDEX(Сборка!$E$2:$E$501,$K86),"")</f>
        <v/>
      </c>
      <c r="E86" t="str">
        <f>IF(ISNUMBER($K86),INDEX(Сборка!$G$2:$G$501,$K86),"")</f>
        <v/>
      </c>
      <c r="F86" s="6" t="str">
        <f>IF(ISNUMBER($K86),INDEX(Сборка!$J$2:$J$501,$K86),"")</f>
        <v/>
      </c>
      <c r="G86" s="6" t="str">
        <f>IF(ISNUMBER($K86),INDEX(Сборка!$K$2:$K$501,$K86),"")</f>
        <v/>
      </c>
      <c r="H86" s="6" t="str">
        <f t="shared" si="4"/>
        <v/>
      </c>
      <c r="I86" s="6" t="str">
        <f t="shared" si="5"/>
        <v/>
      </c>
      <c r="J86" s="6" t="str">
        <f t="shared" si="6"/>
        <v/>
      </c>
      <c r="K86" t="str">
        <f>IFERROR(MATCH(66,Сборка!$R$2:$R$501,0),"")</f>
        <v/>
      </c>
      <c r="L86" t="str">
        <f>IFERROR(IF(INDEX(Сборка!$Q$2:$Q$501,MATCH(66+1,Сборка!$R$2:$R$501,0))=1,INDEX(Сборка!$P$2:$P$501,MATCH(66+1,Сборка!$R$2:$R$501,0)),""),"")</f>
        <v/>
      </c>
      <c r="M86" t="str">
        <f t="shared" si="7"/>
        <v/>
      </c>
    </row>
    <row r="87" spans="1:13" hidden="1" x14ac:dyDescent="0.3">
      <c r="A87" t="str">
        <f>IF(ISNUMBER($K87),INDEX(Сборка!$O$2:$O$501,$K87),"")</f>
        <v/>
      </c>
      <c r="B87" t="str">
        <f>IF(ISNUMBER($K87),INDEX(Сборка!$C$2:$C$501,$K87),"")</f>
        <v/>
      </c>
      <c r="C87" s="5" t="str">
        <f>IF($L87&lt;&gt;"",INDEX(Сборка!$S$2:$S$501,MATCH($L87,Сборка!$P$2:$P$501,0)),IF(ISNUMBER($K87),INDEX(Сборка!$D$2:$D$501,$K87)&amp;IF(INDEX(Сборка!$I$2:$I$501,$K87)&lt;&gt;""," — "&amp;INDEX(Сборка!$I$2:$I$501,$K87),""),""))</f>
        <v/>
      </c>
      <c r="D87" t="str">
        <f>IF(ISNUMBER($K87),INDEX(Сборка!$E$2:$E$501,$K87),"")</f>
        <v/>
      </c>
      <c r="E87" t="str">
        <f>IF(ISNUMBER($K87),INDEX(Сборка!$G$2:$G$501,$K87),"")</f>
        <v/>
      </c>
      <c r="F87" s="6" t="str">
        <f>IF(ISNUMBER($K87),INDEX(Сборка!$J$2:$J$501,$K87),"")</f>
        <v/>
      </c>
      <c r="G87" s="6" t="str">
        <f>IF(ISNUMBER($K87),INDEX(Сборка!$K$2:$K$501,$K87),"")</f>
        <v/>
      </c>
      <c r="H87" s="6" t="str">
        <f t="shared" si="4"/>
        <v/>
      </c>
      <c r="I87" s="6" t="str">
        <f t="shared" si="5"/>
        <v/>
      </c>
      <c r="J87" s="6" t="str">
        <f t="shared" si="6"/>
        <v/>
      </c>
      <c r="K87" t="str">
        <f>IFERROR(MATCH(67,Сборка!$R$2:$R$501,0),"")</f>
        <v/>
      </c>
      <c r="L87" t="str">
        <f>IFERROR(IF(INDEX(Сборка!$Q$2:$Q$501,MATCH(67+1,Сборка!$R$2:$R$501,0))=1,INDEX(Сборка!$P$2:$P$501,MATCH(67+1,Сборка!$R$2:$R$501,0)),""),"")</f>
        <v/>
      </c>
      <c r="M87" t="str">
        <f t="shared" si="7"/>
        <v/>
      </c>
    </row>
    <row r="88" spans="1:13" hidden="1" x14ac:dyDescent="0.3">
      <c r="A88" t="str">
        <f>IF(ISNUMBER($K88),INDEX(Сборка!$O$2:$O$501,$K88),"")</f>
        <v/>
      </c>
      <c r="B88" t="str">
        <f>IF(ISNUMBER($K88),INDEX(Сборка!$C$2:$C$501,$K88),"")</f>
        <v/>
      </c>
      <c r="C88" s="5" t="str">
        <f>IF($L88&lt;&gt;"",INDEX(Сборка!$S$2:$S$501,MATCH($L88,Сборка!$P$2:$P$501,0)),IF(ISNUMBER($K88),INDEX(Сборка!$D$2:$D$501,$K88)&amp;IF(INDEX(Сборка!$I$2:$I$501,$K88)&lt;&gt;""," — "&amp;INDEX(Сборка!$I$2:$I$501,$K88),""),""))</f>
        <v/>
      </c>
      <c r="D88" t="str">
        <f>IF(ISNUMBER($K88),INDEX(Сборка!$E$2:$E$501,$K88),"")</f>
        <v/>
      </c>
      <c r="E88" t="str">
        <f>IF(ISNUMBER($K88),INDEX(Сборка!$G$2:$G$501,$K88),"")</f>
        <v/>
      </c>
      <c r="F88" s="6" t="str">
        <f>IF(ISNUMBER($K88),INDEX(Сборка!$J$2:$J$501,$K88),"")</f>
        <v/>
      </c>
      <c r="G88" s="6" t="str">
        <f>IF(ISNUMBER($K88),INDEX(Сборка!$K$2:$K$501,$K88),"")</f>
        <v/>
      </c>
      <c r="H88" s="6" t="str">
        <f t="shared" si="4"/>
        <v/>
      </c>
      <c r="I88" s="6" t="str">
        <f t="shared" si="5"/>
        <v/>
      </c>
      <c r="J88" s="6" t="str">
        <f t="shared" si="6"/>
        <v/>
      </c>
      <c r="K88" t="str">
        <f>IFERROR(MATCH(68,Сборка!$R$2:$R$501,0),"")</f>
        <v/>
      </c>
      <c r="L88" t="str">
        <f>IFERROR(IF(INDEX(Сборка!$Q$2:$Q$501,MATCH(68+1,Сборка!$R$2:$R$501,0))=1,INDEX(Сборка!$P$2:$P$501,MATCH(68+1,Сборка!$R$2:$R$501,0)),""),"")</f>
        <v/>
      </c>
      <c r="M88" t="str">
        <f t="shared" si="7"/>
        <v/>
      </c>
    </row>
    <row r="89" spans="1:13" hidden="1" x14ac:dyDescent="0.3">
      <c r="A89" t="str">
        <f>IF(ISNUMBER($K89),INDEX(Сборка!$O$2:$O$501,$K89),"")</f>
        <v/>
      </c>
      <c r="B89" t="str">
        <f>IF(ISNUMBER($K89),INDEX(Сборка!$C$2:$C$501,$K89),"")</f>
        <v/>
      </c>
      <c r="C89" s="5" t="str">
        <f>IF($L89&lt;&gt;"",INDEX(Сборка!$S$2:$S$501,MATCH($L89,Сборка!$P$2:$P$501,0)),IF(ISNUMBER($K89),INDEX(Сборка!$D$2:$D$501,$K89)&amp;IF(INDEX(Сборка!$I$2:$I$501,$K89)&lt;&gt;""," — "&amp;INDEX(Сборка!$I$2:$I$501,$K89),""),""))</f>
        <v/>
      </c>
      <c r="D89" t="str">
        <f>IF(ISNUMBER($K89),INDEX(Сборка!$E$2:$E$501,$K89),"")</f>
        <v/>
      </c>
      <c r="E89" t="str">
        <f>IF(ISNUMBER($K89),INDEX(Сборка!$G$2:$G$501,$K89),"")</f>
        <v/>
      </c>
      <c r="F89" s="6" t="str">
        <f>IF(ISNUMBER($K89),INDEX(Сборка!$J$2:$J$501,$K89),"")</f>
        <v/>
      </c>
      <c r="G89" s="6" t="str">
        <f>IF(ISNUMBER($K89),INDEX(Сборка!$K$2:$K$501,$K89),"")</f>
        <v/>
      </c>
      <c r="H89" s="6" t="str">
        <f t="shared" si="4"/>
        <v/>
      </c>
      <c r="I89" s="6" t="str">
        <f t="shared" si="5"/>
        <v/>
      </c>
      <c r="J89" s="6" t="str">
        <f t="shared" si="6"/>
        <v/>
      </c>
      <c r="K89" t="str">
        <f>IFERROR(MATCH(69,Сборка!$R$2:$R$501,0),"")</f>
        <v/>
      </c>
      <c r="L89" t="str">
        <f>IFERROR(IF(INDEX(Сборка!$Q$2:$Q$501,MATCH(69+1,Сборка!$R$2:$R$501,0))=1,INDEX(Сборка!$P$2:$P$501,MATCH(69+1,Сборка!$R$2:$R$501,0)),""),"")</f>
        <v/>
      </c>
      <c r="M89" t="str">
        <f t="shared" si="7"/>
        <v/>
      </c>
    </row>
    <row r="90" spans="1:13" hidden="1" x14ac:dyDescent="0.3">
      <c r="A90" t="str">
        <f>IF(ISNUMBER($K90),INDEX(Сборка!$O$2:$O$501,$K90),"")</f>
        <v/>
      </c>
      <c r="B90" t="str">
        <f>IF(ISNUMBER($K90),INDEX(Сборка!$C$2:$C$501,$K90),"")</f>
        <v/>
      </c>
      <c r="C90" s="5" t="str">
        <f>IF($L90&lt;&gt;"",INDEX(Сборка!$S$2:$S$501,MATCH($L90,Сборка!$P$2:$P$501,0)),IF(ISNUMBER($K90),INDEX(Сборка!$D$2:$D$501,$K90)&amp;IF(INDEX(Сборка!$I$2:$I$501,$K90)&lt;&gt;""," — "&amp;INDEX(Сборка!$I$2:$I$501,$K90),""),""))</f>
        <v/>
      </c>
      <c r="D90" t="str">
        <f>IF(ISNUMBER($K90),INDEX(Сборка!$E$2:$E$501,$K90),"")</f>
        <v/>
      </c>
      <c r="E90" t="str">
        <f>IF(ISNUMBER($K90),INDEX(Сборка!$G$2:$G$501,$K90),"")</f>
        <v/>
      </c>
      <c r="F90" s="6" t="str">
        <f>IF(ISNUMBER($K90),INDEX(Сборка!$J$2:$J$501,$K90),"")</f>
        <v/>
      </c>
      <c r="G90" s="6" t="str">
        <f>IF(ISNUMBER($K90),INDEX(Сборка!$K$2:$K$501,$K90),"")</f>
        <v/>
      </c>
      <c r="H90" s="6" t="str">
        <f t="shared" si="4"/>
        <v/>
      </c>
      <c r="I90" s="6" t="str">
        <f t="shared" si="5"/>
        <v/>
      </c>
      <c r="J90" s="6" t="str">
        <f t="shared" si="6"/>
        <v/>
      </c>
      <c r="K90" t="str">
        <f>IFERROR(MATCH(70,Сборка!$R$2:$R$501,0),"")</f>
        <v/>
      </c>
      <c r="L90" t="str">
        <f>IFERROR(IF(INDEX(Сборка!$Q$2:$Q$501,MATCH(70+1,Сборка!$R$2:$R$501,0))=1,INDEX(Сборка!$P$2:$P$501,MATCH(70+1,Сборка!$R$2:$R$501,0)),""),"")</f>
        <v/>
      </c>
      <c r="M90" t="str">
        <f t="shared" si="7"/>
        <v/>
      </c>
    </row>
    <row r="91" spans="1:13" hidden="1" x14ac:dyDescent="0.3">
      <c r="A91" t="str">
        <f>IF(ISNUMBER($K91),INDEX(Сборка!$O$2:$O$501,$K91),"")</f>
        <v/>
      </c>
      <c r="B91" t="str">
        <f>IF(ISNUMBER($K91),INDEX(Сборка!$C$2:$C$501,$K91),"")</f>
        <v/>
      </c>
      <c r="C91" s="5" t="str">
        <f>IF($L91&lt;&gt;"",INDEX(Сборка!$S$2:$S$501,MATCH($L91,Сборка!$P$2:$P$501,0)),IF(ISNUMBER($K91),INDEX(Сборка!$D$2:$D$501,$K91)&amp;IF(INDEX(Сборка!$I$2:$I$501,$K91)&lt;&gt;""," — "&amp;INDEX(Сборка!$I$2:$I$501,$K91),""),""))</f>
        <v/>
      </c>
      <c r="D91" t="str">
        <f>IF(ISNUMBER($K91),INDEX(Сборка!$E$2:$E$501,$K91),"")</f>
        <v/>
      </c>
      <c r="E91" t="str">
        <f>IF(ISNUMBER($K91),INDEX(Сборка!$G$2:$G$501,$K91),"")</f>
        <v/>
      </c>
      <c r="F91" s="6" t="str">
        <f>IF(ISNUMBER($K91),INDEX(Сборка!$J$2:$J$501,$K91),"")</f>
        <v/>
      </c>
      <c r="G91" s="6" t="str">
        <f>IF(ISNUMBER($K91),INDEX(Сборка!$K$2:$K$501,$K91),"")</f>
        <v/>
      </c>
      <c r="H91" s="6" t="str">
        <f t="shared" si="4"/>
        <v/>
      </c>
      <c r="I91" s="6" t="str">
        <f t="shared" si="5"/>
        <v/>
      </c>
      <c r="J91" s="6" t="str">
        <f t="shared" si="6"/>
        <v/>
      </c>
      <c r="K91" t="str">
        <f>IFERROR(MATCH(71,Сборка!$R$2:$R$501,0),"")</f>
        <v/>
      </c>
      <c r="L91" t="str">
        <f>IFERROR(IF(INDEX(Сборка!$Q$2:$Q$501,MATCH(71+1,Сборка!$R$2:$R$501,0))=1,INDEX(Сборка!$P$2:$P$501,MATCH(71+1,Сборка!$R$2:$R$501,0)),""),"")</f>
        <v/>
      </c>
      <c r="M91" t="str">
        <f t="shared" si="7"/>
        <v/>
      </c>
    </row>
    <row r="92" spans="1:13" hidden="1" x14ac:dyDescent="0.3">
      <c r="A92" t="str">
        <f>IF(ISNUMBER($K92),INDEX(Сборка!$O$2:$O$501,$K92),"")</f>
        <v/>
      </c>
      <c r="B92" t="str">
        <f>IF(ISNUMBER($K92),INDEX(Сборка!$C$2:$C$501,$K92),"")</f>
        <v/>
      </c>
      <c r="C92" s="5" t="str">
        <f>IF($L92&lt;&gt;"",INDEX(Сборка!$S$2:$S$501,MATCH($L92,Сборка!$P$2:$P$501,0)),IF(ISNUMBER($K92),INDEX(Сборка!$D$2:$D$501,$K92)&amp;IF(INDEX(Сборка!$I$2:$I$501,$K92)&lt;&gt;""," — "&amp;INDEX(Сборка!$I$2:$I$501,$K92),""),""))</f>
        <v/>
      </c>
      <c r="D92" t="str">
        <f>IF(ISNUMBER($K92),INDEX(Сборка!$E$2:$E$501,$K92),"")</f>
        <v/>
      </c>
      <c r="E92" t="str">
        <f>IF(ISNUMBER($K92),INDEX(Сборка!$G$2:$G$501,$K92),"")</f>
        <v/>
      </c>
      <c r="F92" s="6" t="str">
        <f>IF(ISNUMBER($K92),INDEX(Сборка!$J$2:$J$501,$K92),"")</f>
        <v/>
      </c>
      <c r="G92" s="6" t="str">
        <f>IF(ISNUMBER($K92),INDEX(Сборка!$K$2:$K$501,$K92),"")</f>
        <v/>
      </c>
      <c r="H92" s="6" t="str">
        <f t="shared" si="4"/>
        <v/>
      </c>
      <c r="I92" s="6" t="str">
        <f t="shared" si="5"/>
        <v/>
      </c>
      <c r="J92" s="6" t="str">
        <f t="shared" si="6"/>
        <v/>
      </c>
      <c r="K92" t="str">
        <f>IFERROR(MATCH(72,Сборка!$R$2:$R$501,0),"")</f>
        <v/>
      </c>
      <c r="L92" t="str">
        <f>IFERROR(IF(INDEX(Сборка!$Q$2:$Q$501,MATCH(72+1,Сборка!$R$2:$R$501,0))=1,INDEX(Сборка!$P$2:$P$501,MATCH(72+1,Сборка!$R$2:$R$501,0)),""),"")</f>
        <v/>
      </c>
      <c r="M92" t="str">
        <f t="shared" si="7"/>
        <v/>
      </c>
    </row>
    <row r="93" spans="1:13" hidden="1" x14ac:dyDescent="0.3">
      <c r="A93" t="str">
        <f>IF(ISNUMBER($K93),INDEX(Сборка!$O$2:$O$501,$K93),"")</f>
        <v/>
      </c>
      <c r="B93" t="str">
        <f>IF(ISNUMBER($K93),INDEX(Сборка!$C$2:$C$501,$K93),"")</f>
        <v/>
      </c>
      <c r="C93" s="5" t="str">
        <f>IF($L93&lt;&gt;"",INDEX(Сборка!$S$2:$S$501,MATCH($L93,Сборка!$P$2:$P$501,0)),IF(ISNUMBER($K93),INDEX(Сборка!$D$2:$D$501,$K93)&amp;IF(INDEX(Сборка!$I$2:$I$501,$K93)&lt;&gt;""," — "&amp;INDEX(Сборка!$I$2:$I$501,$K93),""),""))</f>
        <v/>
      </c>
      <c r="D93" t="str">
        <f>IF(ISNUMBER($K93),INDEX(Сборка!$E$2:$E$501,$K93),"")</f>
        <v/>
      </c>
      <c r="E93" t="str">
        <f>IF(ISNUMBER($K93),INDEX(Сборка!$G$2:$G$501,$K93),"")</f>
        <v/>
      </c>
      <c r="F93" s="6" t="str">
        <f>IF(ISNUMBER($K93),INDEX(Сборка!$J$2:$J$501,$K93),"")</f>
        <v/>
      </c>
      <c r="G93" s="6" t="str">
        <f>IF(ISNUMBER($K93),INDEX(Сборка!$K$2:$K$501,$K93),"")</f>
        <v/>
      </c>
      <c r="H93" s="6" t="str">
        <f t="shared" si="4"/>
        <v/>
      </c>
      <c r="I93" s="6" t="str">
        <f t="shared" si="5"/>
        <v/>
      </c>
      <c r="J93" s="6" t="str">
        <f t="shared" si="6"/>
        <v/>
      </c>
      <c r="K93" t="str">
        <f>IFERROR(MATCH(73,Сборка!$R$2:$R$501,0),"")</f>
        <v/>
      </c>
      <c r="L93" t="str">
        <f>IFERROR(IF(INDEX(Сборка!$Q$2:$Q$501,MATCH(73+1,Сборка!$R$2:$R$501,0))=1,INDEX(Сборка!$P$2:$P$501,MATCH(73+1,Сборка!$R$2:$R$501,0)),""),"")</f>
        <v/>
      </c>
      <c r="M93" t="str">
        <f t="shared" si="7"/>
        <v/>
      </c>
    </row>
    <row r="94" spans="1:13" hidden="1" x14ac:dyDescent="0.3">
      <c r="A94" t="str">
        <f>IF(ISNUMBER($K94),INDEX(Сборка!$O$2:$O$501,$K94),"")</f>
        <v/>
      </c>
      <c r="B94" t="str">
        <f>IF(ISNUMBER($K94),INDEX(Сборка!$C$2:$C$501,$K94),"")</f>
        <v/>
      </c>
      <c r="C94" s="5" t="str">
        <f>IF($L94&lt;&gt;"",INDEX(Сборка!$S$2:$S$501,MATCH($L94,Сборка!$P$2:$P$501,0)),IF(ISNUMBER($K94),INDEX(Сборка!$D$2:$D$501,$K94)&amp;IF(INDEX(Сборка!$I$2:$I$501,$K94)&lt;&gt;""," — "&amp;INDEX(Сборка!$I$2:$I$501,$K94),""),""))</f>
        <v/>
      </c>
      <c r="D94" t="str">
        <f>IF(ISNUMBER($K94),INDEX(Сборка!$E$2:$E$501,$K94),"")</f>
        <v/>
      </c>
      <c r="E94" t="str">
        <f>IF(ISNUMBER($K94),INDEX(Сборка!$G$2:$G$501,$K94),"")</f>
        <v/>
      </c>
      <c r="F94" s="6" t="str">
        <f>IF(ISNUMBER($K94),INDEX(Сборка!$J$2:$J$501,$K94),"")</f>
        <v/>
      </c>
      <c r="G94" s="6" t="str">
        <f>IF(ISNUMBER($K94),INDEX(Сборка!$K$2:$K$501,$K94),"")</f>
        <v/>
      </c>
      <c r="H94" s="6" t="str">
        <f t="shared" si="4"/>
        <v/>
      </c>
      <c r="I94" s="6" t="str">
        <f t="shared" si="5"/>
        <v/>
      </c>
      <c r="J94" s="6" t="str">
        <f t="shared" si="6"/>
        <v/>
      </c>
      <c r="K94" t="str">
        <f>IFERROR(MATCH(74,Сборка!$R$2:$R$501,0),"")</f>
        <v/>
      </c>
      <c r="L94" t="str">
        <f>IFERROR(IF(INDEX(Сборка!$Q$2:$Q$501,MATCH(74+1,Сборка!$R$2:$R$501,0))=1,INDEX(Сборка!$P$2:$P$501,MATCH(74+1,Сборка!$R$2:$R$501,0)),""),"")</f>
        <v/>
      </c>
      <c r="M94" t="str">
        <f t="shared" si="7"/>
        <v/>
      </c>
    </row>
    <row r="95" spans="1:13" hidden="1" x14ac:dyDescent="0.3">
      <c r="A95" t="str">
        <f>IF(ISNUMBER($K95),INDEX(Сборка!$O$2:$O$501,$K95),"")</f>
        <v/>
      </c>
      <c r="B95" t="str">
        <f>IF(ISNUMBER($K95),INDEX(Сборка!$C$2:$C$501,$K95),"")</f>
        <v/>
      </c>
      <c r="C95" s="5" t="str">
        <f>IF($L95&lt;&gt;"",INDEX(Сборка!$S$2:$S$501,MATCH($L95,Сборка!$P$2:$P$501,0)),IF(ISNUMBER($K95),INDEX(Сборка!$D$2:$D$501,$K95)&amp;IF(INDEX(Сборка!$I$2:$I$501,$K95)&lt;&gt;""," — "&amp;INDEX(Сборка!$I$2:$I$501,$K95),""),""))</f>
        <v/>
      </c>
      <c r="D95" t="str">
        <f>IF(ISNUMBER($K95),INDEX(Сборка!$E$2:$E$501,$K95),"")</f>
        <v/>
      </c>
      <c r="E95" t="str">
        <f>IF(ISNUMBER($K95),INDEX(Сборка!$G$2:$G$501,$K95),"")</f>
        <v/>
      </c>
      <c r="F95" s="6" t="str">
        <f>IF(ISNUMBER($K95),INDEX(Сборка!$J$2:$J$501,$K95),"")</f>
        <v/>
      </c>
      <c r="G95" s="6" t="str">
        <f>IF(ISNUMBER($K95),INDEX(Сборка!$K$2:$K$501,$K95),"")</f>
        <v/>
      </c>
      <c r="H95" s="6" t="str">
        <f t="shared" si="4"/>
        <v/>
      </c>
      <c r="I95" s="6" t="str">
        <f t="shared" si="5"/>
        <v/>
      </c>
      <c r="J95" s="6" t="str">
        <f t="shared" si="6"/>
        <v/>
      </c>
      <c r="K95" t="str">
        <f>IFERROR(MATCH(75,Сборка!$R$2:$R$501,0),"")</f>
        <v/>
      </c>
      <c r="L95" t="str">
        <f>IFERROR(IF(INDEX(Сборка!$Q$2:$Q$501,MATCH(75+1,Сборка!$R$2:$R$501,0))=1,INDEX(Сборка!$P$2:$P$501,MATCH(75+1,Сборка!$R$2:$R$501,0)),""),"")</f>
        <v/>
      </c>
      <c r="M95" t="str">
        <f t="shared" si="7"/>
        <v/>
      </c>
    </row>
    <row r="96" spans="1:13" hidden="1" x14ac:dyDescent="0.3">
      <c r="A96" t="str">
        <f>IF(ISNUMBER($K96),INDEX(Сборка!$O$2:$O$501,$K96),"")</f>
        <v/>
      </c>
      <c r="B96" t="str">
        <f>IF(ISNUMBER($K96),INDEX(Сборка!$C$2:$C$501,$K96),"")</f>
        <v/>
      </c>
      <c r="C96" s="5" t="str">
        <f>IF($L96&lt;&gt;"",INDEX(Сборка!$S$2:$S$501,MATCH($L96,Сборка!$P$2:$P$501,0)),IF(ISNUMBER($K96),INDEX(Сборка!$D$2:$D$501,$K96)&amp;IF(INDEX(Сборка!$I$2:$I$501,$K96)&lt;&gt;""," — "&amp;INDEX(Сборка!$I$2:$I$501,$K96),""),""))</f>
        <v/>
      </c>
      <c r="D96" t="str">
        <f>IF(ISNUMBER($K96),INDEX(Сборка!$E$2:$E$501,$K96),"")</f>
        <v/>
      </c>
      <c r="E96" t="str">
        <f>IF(ISNUMBER($K96),INDEX(Сборка!$G$2:$G$501,$K96),"")</f>
        <v/>
      </c>
      <c r="F96" s="6" t="str">
        <f>IF(ISNUMBER($K96),INDEX(Сборка!$J$2:$J$501,$K96),"")</f>
        <v/>
      </c>
      <c r="G96" s="6" t="str">
        <f>IF(ISNUMBER($K96),INDEX(Сборка!$K$2:$K$501,$K96),"")</f>
        <v/>
      </c>
      <c r="H96" s="6" t="str">
        <f t="shared" si="4"/>
        <v/>
      </c>
      <c r="I96" s="6" t="str">
        <f t="shared" si="5"/>
        <v/>
      </c>
      <c r="J96" s="6" t="str">
        <f t="shared" si="6"/>
        <v/>
      </c>
      <c r="K96" t="str">
        <f>IFERROR(MATCH(76,Сборка!$R$2:$R$501,0),"")</f>
        <v/>
      </c>
      <c r="L96" t="str">
        <f>IFERROR(IF(INDEX(Сборка!$Q$2:$Q$501,MATCH(76+1,Сборка!$R$2:$R$501,0))=1,INDEX(Сборка!$P$2:$P$501,MATCH(76+1,Сборка!$R$2:$R$501,0)),""),"")</f>
        <v/>
      </c>
      <c r="M96" t="str">
        <f t="shared" si="7"/>
        <v/>
      </c>
    </row>
    <row r="97" spans="1:13" hidden="1" x14ac:dyDescent="0.3">
      <c r="A97" t="str">
        <f>IF(ISNUMBER($K97),INDEX(Сборка!$O$2:$O$501,$K97),"")</f>
        <v/>
      </c>
      <c r="B97" t="str">
        <f>IF(ISNUMBER($K97),INDEX(Сборка!$C$2:$C$501,$K97),"")</f>
        <v/>
      </c>
      <c r="C97" s="5" t="str">
        <f>IF($L97&lt;&gt;"",INDEX(Сборка!$S$2:$S$501,MATCH($L97,Сборка!$P$2:$P$501,0)),IF(ISNUMBER($K97),INDEX(Сборка!$D$2:$D$501,$K97)&amp;IF(INDEX(Сборка!$I$2:$I$501,$K97)&lt;&gt;""," — "&amp;INDEX(Сборка!$I$2:$I$501,$K97),""),""))</f>
        <v/>
      </c>
      <c r="D97" t="str">
        <f>IF(ISNUMBER($K97),INDEX(Сборка!$E$2:$E$501,$K97),"")</f>
        <v/>
      </c>
      <c r="E97" t="str">
        <f>IF(ISNUMBER($K97),INDEX(Сборка!$G$2:$G$501,$K97),"")</f>
        <v/>
      </c>
      <c r="F97" s="6" t="str">
        <f>IF(ISNUMBER($K97),INDEX(Сборка!$J$2:$J$501,$K97),"")</f>
        <v/>
      </c>
      <c r="G97" s="6" t="str">
        <f>IF(ISNUMBER($K97),INDEX(Сборка!$K$2:$K$501,$K97),"")</f>
        <v/>
      </c>
      <c r="H97" s="6" t="str">
        <f t="shared" si="4"/>
        <v/>
      </c>
      <c r="I97" s="6" t="str">
        <f t="shared" si="5"/>
        <v/>
      </c>
      <c r="J97" s="6" t="str">
        <f t="shared" si="6"/>
        <v/>
      </c>
      <c r="K97" t="str">
        <f>IFERROR(MATCH(77,Сборка!$R$2:$R$501,0),"")</f>
        <v/>
      </c>
      <c r="L97" t="str">
        <f>IFERROR(IF(INDEX(Сборка!$Q$2:$Q$501,MATCH(77+1,Сборка!$R$2:$R$501,0))=1,INDEX(Сборка!$P$2:$P$501,MATCH(77+1,Сборка!$R$2:$R$501,0)),""),"")</f>
        <v/>
      </c>
      <c r="M97" t="str">
        <f t="shared" si="7"/>
        <v/>
      </c>
    </row>
    <row r="98" spans="1:13" hidden="1" x14ac:dyDescent="0.3">
      <c r="A98" t="str">
        <f>IF(ISNUMBER($K98),INDEX(Сборка!$O$2:$O$501,$K98),"")</f>
        <v/>
      </c>
      <c r="B98" t="str">
        <f>IF(ISNUMBER($K98),INDEX(Сборка!$C$2:$C$501,$K98),"")</f>
        <v/>
      </c>
      <c r="C98" s="5" t="str">
        <f>IF($L98&lt;&gt;"",INDEX(Сборка!$S$2:$S$501,MATCH($L98,Сборка!$P$2:$P$501,0)),IF(ISNUMBER($K98),INDEX(Сборка!$D$2:$D$501,$K98)&amp;IF(INDEX(Сборка!$I$2:$I$501,$K98)&lt;&gt;""," — "&amp;INDEX(Сборка!$I$2:$I$501,$K98),""),""))</f>
        <v/>
      </c>
      <c r="D98" t="str">
        <f>IF(ISNUMBER($K98),INDEX(Сборка!$E$2:$E$501,$K98),"")</f>
        <v/>
      </c>
      <c r="E98" t="str">
        <f>IF(ISNUMBER($K98),INDEX(Сборка!$G$2:$G$501,$K98),"")</f>
        <v/>
      </c>
      <c r="F98" s="6" t="str">
        <f>IF(ISNUMBER($K98),INDEX(Сборка!$J$2:$J$501,$K98),"")</f>
        <v/>
      </c>
      <c r="G98" s="6" t="str">
        <f>IF(ISNUMBER($K98),INDEX(Сборка!$K$2:$K$501,$K98),"")</f>
        <v/>
      </c>
      <c r="H98" s="6" t="str">
        <f t="shared" si="4"/>
        <v/>
      </c>
      <c r="I98" s="6" t="str">
        <f t="shared" si="5"/>
        <v/>
      </c>
      <c r="J98" s="6" t="str">
        <f t="shared" si="6"/>
        <v/>
      </c>
      <c r="K98" t="str">
        <f>IFERROR(MATCH(78,Сборка!$R$2:$R$501,0),"")</f>
        <v/>
      </c>
      <c r="L98" t="str">
        <f>IFERROR(IF(INDEX(Сборка!$Q$2:$Q$501,MATCH(78+1,Сборка!$R$2:$R$501,0))=1,INDEX(Сборка!$P$2:$P$501,MATCH(78+1,Сборка!$R$2:$R$501,0)),""),"")</f>
        <v/>
      </c>
      <c r="M98" t="str">
        <f t="shared" si="7"/>
        <v/>
      </c>
    </row>
    <row r="99" spans="1:13" hidden="1" x14ac:dyDescent="0.3">
      <c r="A99" t="str">
        <f>IF(ISNUMBER($K99),INDEX(Сборка!$O$2:$O$501,$K99),"")</f>
        <v/>
      </c>
      <c r="B99" t="str">
        <f>IF(ISNUMBER($K99),INDEX(Сборка!$C$2:$C$501,$K99),"")</f>
        <v/>
      </c>
      <c r="C99" s="5" t="str">
        <f>IF($L99&lt;&gt;"",INDEX(Сборка!$S$2:$S$501,MATCH($L99,Сборка!$P$2:$P$501,0)),IF(ISNUMBER($K99),INDEX(Сборка!$D$2:$D$501,$K99)&amp;IF(INDEX(Сборка!$I$2:$I$501,$K99)&lt;&gt;""," — "&amp;INDEX(Сборка!$I$2:$I$501,$K99),""),""))</f>
        <v/>
      </c>
      <c r="D99" t="str">
        <f>IF(ISNUMBER($K99),INDEX(Сборка!$E$2:$E$501,$K99),"")</f>
        <v/>
      </c>
      <c r="E99" t="str">
        <f>IF(ISNUMBER($K99),INDEX(Сборка!$G$2:$G$501,$K99),"")</f>
        <v/>
      </c>
      <c r="F99" s="6" t="str">
        <f>IF(ISNUMBER($K99),INDEX(Сборка!$J$2:$J$501,$K99),"")</f>
        <v/>
      </c>
      <c r="G99" s="6" t="str">
        <f>IF(ISNUMBER($K99),INDEX(Сборка!$K$2:$K$501,$K99),"")</f>
        <v/>
      </c>
      <c r="H99" s="6" t="str">
        <f t="shared" si="4"/>
        <v/>
      </c>
      <c r="I99" s="6" t="str">
        <f t="shared" si="5"/>
        <v/>
      </c>
      <c r="J99" s="6" t="str">
        <f t="shared" si="6"/>
        <v/>
      </c>
      <c r="K99" t="str">
        <f>IFERROR(MATCH(79,Сборка!$R$2:$R$501,0),"")</f>
        <v/>
      </c>
      <c r="L99" t="str">
        <f>IFERROR(IF(INDEX(Сборка!$Q$2:$Q$501,MATCH(79+1,Сборка!$R$2:$R$501,0))=1,INDEX(Сборка!$P$2:$P$501,MATCH(79+1,Сборка!$R$2:$R$501,0)),""),"")</f>
        <v/>
      </c>
      <c r="M99" t="str">
        <f t="shared" si="7"/>
        <v/>
      </c>
    </row>
    <row r="100" spans="1:13" hidden="1" x14ac:dyDescent="0.3">
      <c r="A100" t="str">
        <f>IF(ISNUMBER($K100),INDEX(Сборка!$O$2:$O$501,$K100),"")</f>
        <v/>
      </c>
      <c r="B100" t="str">
        <f>IF(ISNUMBER($K100),INDEX(Сборка!$C$2:$C$501,$K100),"")</f>
        <v/>
      </c>
      <c r="C100" s="5" t="str">
        <f>IF($L100&lt;&gt;"",INDEX(Сборка!$S$2:$S$501,MATCH($L100,Сборка!$P$2:$P$501,0)),IF(ISNUMBER($K100),INDEX(Сборка!$D$2:$D$501,$K100)&amp;IF(INDEX(Сборка!$I$2:$I$501,$K100)&lt;&gt;""," — "&amp;INDEX(Сборка!$I$2:$I$501,$K100),""),""))</f>
        <v/>
      </c>
      <c r="D100" t="str">
        <f>IF(ISNUMBER($K100),INDEX(Сборка!$E$2:$E$501,$K100),"")</f>
        <v/>
      </c>
      <c r="E100" t="str">
        <f>IF(ISNUMBER($K100),INDEX(Сборка!$G$2:$G$501,$K100),"")</f>
        <v/>
      </c>
      <c r="F100" s="6" t="str">
        <f>IF(ISNUMBER($K100),INDEX(Сборка!$J$2:$J$501,$K100),"")</f>
        <v/>
      </c>
      <c r="G100" s="6" t="str">
        <f>IF(ISNUMBER($K100),INDEX(Сборка!$K$2:$K$501,$K100),"")</f>
        <v/>
      </c>
      <c r="H100" s="6" t="str">
        <f t="shared" si="4"/>
        <v/>
      </c>
      <c r="I100" s="6" t="str">
        <f t="shared" si="5"/>
        <v/>
      </c>
      <c r="J100" s="6" t="str">
        <f t="shared" si="6"/>
        <v/>
      </c>
      <c r="K100" t="str">
        <f>IFERROR(MATCH(80,Сборка!$R$2:$R$501,0),"")</f>
        <v/>
      </c>
      <c r="L100" t="str">
        <f>IFERROR(IF(INDEX(Сборка!$Q$2:$Q$501,MATCH(80+1,Сборка!$R$2:$R$501,0))=1,INDEX(Сборка!$P$2:$P$501,MATCH(80+1,Сборка!$R$2:$R$501,0)),""),"")</f>
        <v/>
      </c>
      <c r="M100" t="str">
        <f t="shared" si="7"/>
        <v/>
      </c>
    </row>
    <row r="101" spans="1:13" hidden="1" x14ac:dyDescent="0.3">
      <c r="A101" t="str">
        <f>IF(ISNUMBER($K101),INDEX(Сборка!$O$2:$O$501,$K101),"")</f>
        <v/>
      </c>
      <c r="B101" t="str">
        <f>IF(ISNUMBER($K101),INDEX(Сборка!$C$2:$C$501,$K101),"")</f>
        <v/>
      </c>
      <c r="C101" s="5" t="str">
        <f>IF($L101&lt;&gt;"",INDEX(Сборка!$S$2:$S$501,MATCH($L101,Сборка!$P$2:$P$501,0)),IF(ISNUMBER($K101),INDEX(Сборка!$D$2:$D$501,$K101)&amp;IF(INDEX(Сборка!$I$2:$I$501,$K101)&lt;&gt;""," — "&amp;INDEX(Сборка!$I$2:$I$501,$K101),""),""))</f>
        <v/>
      </c>
      <c r="D101" t="str">
        <f>IF(ISNUMBER($K101),INDEX(Сборка!$E$2:$E$501,$K101),"")</f>
        <v/>
      </c>
      <c r="E101" t="str">
        <f>IF(ISNUMBER($K101),INDEX(Сборка!$G$2:$G$501,$K101),"")</f>
        <v/>
      </c>
      <c r="F101" s="6" t="str">
        <f>IF(ISNUMBER($K101),INDEX(Сборка!$J$2:$J$501,$K101),"")</f>
        <v/>
      </c>
      <c r="G101" s="6" t="str">
        <f>IF(ISNUMBER($K101),INDEX(Сборка!$K$2:$K$501,$K101),"")</f>
        <v/>
      </c>
      <c r="H101" s="6" t="str">
        <f t="shared" si="4"/>
        <v/>
      </c>
      <c r="I101" s="6" t="str">
        <f t="shared" si="5"/>
        <v/>
      </c>
      <c r="J101" s="6" t="str">
        <f t="shared" si="6"/>
        <v/>
      </c>
      <c r="K101" t="str">
        <f>IFERROR(MATCH(81,Сборка!$R$2:$R$501,0),"")</f>
        <v/>
      </c>
      <c r="L101" t="str">
        <f>IFERROR(IF(INDEX(Сборка!$Q$2:$Q$501,MATCH(81+1,Сборка!$R$2:$R$501,0))=1,INDEX(Сборка!$P$2:$P$501,MATCH(81+1,Сборка!$R$2:$R$501,0)),""),"")</f>
        <v/>
      </c>
      <c r="M101" t="str">
        <f t="shared" si="7"/>
        <v/>
      </c>
    </row>
    <row r="102" spans="1:13" hidden="1" x14ac:dyDescent="0.3">
      <c r="A102" t="str">
        <f>IF(ISNUMBER($K102),INDEX(Сборка!$O$2:$O$501,$K102),"")</f>
        <v/>
      </c>
      <c r="B102" t="str">
        <f>IF(ISNUMBER($K102),INDEX(Сборка!$C$2:$C$501,$K102),"")</f>
        <v/>
      </c>
      <c r="C102" s="5" t="str">
        <f>IF($L102&lt;&gt;"",INDEX(Сборка!$S$2:$S$501,MATCH($L102,Сборка!$P$2:$P$501,0)),IF(ISNUMBER($K102),INDEX(Сборка!$D$2:$D$501,$K102)&amp;IF(INDEX(Сборка!$I$2:$I$501,$K102)&lt;&gt;""," — "&amp;INDEX(Сборка!$I$2:$I$501,$K102),""),""))</f>
        <v/>
      </c>
      <c r="D102" t="str">
        <f>IF(ISNUMBER($K102),INDEX(Сборка!$E$2:$E$501,$K102),"")</f>
        <v/>
      </c>
      <c r="E102" t="str">
        <f>IF(ISNUMBER($K102),INDEX(Сборка!$G$2:$G$501,$K102),"")</f>
        <v/>
      </c>
      <c r="F102" s="6" t="str">
        <f>IF(ISNUMBER($K102),INDEX(Сборка!$J$2:$J$501,$K102),"")</f>
        <v/>
      </c>
      <c r="G102" s="6" t="str">
        <f>IF(ISNUMBER($K102),INDEX(Сборка!$K$2:$K$501,$K102),"")</f>
        <v/>
      </c>
      <c r="H102" s="6" t="str">
        <f t="shared" si="4"/>
        <v/>
      </c>
      <c r="I102" s="6" t="str">
        <f t="shared" si="5"/>
        <v/>
      </c>
      <c r="J102" s="6" t="str">
        <f t="shared" si="6"/>
        <v/>
      </c>
      <c r="K102" t="str">
        <f>IFERROR(MATCH(82,Сборка!$R$2:$R$501,0),"")</f>
        <v/>
      </c>
      <c r="L102" t="str">
        <f>IFERROR(IF(INDEX(Сборка!$Q$2:$Q$501,MATCH(82+1,Сборка!$R$2:$R$501,0))=1,INDEX(Сборка!$P$2:$P$501,MATCH(82+1,Сборка!$R$2:$R$501,0)),""),"")</f>
        <v/>
      </c>
      <c r="M102" t="str">
        <f t="shared" si="7"/>
        <v/>
      </c>
    </row>
    <row r="103" spans="1:13" hidden="1" x14ac:dyDescent="0.3">
      <c r="A103" t="str">
        <f>IF(ISNUMBER($K103),INDEX(Сборка!$O$2:$O$501,$K103),"")</f>
        <v/>
      </c>
      <c r="B103" t="str">
        <f>IF(ISNUMBER($K103),INDEX(Сборка!$C$2:$C$501,$K103),"")</f>
        <v/>
      </c>
      <c r="C103" s="5" t="str">
        <f>IF($L103&lt;&gt;"",INDEX(Сборка!$S$2:$S$501,MATCH($L103,Сборка!$P$2:$P$501,0)),IF(ISNUMBER($K103),INDEX(Сборка!$D$2:$D$501,$K103)&amp;IF(INDEX(Сборка!$I$2:$I$501,$K103)&lt;&gt;""," — "&amp;INDEX(Сборка!$I$2:$I$501,$K103),""),""))</f>
        <v/>
      </c>
      <c r="D103" t="str">
        <f>IF(ISNUMBER($K103),INDEX(Сборка!$E$2:$E$501,$K103),"")</f>
        <v/>
      </c>
      <c r="E103" t="str">
        <f>IF(ISNUMBER($K103),INDEX(Сборка!$G$2:$G$501,$K103),"")</f>
        <v/>
      </c>
      <c r="F103" s="6" t="str">
        <f>IF(ISNUMBER($K103),INDEX(Сборка!$J$2:$J$501,$K103),"")</f>
        <v/>
      </c>
      <c r="G103" s="6" t="str">
        <f>IF(ISNUMBER($K103),INDEX(Сборка!$K$2:$K$501,$K103),"")</f>
        <v/>
      </c>
      <c r="H103" s="6" t="str">
        <f t="shared" si="4"/>
        <v/>
      </c>
      <c r="I103" s="6" t="str">
        <f t="shared" si="5"/>
        <v/>
      </c>
      <c r="J103" s="6" t="str">
        <f t="shared" si="6"/>
        <v/>
      </c>
      <c r="K103" t="str">
        <f>IFERROR(MATCH(83,Сборка!$R$2:$R$501,0),"")</f>
        <v/>
      </c>
      <c r="L103" t="str">
        <f>IFERROR(IF(INDEX(Сборка!$Q$2:$Q$501,MATCH(83+1,Сборка!$R$2:$R$501,0))=1,INDEX(Сборка!$P$2:$P$501,MATCH(83+1,Сборка!$R$2:$R$501,0)),""),"")</f>
        <v/>
      </c>
      <c r="M103" t="str">
        <f t="shared" si="7"/>
        <v/>
      </c>
    </row>
    <row r="104" spans="1:13" hidden="1" x14ac:dyDescent="0.3">
      <c r="A104" t="str">
        <f>IF(ISNUMBER($K104),INDEX(Сборка!$O$2:$O$501,$K104),"")</f>
        <v/>
      </c>
      <c r="B104" t="str">
        <f>IF(ISNUMBER($K104),INDEX(Сборка!$C$2:$C$501,$K104),"")</f>
        <v/>
      </c>
      <c r="C104" s="5" t="str">
        <f>IF($L104&lt;&gt;"",INDEX(Сборка!$S$2:$S$501,MATCH($L104,Сборка!$P$2:$P$501,0)),IF(ISNUMBER($K104),INDEX(Сборка!$D$2:$D$501,$K104)&amp;IF(INDEX(Сборка!$I$2:$I$501,$K104)&lt;&gt;""," — "&amp;INDEX(Сборка!$I$2:$I$501,$K104),""),""))</f>
        <v/>
      </c>
      <c r="D104" t="str">
        <f>IF(ISNUMBER($K104),INDEX(Сборка!$E$2:$E$501,$K104),"")</f>
        <v/>
      </c>
      <c r="E104" t="str">
        <f>IF(ISNUMBER($K104),INDEX(Сборка!$G$2:$G$501,$K104),"")</f>
        <v/>
      </c>
      <c r="F104" s="6" t="str">
        <f>IF(ISNUMBER($K104),INDEX(Сборка!$J$2:$J$501,$K104),"")</f>
        <v/>
      </c>
      <c r="G104" s="6" t="str">
        <f>IF(ISNUMBER($K104),INDEX(Сборка!$K$2:$K$501,$K104),"")</f>
        <v/>
      </c>
      <c r="H104" s="6" t="str">
        <f t="shared" si="4"/>
        <v/>
      </c>
      <c r="I104" s="6" t="str">
        <f t="shared" si="5"/>
        <v/>
      </c>
      <c r="J104" s="6" t="str">
        <f t="shared" si="6"/>
        <v/>
      </c>
      <c r="K104" t="str">
        <f>IFERROR(MATCH(84,Сборка!$R$2:$R$501,0),"")</f>
        <v/>
      </c>
      <c r="L104" t="str">
        <f>IFERROR(IF(INDEX(Сборка!$Q$2:$Q$501,MATCH(84+1,Сборка!$R$2:$R$501,0))=1,INDEX(Сборка!$P$2:$P$501,MATCH(84+1,Сборка!$R$2:$R$501,0)),""),"")</f>
        <v/>
      </c>
      <c r="M104" t="str">
        <f t="shared" si="7"/>
        <v/>
      </c>
    </row>
    <row r="105" spans="1:13" hidden="1" x14ac:dyDescent="0.3">
      <c r="A105" t="str">
        <f>IF(ISNUMBER($K105),INDEX(Сборка!$O$2:$O$501,$K105),"")</f>
        <v/>
      </c>
      <c r="B105" t="str">
        <f>IF(ISNUMBER($K105),INDEX(Сборка!$C$2:$C$501,$K105),"")</f>
        <v/>
      </c>
      <c r="C105" s="5" t="str">
        <f>IF($L105&lt;&gt;"",INDEX(Сборка!$S$2:$S$501,MATCH($L105,Сборка!$P$2:$P$501,0)),IF(ISNUMBER($K105),INDEX(Сборка!$D$2:$D$501,$K105)&amp;IF(INDEX(Сборка!$I$2:$I$501,$K105)&lt;&gt;""," — "&amp;INDEX(Сборка!$I$2:$I$501,$K105),""),""))</f>
        <v/>
      </c>
      <c r="D105" t="str">
        <f>IF(ISNUMBER($K105),INDEX(Сборка!$E$2:$E$501,$K105),"")</f>
        <v/>
      </c>
      <c r="E105" t="str">
        <f>IF(ISNUMBER($K105),INDEX(Сборка!$G$2:$G$501,$K105),"")</f>
        <v/>
      </c>
      <c r="F105" s="6" t="str">
        <f>IF(ISNUMBER($K105),INDEX(Сборка!$J$2:$J$501,$K105),"")</f>
        <v/>
      </c>
      <c r="G105" s="6" t="str">
        <f>IF(ISNUMBER($K105),INDEX(Сборка!$K$2:$K$501,$K105),"")</f>
        <v/>
      </c>
      <c r="H105" s="6" t="str">
        <f t="shared" si="4"/>
        <v/>
      </c>
      <c r="I105" s="6" t="str">
        <f t="shared" si="5"/>
        <v/>
      </c>
      <c r="J105" s="6" t="str">
        <f t="shared" si="6"/>
        <v/>
      </c>
      <c r="K105" t="str">
        <f>IFERROR(MATCH(85,Сборка!$R$2:$R$501,0),"")</f>
        <v/>
      </c>
      <c r="L105" t="str">
        <f>IFERROR(IF(INDEX(Сборка!$Q$2:$Q$501,MATCH(85+1,Сборка!$R$2:$R$501,0))=1,INDEX(Сборка!$P$2:$P$501,MATCH(85+1,Сборка!$R$2:$R$501,0)),""),"")</f>
        <v/>
      </c>
      <c r="M105" t="str">
        <f t="shared" si="7"/>
        <v/>
      </c>
    </row>
    <row r="106" spans="1:13" hidden="1" x14ac:dyDescent="0.3">
      <c r="A106" t="str">
        <f>IF(ISNUMBER($K106),INDEX(Сборка!$O$2:$O$501,$K106),"")</f>
        <v/>
      </c>
      <c r="B106" t="str">
        <f>IF(ISNUMBER($K106),INDEX(Сборка!$C$2:$C$501,$K106),"")</f>
        <v/>
      </c>
      <c r="C106" s="5" t="str">
        <f>IF($L106&lt;&gt;"",INDEX(Сборка!$S$2:$S$501,MATCH($L106,Сборка!$P$2:$P$501,0)),IF(ISNUMBER($K106),INDEX(Сборка!$D$2:$D$501,$K106)&amp;IF(INDEX(Сборка!$I$2:$I$501,$K106)&lt;&gt;""," — "&amp;INDEX(Сборка!$I$2:$I$501,$K106),""),""))</f>
        <v/>
      </c>
      <c r="D106" t="str">
        <f>IF(ISNUMBER($K106),INDEX(Сборка!$E$2:$E$501,$K106),"")</f>
        <v/>
      </c>
      <c r="E106" t="str">
        <f>IF(ISNUMBER($K106),INDEX(Сборка!$G$2:$G$501,$K106),"")</f>
        <v/>
      </c>
      <c r="F106" s="6" t="str">
        <f>IF(ISNUMBER($K106),INDEX(Сборка!$J$2:$J$501,$K106),"")</f>
        <v/>
      </c>
      <c r="G106" s="6" t="str">
        <f>IF(ISNUMBER($K106),INDEX(Сборка!$K$2:$K$501,$K106),"")</f>
        <v/>
      </c>
      <c r="H106" s="6" t="str">
        <f t="shared" si="4"/>
        <v/>
      </c>
      <c r="I106" s="6" t="str">
        <f t="shared" si="5"/>
        <v/>
      </c>
      <c r="J106" s="6" t="str">
        <f t="shared" si="6"/>
        <v/>
      </c>
      <c r="K106" t="str">
        <f>IFERROR(MATCH(86,Сборка!$R$2:$R$501,0),"")</f>
        <v/>
      </c>
      <c r="L106" t="str">
        <f>IFERROR(IF(INDEX(Сборка!$Q$2:$Q$501,MATCH(86+1,Сборка!$R$2:$R$501,0))=1,INDEX(Сборка!$P$2:$P$501,MATCH(86+1,Сборка!$R$2:$R$501,0)),""),"")</f>
        <v/>
      </c>
      <c r="M106" t="str">
        <f t="shared" si="7"/>
        <v/>
      </c>
    </row>
    <row r="107" spans="1:13" hidden="1" x14ac:dyDescent="0.3">
      <c r="A107" t="str">
        <f>IF(ISNUMBER($K107),INDEX(Сборка!$O$2:$O$501,$K107),"")</f>
        <v/>
      </c>
      <c r="B107" t="str">
        <f>IF(ISNUMBER($K107),INDEX(Сборка!$C$2:$C$501,$K107),"")</f>
        <v/>
      </c>
      <c r="C107" s="5" t="str">
        <f>IF($L107&lt;&gt;"",INDEX(Сборка!$S$2:$S$501,MATCH($L107,Сборка!$P$2:$P$501,0)),IF(ISNUMBER($K107),INDEX(Сборка!$D$2:$D$501,$K107)&amp;IF(INDEX(Сборка!$I$2:$I$501,$K107)&lt;&gt;""," — "&amp;INDEX(Сборка!$I$2:$I$501,$K107),""),""))</f>
        <v/>
      </c>
      <c r="D107" t="str">
        <f>IF(ISNUMBER($K107),INDEX(Сборка!$E$2:$E$501,$K107),"")</f>
        <v/>
      </c>
      <c r="E107" t="str">
        <f>IF(ISNUMBER($K107),INDEX(Сборка!$G$2:$G$501,$K107),"")</f>
        <v/>
      </c>
      <c r="F107" s="6" t="str">
        <f>IF(ISNUMBER($K107),INDEX(Сборка!$J$2:$J$501,$K107),"")</f>
        <v/>
      </c>
      <c r="G107" s="6" t="str">
        <f>IF(ISNUMBER($K107),INDEX(Сборка!$K$2:$K$501,$K107),"")</f>
        <v/>
      </c>
      <c r="H107" s="6" t="str">
        <f t="shared" si="4"/>
        <v/>
      </c>
      <c r="I107" s="6" t="str">
        <f t="shared" si="5"/>
        <v/>
      </c>
      <c r="J107" s="6" t="str">
        <f t="shared" si="6"/>
        <v/>
      </c>
      <c r="K107" t="str">
        <f>IFERROR(MATCH(87,Сборка!$R$2:$R$501,0),"")</f>
        <v/>
      </c>
      <c r="L107" t="str">
        <f>IFERROR(IF(INDEX(Сборка!$Q$2:$Q$501,MATCH(87+1,Сборка!$R$2:$R$501,0))=1,INDEX(Сборка!$P$2:$P$501,MATCH(87+1,Сборка!$R$2:$R$501,0)),""),"")</f>
        <v/>
      </c>
      <c r="M107" t="str">
        <f t="shared" si="7"/>
        <v/>
      </c>
    </row>
    <row r="108" spans="1:13" hidden="1" x14ac:dyDescent="0.3">
      <c r="A108" t="str">
        <f>IF(ISNUMBER($K108),INDEX(Сборка!$O$2:$O$501,$K108),"")</f>
        <v/>
      </c>
      <c r="B108" t="str">
        <f>IF(ISNUMBER($K108),INDEX(Сборка!$C$2:$C$501,$K108),"")</f>
        <v/>
      </c>
      <c r="C108" s="5" t="str">
        <f>IF($L108&lt;&gt;"",INDEX(Сборка!$S$2:$S$501,MATCH($L108,Сборка!$P$2:$P$501,0)),IF(ISNUMBER($K108),INDEX(Сборка!$D$2:$D$501,$K108)&amp;IF(INDEX(Сборка!$I$2:$I$501,$K108)&lt;&gt;""," — "&amp;INDEX(Сборка!$I$2:$I$501,$K108),""),""))</f>
        <v/>
      </c>
      <c r="D108" t="str">
        <f>IF(ISNUMBER($K108),INDEX(Сборка!$E$2:$E$501,$K108),"")</f>
        <v/>
      </c>
      <c r="E108" t="str">
        <f>IF(ISNUMBER($K108),INDEX(Сборка!$G$2:$G$501,$K108),"")</f>
        <v/>
      </c>
      <c r="F108" s="6" t="str">
        <f>IF(ISNUMBER($K108),INDEX(Сборка!$J$2:$J$501,$K108),"")</f>
        <v/>
      </c>
      <c r="G108" s="6" t="str">
        <f>IF(ISNUMBER($K108),INDEX(Сборка!$K$2:$K$501,$K108),"")</f>
        <v/>
      </c>
      <c r="H108" s="6" t="str">
        <f t="shared" si="4"/>
        <v/>
      </c>
      <c r="I108" s="6" t="str">
        <f t="shared" si="5"/>
        <v/>
      </c>
      <c r="J108" s="6" t="str">
        <f t="shared" si="6"/>
        <v/>
      </c>
      <c r="K108" t="str">
        <f>IFERROR(MATCH(88,Сборка!$R$2:$R$501,0),"")</f>
        <v/>
      </c>
      <c r="L108" t="str">
        <f>IFERROR(IF(INDEX(Сборка!$Q$2:$Q$501,MATCH(88+1,Сборка!$R$2:$R$501,0))=1,INDEX(Сборка!$P$2:$P$501,MATCH(88+1,Сборка!$R$2:$R$501,0)),""),"")</f>
        <v/>
      </c>
      <c r="M108" t="str">
        <f t="shared" si="7"/>
        <v/>
      </c>
    </row>
    <row r="109" spans="1:13" hidden="1" x14ac:dyDescent="0.3">
      <c r="A109" t="str">
        <f>IF(ISNUMBER($K109),INDEX(Сборка!$O$2:$O$501,$K109),"")</f>
        <v/>
      </c>
      <c r="B109" t="str">
        <f>IF(ISNUMBER($K109),INDEX(Сборка!$C$2:$C$501,$K109),"")</f>
        <v/>
      </c>
      <c r="C109" s="5" t="str">
        <f>IF($L109&lt;&gt;"",INDEX(Сборка!$S$2:$S$501,MATCH($L109,Сборка!$P$2:$P$501,0)),IF(ISNUMBER($K109),INDEX(Сборка!$D$2:$D$501,$K109)&amp;IF(INDEX(Сборка!$I$2:$I$501,$K109)&lt;&gt;""," — "&amp;INDEX(Сборка!$I$2:$I$501,$K109),""),""))</f>
        <v/>
      </c>
      <c r="D109" t="str">
        <f>IF(ISNUMBER($K109),INDEX(Сборка!$E$2:$E$501,$K109),"")</f>
        <v/>
      </c>
      <c r="E109" t="str">
        <f>IF(ISNUMBER($K109),INDEX(Сборка!$G$2:$G$501,$K109),"")</f>
        <v/>
      </c>
      <c r="F109" s="6" t="str">
        <f>IF(ISNUMBER($K109),INDEX(Сборка!$J$2:$J$501,$K109),"")</f>
        <v/>
      </c>
      <c r="G109" s="6" t="str">
        <f>IF(ISNUMBER($K109),INDEX(Сборка!$K$2:$K$501,$K109),"")</f>
        <v/>
      </c>
      <c r="H109" s="6" t="str">
        <f t="shared" si="4"/>
        <v/>
      </c>
      <c r="I109" s="6" t="str">
        <f t="shared" si="5"/>
        <v/>
      </c>
      <c r="J109" s="6" t="str">
        <f t="shared" si="6"/>
        <v/>
      </c>
      <c r="K109" t="str">
        <f>IFERROR(MATCH(89,Сборка!$R$2:$R$501,0),"")</f>
        <v/>
      </c>
      <c r="L109" t="str">
        <f>IFERROR(IF(INDEX(Сборка!$Q$2:$Q$501,MATCH(89+1,Сборка!$R$2:$R$501,0))=1,INDEX(Сборка!$P$2:$P$501,MATCH(89+1,Сборка!$R$2:$R$501,0)),""),"")</f>
        <v/>
      </c>
      <c r="M109" t="str">
        <f t="shared" si="7"/>
        <v/>
      </c>
    </row>
    <row r="110" spans="1:13" hidden="1" x14ac:dyDescent="0.3">
      <c r="A110" t="str">
        <f>IF(ISNUMBER($K110),INDEX(Сборка!$O$2:$O$501,$K110),"")</f>
        <v/>
      </c>
      <c r="B110" t="str">
        <f>IF(ISNUMBER($K110),INDEX(Сборка!$C$2:$C$501,$K110),"")</f>
        <v/>
      </c>
      <c r="C110" s="5" t="str">
        <f>IF($L110&lt;&gt;"",INDEX(Сборка!$S$2:$S$501,MATCH($L110,Сборка!$P$2:$P$501,0)),IF(ISNUMBER($K110),INDEX(Сборка!$D$2:$D$501,$K110)&amp;IF(INDEX(Сборка!$I$2:$I$501,$K110)&lt;&gt;""," — "&amp;INDEX(Сборка!$I$2:$I$501,$K110),""),""))</f>
        <v/>
      </c>
      <c r="D110" t="str">
        <f>IF(ISNUMBER($K110),INDEX(Сборка!$E$2:$E$501,$K110),"")</f>
        <v/>
      </c>
      <c r="E110" t="str">
        <f>IF(ISNUMBER($K110),INDEX(Сборка!$G$2:$G$501,$K110),"")</f>
        <v/>
      </c>
      <c r="F110" s="6" t="str">
        <f>IF(ISNUMBER($K110),INDEX(Сборка!$J$2:$J$501,$K110),"")</f>
        <v/>
      </c>
      <c r="G110" s="6" t="str">
        <f>IF(ISNUMBER($K110),INDEX(Сборка!$K$2:$K$501,$K110),"")</f>
        <v/>
      </c>
      <c r="H110" s="6" t="str">
        <f t="shared" si="4"/>
        <v/>
      </c>
      <c r="I110" s="6" t="str">
        <f t="shared" si="5"/>
        <v/>
      </c>
      <c r="J110" s="6" t="str">
        <f t="shared" si="6"/>
        <v/>
      </c>
      <c r="K110" t="str">
        <f>IFERROR(MATCH(90,Сборка!$R$2:$R$501,0),"")</f>
        <v/>
      </c>
      <c r="L110" t="str">
        <f>IFERROR(IF(INDEX(Сборка!$Q$2:$Q$501,MATCH(90+1,Сборка!$R$2:$R$501,0))=1,INDEX(Сборка!$P$2:$P$501,MATCH(90+1,Сборка!$R$2:$R$501,0)),""),"")</f>
        <v/>
      </c>
      <c r="M110" t="str">
        <f t="shared" si="7"/>
        <v/>
      </c>
    </row>
    <row r="111" spans="1:13" hidden="1" x14ac:dyDescent="0.3">
      <c r="A111" t="str">
        <f>IF(ISNUMBER($K111),INDEX(Сборка!$O$2:$O$501,$K111),"")</f>
        <v/>
      </c>
      <c r="B111" t="str">
        <f>IF(ISNUMBER($K111),INDEX(Сборка!$C$2:$C$501,$K111),"")</f>
        <v/>
      </c>
      <c r="C111" s="5" t="str">
        <f>IF($L111&lt;&gt;"",INDEX(Сборка!$S$2:$S$501,MATCH($L111,Сборка!$P$2:$P$501,0)),IF(ISNUMBER($K111),INDEX(Сборка!$D$2:$D$501,$K111)&amp;IF(INDEX(Сборка!$I$2:$I$501,$K111)&lt;&gt;""," — "&amp;INDEX(Сборка!$I$2:$I$501,$K111),""),""))</f>
        <v/>
      </c>
      <c r="D111" t="str">
        <f>IF(ISNUMBER($K111),INDEX(Сборка!$E$2:$E$501,$K111),"")</f>
        <v/>
      </c>
      <c r="E111" t="str">
        <f>IF(ISNUMBER($K111),INDEX(Сборка!$G$2:$G$501,$K111),"")</f>
        <v/>
      </c>
      <c r="F111" s="6" t="str">
        <f>IF(ISNUMBER($K111),INDEX(Сборка!$J$2:$J$501,$K111),"")</f>
        <v/>
      </c>
      <c r="G111" s="6" t="str">
        <f>IF(ISNUMBER($K111),INDEX(Сборка!$K$2:$K$501,$K111),"")</f>
        <v/>
      </c>
      <c r="H111" s="6" t="str">
        <f t="shared" si="4"/>
        <v/>
      </c>
      <c r="I111" s="6" t="str">
        <f t="shared" si="5"/>
        <v/>
      </c>
      <c r="J111" s="6" t="str">
        <f t="shared" si="6"/>
        <v/>
      </c>
      <c r="K111" t="str">
        <f>IFERROR(MATCH(91,Сборка!$R$2:$R$501,0),"")</f>
        <v/>
      </c>
      <c r="L111" t="str">
        <f>IFERROR(IF(INDEX(Сборка!$Q$2:$Q$501,MATCH(91+1,Сборка!$R$2:$R$501,0))=1,INDEX(Сборка!$P$2:$P$501,MATCH(91+1,Сборка!$R$2:$R$501,0)),""),"")</f>
        <v/>
      </c>
      <c r="M111" t="str">
        <f t="shared" si="7"/>
        <v/>
      </c>
    </row>
    <row r="112" spans="1:13" hidden="1" x14ac:dyDescent="0.3">
      <c r="A112" t="str">
        <f>IF(ISNUMBER($K112),INDEX(Сборка!$O$2:$O$501,$K112),"")</f>
        <v/>
      </c>
      <c r="B112" t="str">
        <f>IF(ISNUMBER($K112),INDEX(Сборка!$C$2:$C$501,$K112),"")</f>
        <v/>
      </c>
      <c r="C112" s="5" t="str">
        <f>IF($L112&lt;&gt;"",INDEX(Сборка!$S$2:$S$501,MATCH($L112,Сборка!$P$2:$P$501,0)),IF(ISNUMBER($K112),INDEX(Сборка!$D$2:$D$501,$K112)&amp;IF(INDEX(Сборка!$I$2:$I$501,$K112)&lt;&gt;""," — "&amp;INDEX(Сборка!$I$2:$I$501,$K112),""),""))</f>
        <v/>
      </c>
      <c r="D112" t="str">
        <f>IF(ISNUMBER($K112),INDEX(Сборка!$E$2:$E$501,$K112),"")</f>
        <v/>
      </c>
      <c r="E112" t="str">
        <f>IF(ISNUMBER($K112),INDEX(Сборка!$G$2:$G$501,$K112),"")</f>
        <v/>
      </c>
      <c r="F112" s="6" t="str">
        <f>IF(ISNUMBER($K112),INDEX(Сборка!$J$2:$J$501,$K112),"")</f>
        <v/>
      </c>
      <c r="G112" s="6" t="str">
        <f>IF(ISNUMBER($K112),INDEX(Сборка!$K$2:$K$501,$K112),"")</f>
        <v/>
      </c>
      <c r="H112" s="6" t="str">
        <f t="shared" si="4"/>
        <v/>
      </c>
      <c r="I112" s="6" t="str">
        <f t="shared" si="5"/>
        <v/>
      </c>
      <c r="J112" s="6" t="str">
        <f t="shared" si="6"/>
        <v/>
      </c>
      <c r="K112" t="str">
        <f>IFERROR(MATCH(92,Сборка!$R$2:$R$501,0),"")</f>
        <v/>
      </c>
      <c r="L112" t="str">
        <f>IFERROR(IF(INDEX(Сборка!$Q$2:$Q$501,MATCH(92+1,Сборка!$R$2:$R$501,0))=1,INDEX(Сборка!$P$2:$P$501,MATCH(92+1,Сборка!$R$2:$R$501,0)),""),"")</f>
        <v/>
      </c>
      <c r="M112" t="str">
        <f t="shared" si="7"/>
        <v/>
      </c>
    </row>
    <row r="113" spans="1:13" hidden="1" x14ac:dyDescent="0.3">
      <c r="A113" t="str">
        <f>IF(ISNUMBER($K113),INDEX(Сборка!$O$2:$O$501,$K113),"")</f>
        <v/>
      </c>
      <c r="B113" t="str">
        <f>IF(ISNUMBER($K113),INDEX(Сборка!$C$2:$C$501,$K113),"")</f>
        <v/>
      </c>
      <c r="C113" s="5" t="str">
        <f>IF($L113&lt;&gt;"",INDEX(Сборка!$S$2:$S$501,MATCH($L113,Сборка!$P$2:$P$501,0)),IF(ISNUMBER($K113),INDEX(Сборка!$D$2:$D$501,$K113)&amp;IF(INDEX(Сборка!$I$2:$I$501,$K113)&lt;&gt;""," — "&amp;INDEX(Сборка!$I$2:$I$501,$K113),""),""))</f>
        <v/>
      </c>
      <c r="D113" t="str">
        <f>IF(ISNUMBER($K113),INDEX(Сборка!$E$2:$E$501,$K113),"")</f>
        <v/>
      </c>
      <c r="E113" t="str">
        <f>IF(ISNUMBER($K113),INDEX(Сборка!$G$2:$G$501,$K113),"")</f>
        <v/>
      </c>
      <c r="F113" s="6" t="str">
        <f>IF(ISNUMBER($K113),INDEX(Сборка!$J$2:$J$501,$K113),"")</f>
        <v/>
      </c>
      <c r="G113" s="6" t="str">
        <f>IF(ISNUMBER($K113),INDEX(Сборка!$K$2:$K$501,$K113),"")</f>
        <v/>
      </c>
      <c r="H113" s="6" t="str">
        <f t="shared" si="4"/>
        <v/>
      </c>
      <c r="I113" s="6" t="str">
        <f t="shared" si="5"/>
        <v/>
      </c>
      <c r="J113" s="6" t="str">
        <f t="shared" si="6"/>
        <v/>
      </c>
      <c r="K113" t="str">
        <f>IFERROR(MATCH(93,Сборка!$R$2:$R$501,0),"")</f>
        <v/>
      </c>
      <c r="L113" t="str">
        <f>IFERROR(IF(INDEX(Сборка!$Q$2:$Q$501,MATCH(93+1,Сборка!$R$2:$R$501,0))=1,INDEX(Сборка!$P$2:$P$501,MATCH(93+1,Сборка!$R$2:$R$501,0)),""),"")</f>
        <v/>
      </c>
      <c r="M113" t="str">
        <f t="shared" si="7"/>
        <v/>
      </c>
    </row>
    <row r="114" spans="1:13" hidden="1" x14ac:dyDescent="0.3">
      <c r="A114" t="str">
        <f>IF(ISNUMBER($K114),INDEX(Сборка!$O$2:$O$501,$K114),"")</f>
        <v/>
      </c>
      <c r="B114" t="str">
        <f>IF(ISNUMBER($K114),INDEX(Сборка!$C$2:$C$501,$K114),"")</f>
        <v/>
      </c>
      <c r="C114" s="5" t="str">
        <f>IF($L114&lt;&gt;"",INDEX(Сборка!$S$2:$S$501,MATCH($L114,Сборка!$P$2:$P$501,0)),IF(ISNUMBER($K114),INDEX(Сборка!$D$2:$D$501,$K114)&amp;IF(INDEX(Сборка!$I$2:$I$501,$K114)&lt;&gt;""," — "&amp;INDEX(Сборка!$I$2:$I$501,$K114),""),""))</f>
        <v/>
      </c>
      <c r="D114" t="str">
        <f>IF(ISNUMBER($K114),INDEX(Сборка!$E$2:$E$501,$K114),"")</f>
        <v/>
      </c>
      <c r="E114" t="str">
        <f>IF(ISNUMBER($K114),INDEX(Сборка!$G$2:$G$501,$K114),"")</f>
        <v/>
      </c>
      <c r="F114" s="6" t="str">
        <f>IF(ISNUMBER($K114),INDEX(Сборка!$J$2:$J$501,$K114),"")</f>
        <v/>
      </c>
      <c r="G114" s="6" t="str">
        <f>IF(ISNUMBER($K114),INDEX(Сборка!$K$2:$K$501,$K114),"")</f>
        <v/>
      </c>
      <c r="H114" s="6" t="str">
        <f t="shared" si="4"/>
        <v/>
      </c>
      <c r="I114" s="6" t="str">
        <f t="shared" si="5"/>
        <v/>
      </c>
      <c r="J114" s="6" t="str">
        <f t="shared" si="6"/>
        <v/>
      </c>
      <c r="K114" t="str">
        <f>IFERROR(MATCH(94,Сборка!$R$2:$R$501,0),"")</f>
        <v/>
      </c>
      <c r="L114" t="str">
        <f>IFERROR(IF(INDEX(Сборка!$Q$2:$Q$501,MATCH(94+1,Сборка!$R$2:$R$501,0))=1,INDEX(Сборка!$P$2:$P$501,MATCH(94+1,Сборка!$R$2:$R$501,0)),""),"")</f>
        <v/>
      </c>
      <c r="M114" t="str">
        <f t="shared" si="7"/>
        <v/>
      </c>
    </row>
    <row r="115" spans="1:13" hidden="1" x14ac:dyDescent="0.3">
      <c r="A115" t="str">
        <f>IF(ISNUMBER($K115),INDEX(Сборка!$O$2:$O$501,$K115),"")</f>
        <v/>
      </c>
      <c r="B115" t="str">
        <f>IF(ISNUMBER($K115),INDEX(Сборка!$C$2:$C$501,$K115),"")</f>
        <v/>
      </c>
      <c r="C115" s="5" t="str">
        <f>IF($L115&lt;&gt;"",INDEX(Сборка!$S$2:$S$501,MATCH($L115,Сборка!$P$2:$P$501,0)),IF(ISNUMBER($K115),INDEX(Сборка!$D$2:$D$501,$K115)&amp;IF(INDEX(Сборка!$I$2:$I$501,$K115)&lt;&gt;""," — "&amp;INDEX(Сборка!$I$2:$I$501,$K115),""),""))</f>
        <v/>
      </c>
      <c r="D115" t="str">
        <f>IF(ISNUMBER($K115),INDEX(Сборка!$E$2:$E$501,$K115),"")</f>
        <v/>
      </c>
      <c r="E115" t="str">
        <f>IF(ISNUMBER($K115),INDEX(Сборка!$G$2:$G$501,$K115),"")</f>
        <v/>
      </c>
      <c r="F115" s="6" t="str">
        <f>IF(ISNUMBER($K115),INDEX(Сборка!$J$2:$J$501,$K115),"")</f>
        <v/>
      </c>
      <c r="G115" s="6" t="str">
        <f>IF(ISNUMBER($K115),INDEX(Сборка!$K$2:$K$501,$K115),"")</f>
        <v/>
      </c>
      <c r="H115" s="6" t="str">
        <f t="shared" si="4"/>
        <v/>
      </c>
      <c r="I115" s="6" t="str">
        <f t="shared" si="5"/>
        <v/>
      </c>
      <c r="J115" s="6" t="str">
        <f t="shared" si="6"/>
        <v/>
      </c>
      <c r="K115" t="str">
        <f>IFERROR(MATCH(95,Сборка!$R$2:$R$501,0),"")</f>
        <v/>
      </c>
      <c r="L115" t="str">
        <f>IFERROR(IF(INDEX(Сборка!$Q$2:$Q$501,MATCH(95+1,Сборка!$R$2:$R$501,0))=1,INDEX(Сборка!$P$2:$P$501,MATCH(95+1,Сборка!$R$2:$R$501,0)),""),"")</f>
        <v/>
      </c>
      <c r="M115" t="str">
        <f t="shared" si="7"/>
        <v/>
      </c>
    </row>
    <row r="116" spans="1:13" hidden="1" x14ac:dyDescent="0.3">
      <c r="A116" t="str">
        <f>IF(ISNUMBER($K116),INDEX(Сборка!$O$2:$O$501,$K116),"")</f>
        <v/>
      </c>
      <c r="B116" t="str">
        <f>IF(ISNUMBER($K116),INDEX(Сборка!$C$2:$C$501,$K116),"")</f>
        <v/>
      </c>
      <c r="C116" s="5" t="str">
        <f>IF($L116&lt;&gt;"",INDEX(Сборка!$S$2:$S$501,MATCH($L116,Сборка!$P$2:$P$501,0)),IF(ISNUMBER($K116),INDEX(Сборка!$D$2:$D$501,$K116)&amp;IF(INDEX(Сборка!$I$2:$I$501,$K116)&lt;&gt;""," — "&amp;INDEX(Сборка!$I$2:$I$501,$K116),""),""))</f>
        <v/>
      </c>
      <c r="D116" t="str">
        <f>IF(ISNUMBER($K116),INDEX(Сборка!$E$2:$E$501,$K116),"")</f>
        <v/>
      </c>
      <c r="E116" t="str">
        <f>IF(ISNUMBER($K116),INDEX(Сборка!$G$2:$G$501,$K116),"")</f>
        <v/>
      </c>
      <c r="F116" s="6" t="str">
        <f>IF(ISNUMBER($K116),INDEX(Сборка!$J$2:$J$501,$K116),"")</f>
        <v/>
      </c>
      <c r="G116" s="6" t="str">
        <f>IF(ISNUMBER($K116),INDEX(Сборка!$K$2:$K$501,$K116),"")</f>
        <v/>
      </c>
      <c r="H116" s="6" t="str">
        <f t="shared" si="4"/>
        <v/>
      </c>
      <c r="I116" s="6" t="str">
        <f t="shared" si="5"/>
        <v/>
      </c>
      <c r="J116" s="6" t="str">
        <f t="shared" si="6"/>
        <v/>
      </c>
      <c r="K116" t="str">
        <f>IFERROR(MATCH(96,Сборка!$R$2:$R$501,0),"")</f>
        <v/>
      </c>
      <c r="L116" t="str">
        <f>IFERROR(IF(INDEX(Сборка!$Q$2:$Q$501,MATCH(96+1,Сборка!$R$2:$R$501,0))=1,INDEX(Сборка!$P$2:$P$501,MATCH(96+1,Сборка!$R$2:$R$501,0)),""),"")</f>
        <v/>
      </c>
      <c r="M116" t="str">
        <f t="shared" si="7"/>
        <v/>
      </c>
    </row>
    <row r="117" spans="1:13" hidden="1" x14ac:dyDescent="0.3">
      <c r="A117" t="str">
        <f>IF(ISNUMBER($K117),INDEX(Сборка!$O$2:$O$501,$K117),"")</f>
        <v/>
      </c>
      <c r="B117" t="str">
        <f>IF(ISNUMBER($K117),INDEX(Сборка!$C$2:$C$501,$K117),"")</f>
        <v/>
      </c>
      <c r="C117" s="5" t="str">
        <f>IF($L117&lt;&gt;"",INDEX(Сборка!$S$2:$S$501,MATCH($L117,Сборка!$P$2:$P$501,0)),IF(ISNUMBER($K117),INDEX(Сборка!$D$2:$D$501,$K117)&amp;IF(INDEX(Сборка!$I$2:$I$501,$K117)&lt;&gt;""," — "&amp;INDEX(Сборка!$I$2:$I$501,$K117),""),""))</f>
        <v/>
      </c>
      <c r="D117" t="str">
        <f>IF(ISNUMBER($K117),INDEX(Сборка!$E$2:$E$501,$K117),"")</f>
        <v/>
      </c>
      <c r="E117" t="str">
        <f>IF(ISNUMBER($K117),INDEX(Сборка!$G$2:$G$501,$K117),"")</f>
        <v/>
      </c>
      <c r="F117" s="6" t="str">
        <f>IF(ISNUMBER($K117),INDEX(Сборка!$J$2:$J$501,$K117),"")</f>
        <v/>
      </c>
      <c r="G117" s="6" t="str">
        <f>IF(ISNUMBER($K117),INDEX(Сборка!$K$2:$K$501,$K117),"")</f>
        <v/>
      </c>
      <c r="H117" s="6" t="str">
        <f t="shared" si="4"/>
        <v/>
      </c>
      <c r="I117" s="6" t="str">
        <f t="shared" si="5"/>
        <v/>
      </c>
      <c r="J117" s="6" t="str">
        <f t="shared" si="6"/>
        <v/>
      </c>
      <c r="K117" t="str">
        <f>IFERROR(MATCH(97,Сборка!$R$2:$R$501,0),"")</f>
        <v/>
      </c>
      <c r="L117" t="str">
        <f>IFERROR(IF(INDEX(Сборка!$Q$2:$Q$501,MATCH(97+1,Сборка!$R$2:$R$501,0))=1,INDEX(Сборка!$P$2:$P$501,MATCH(97+1,Сборка!$R$2:$R$501,0)),""),"")</f>
        <v/>
      </c>
      <c r="M117" t="str">
        <f t="shared" si="7"/>
        <v/>
      </c>
    </row>
    <row r="118" spans="1:13" hidden="1" x14ac:dyDescent="0.3">
      <c r="A118" t="str">
        <f>IF(ISNUMBER($K118),INDEX(Сборка!$O$2:$O$501,$K118),"")</f>
        <v/>
      </c>
      <c r="B118" t="str">
        <f>IF(ISNUMBER($K118),INDEX(Сборка!$C$2:$C$501,$K118),"")</f>
        <v/>
      </c>
      <c r="C118" s="5" t="str">
        <f>IF($L118&lt;&gt;"",INDEX(Сборка!$S$2:$S$501,MATCH($L118,Сборка!$P$2:$P$501,0)),IF(ISNUMBER($K118),INDEX(Сборка!$D$2:$D$501,$K118)&amp;IF(INDEX(Сборка!$I$2:$I$501,$K118)&lt;&gt;""," — "&amp;INDEX(Сборка!$I$2:$I$501,$K118),""),""))</f>
        <v/>
      </c>
      <c r="D118" t="str">
        <f>IF(ISNUMBER($K118),INDEX(Сборка!$E$2:$E$501,$K118),"")</f>
        <v/>
      </c>
      <c r="E118" t="str">
        <f>IF(ISNUMBER($K118),INDEX(Сборка!$G$2:$G$501,$K118),"")</f>
        <v/>
      </c>
      <c r="F118" s="6" t="str">
        <f>IF(ISNUMBER($K118),INDEX(Сборка!$J$2:$J$501,$K118),"")</f>
        <v/>
      </c>
      <c r="G118" s="6" t="str">
        <f>IF(ISNUMBER($K118),INDEX(Сборка!$K$2:$K$501,$K118),"")</f>
        <v/>
      </c>
      <c r="H118" s="6" t="str">
        <f t="shared" si="4"/>
        <v/>
      </c>
      <c r="I118" s="6" t="str">
        <f t="shared" si="5"/>
        <v/>
      </c>
      <c r="J118" s="6" t="str">
        <f t="shared" si="6"/>
        <v/>
      </c>
      <c r="K118" t="str">
        <f>IFERROR(MATCH(98,Сборка!$R$2:$R$501,0),"")</f>
        <v/>
      </c>
      <c r="L118" t="str">
        <f>IFERROR(IF(INDEX(Сборка!$Q$2:$Q$501,MATCH(98+1,Сборка!$R$2:$R$501,0))=1,INDEX(Сборка!$P$2:$P$501,MATCH(98+1,Сборка!$R$2:$R$501,0)),""),"")</f>
        <v/>
      </c>
      <c r="M118" t="str">
        <f t="shared" si="7"/>
        <v/>
      </c>
    </row>
    <row r="119" spans="1:13" hidden="1" x14ac:dyDescent="0.3">
      <c r="A119" t="str">
        <f>IF(ISNUMBER($K119),INDEX(Сборка!$O$2:$O$501,$K119),"")</f>
        <v/>
      </c>
      <c r="B119" t="str">
        <f>IF(ISNUMBER($K119),INDEX(Сборка!$C$2:$C$501,$K119),"")</f>
        <v/>
      </c>
      <c r="C119" s="5" t="str">
        <f>IF($L119&lt;&gt;"",INDEX(Сборка!$S$2:$S$501,MATCH($L119,Сборка!$P$2:$P$501,0)),IF(ISNUMBER($K119),INDEX(Сборка!$D$2:$D$501,$K119)&amp;IF(INDEX(Сборка!$I$2:$I$501,$K119)&lt;&gt;""," — "&amp;INDEX(Сборка!$I$2:$I$501,$K119),""),""))</f>
        <v/>
      </c>
      <c r="D119" t="str">
        <f>IF(ISNUMBER($K119),INDEX(Сборка!$E$2:$E$501,$K119),"")</f>
        <v/>
      </c>
      <c r="E119" t="str">
        <f>IF(ISNUMBER($K119),INDEX(Сборка!$G$2:$G$501,$K119),"")</f>
        <v/>
      </c>
      <c r="F119" s="6" t="str">
        <f>IF(ISNUMBER($K119),INDEX(Сборка!$J$2:$J$501,$K119),"")</f>
        <v/>
      </c>
      <c r="G119" s="6" t="str">
        <f>IF(ISNUMBER($K119),INDEX(Сборка!$K$2:$K$501,$K119),"")</f>
        <v/>
      </c>
      <c r="H119" s="6" t="str">
        <f t="shared" si="4"/>
        <v/>
      </c>
      <c r="I119" s="6" t="str">
        <f t="shared" si="5"/>
        <v/>
      </c>
      <c r="J119" s="6" t="str">
        <f t="shared" si="6"/>
        <v/>
      </c>
      <c r="K119" t="str">
        <f>IFERROR(MATCH(99,Сборка!$R$2:$R$501,0),"")</f>
        <v/>
      </c>
      <c r="L119" t="str">
        <f>IFERROR(IF(INDEX(Сборка!$Q$2:$Q$501,MATCH(99+1,Сборка!$R$2:$R$501,0))=1,INDEX(Сборка!$P$2:$P$501,MATCH(99+1,Сборка!$R$2:$R$501,0)),""),"")</f>
        <v/>
      </c>
      <c r="M119" t="str">
        <f t="shared" si="7"/>
        <v/>
      </c>
    </row>
    <row r="120" spans="1:13" hidden="1" x14ac:dyDescent="0.3">
      <c r="A120" t="str">
        <f>IF(ISNUMBER($K120),INDEX(Сборка!$O$2:$O$501,$K120),"")</f>
        <v/>
      </c>
      <c r="B120" t="str">
        <f>IF(ISNUMBER($K120),INDEX(Сборка!$C$2:$C$501,$K120),"")</f>
        <v/>
      </c>
      <c r="C120" s="5" t="str">
        <f>IF($L120&lt;&gt;"",INDEX(Сборка!$S$2:$S$501,MATCH($L120,Сборка!$P$2:$P$501,0)),IF(ISNUMBER($K120),INDEX(Сборка!$D$2:$D$501,$K120)&amp;IF(INDEX(Сборка!$I$2:$I$501,$K120)&lt;&gt;""," — "&amp;INDEX(Сборка!$I$2:$I$501,$K120),""),""))</f>
        <v/>
      </c>
      <c r="D120" t="str">
        <f>IF(ISNUMBER($K120),INDEX(Сборка!$E$2:$E$501,$K120),"")</f>
        <v/>
      </c>
      <c r="E120" t="str">
        <f>IF(ISNUMBER($K120),INDEX(Сборка!$G$2:$G$501,$K120),"")</f>
        <v/>
      </c>
      <c r="F120" s="6" t="str">
        <f>IF(ISNUMBER($K120),INDEX(Сборка!$J$2:$J$501,$K120),"")</f>
        <v/>
      </c>
      <c r="G120" s="6" t="str">
        <f>IF(ISNUMBER($K120),INDEX(Сборка!$K$2:$K$501,$K120),"")</f>
        <v/>
      </c>
      <c r="H120" s="6" t="str">
        <f t="shared" si="4"/>
        <v/>
      </c>
      <c r="I120" s="6" t="str">
        <f t="shared" si="5"/>
        <v/>
      </c>
      <c r="J120" s="6" t="str">
        <f t="shared" si="6"/>
        <v/>
      </c>
      <c r="K120" t="str">
        <f>IFERROR(MATCH(100,Сборка!$R$2:$R$501,0),"")</f>
        <v/>
      </c>
      <c r="L120" t="str">
        <f>IFERROR(IF(INDEX(Сборка!$Q$2:$Q$501,MATCH(100+1,Сборка!$R$2:$R$501,0))=1,INDEX(Сборка!$P$2:$P$501,MATCH(100+1,Сборка!$R$2:$R$501,0)),""),"")</f>
        <v/>
      </c>
      <c r="M120" t="str">
        <f t="shared" si="7"/>
        <v/>
      </c>
    </row>
    <row r="121" spans="1:13" hidden="1" x14ac:dyDescent="0.3">
      <c r="A121" t="str">
        <f>IF(ISNUMBER($K121),INDEX(Сборка!$O$2:$O$501,$K121),"")</f>
        <v/>
      </c>
      <c r="B121" t="str">
        <f>IF(ISNUMBER($K121),INDEX(Сборка!$C$2:$C$501,$K121),"")</f>
        <v/>
      </c>
      <c r="C121" s="5" t="str">
        <f>IF($L121&lt;&gt;"",INDEX(Сборка!$S$2:$S$501,MATCH($L121,Сборка!$P$2:$P$501,0)),IF(ISNUMBER($K121),INDEX(Сборка!$D$2:$D$501,$K121)&amp;IF(INDEX(Сборка!$I$2:$I$501,$K121)&lt;&gt;""," — "&amp;INDEX(Сборка!$I$2:$I$501,$K121),""),""))</f>
        <v/>
      </c>
      <c r="D121" t="str">
        <f>IF(ISNUMBER($K121),INDEX(Сборка!$E$2:$E$501,$K121),"")</f>
        <v/>
      </c>
      <c r="E121" t="str">
        <f>IF(ISNUMBER($K121),INDEX(Сборка!$G$2:$G$501,$K121),"")</f>
        <v/>
      </c>
      <c r="F121" s="6" t="str">
        <f>IF(ISNUMBER($K121),INDEX(Сборка!$J$2:$J$501,$K121),"")</f>
        <v/>
      </c>
      <c r="G121" s="6" t="str">
        <f>IF(ISNUMBER($K121),INDEX(Сборка!$K$2:$K$501,$K121),"")</f>
        <v/>
      </c>
      <c r="H121" s="6" t="str">
        <f t="shared" si="4"/>
        <v/>
      </c>
      <c r="I121" s="6" t="str">
        <f t="shared" si="5"/>
        <v/>
      </c>
      <c r="J121" s="6" t="str">
        <f t="shared" si="6"/>
        <v/>
      </c>
      <c r="K121" t="str">
        <f>IFERROR(MATCH(101,Сборка!$R$2:$R$501,0),"")</f>
        <v/>
      </c>
      <c r="L121" t="str">
        <f>IFERROR(IF(INDEX(Сборка!$Q$2:$Q$501,MATCH(101+1,Сборка!$R$2:$R$501,0))=1,INDEX(Сборка!$P$2:$P$501,MATCH(101+1,Сборка!$R$2:$R$501,0)),""),"")</f>
        <v/>
      </c>
      <c r="M121" t="str">
        <f t="shared" si="7"/>
        <v/>
      </c>
    </row>
    <row r="122" spans="1:13" hidden="1" x14ac:dyDescent="0.3">
      <c r="A122" t="str">
        <f>IF(ISNUMBER($K122),INDEX(Сборка!$O$2:$O$501,$K122),"")</f>
        <v/>
      </c>
      <c r="B122" t="str">
        <f>IF(ISNUMBER($K122),INDEX(Сборка!$C$2:$C$501,$K122),"")</f>
        <v/>
      </c>
      <c r="C122" s="5" t="str">
        <f>IF($L122&lt;&gt;"",INDEX(Сборка!$S$2:$S$501,MATCH($L122,Сборка!$P$2:$P$501,0)),IF(ISNUMBER($K122),INDEX(Сборка!$D$2:$D$501,$K122)&amp;IF(INDEX(Сборка!$I$2:$I$501,$K122)&lt;&gt;""," — "&amp;INDEX(Сборка!$I$2:$I$501,$K122),""),""))</f>
        <v/>
      </c>
      <c r="D122" t="str">
        <f>IF(ISNUMBER($K122),INDEX(Сборка!$E$2:$E$501,$K122),"")</f>
        <v/>
      </c>
      <c r="E122" t="str">
        <f>IF(ISNUMBER($K122),INDEX(Сборка!$G$2:$G$501,$K122),"")</f>
        <v/>
      </c>
      <c r="F122" s="6" t="str">
        <f>IF(ISNUMBER($K122),INDEX(Сборка!$J$2:$J$501,$K122),"")</f>
        <v/>
      </c>
      <c r="G122" s="6" t="str">
        <f>IF(ISNUMBER($K122),INDEX(Сборка!$K$2:$K$501,$K122),"")</f>
        <v/>
      </c>
      <c r="H122" s="6" t="str">
        <f t="shared" si="4"/>
        <v/>
      </c>
      <c r="I122" s="6" t="str">
        <f t="shared" si="5"/>
        <v/>
      </c>
      <c r="J122" s="6" t="str">
        <f t="shared" si="6"/>
        <v/>
      </c>
      <c r="K122" t="str">
        <f>IFERROR(MATCH(102,Сборка!$R$2:$R$501,0),"")</f>
        <v/>
      </c>
      <c r="L122" t="str">
        <f>IFERROR(IF(INDEX(Сборка!$Q$2:$Q$501,MATCH(102+1,Сборка!$R$2:$R$501,0))=1,INDEX(Сборка!$P$2:$P$501,MATCH(102+1,Сборка!$R$2:$R$501,0)),""),"")</f>
        <v/>
      </c>
      <c r="M122" t="str">
        <f t="shared" si="7"/>
        <v/>
      </c>
    </row>
    <row r="123" spans="1:13" hidden="1" x14ac:dyDescent="0.3">
      <c r="A123" t="str">
        <f>IF(ISNUMBER($K123),INDEX(Сборка!$O$2:$O$501,$K123),"")</f>
        <v/>
      </c>
      <c r="B123" t="str">
        <f>IF(ISNUMBER($K123),INDEX(Сборка!$C$2:$C$501,$K123),"")</f>
        <v/>
      </c>
      <c r="C123" s="5" t="str">
        <f>IF($L123&lt;&gt;"",INDEX(Сборка!$S$2:$S$501,MATCH($L123,Сборка!$P$2:$P$501,0)),IF(ISNUMBER($K123),INDEX(Сборка!$D$2:$D$501,$K123)&amp;IF(INDEX(Сборка!$I$2:$I$501,$K123)&lt;&gt;""," — "&amp;INDEX(Сборка!$I$2:$I$501,$K123),""),""))</f>
        <v/>
      </c>
      <c r="D123" t="str">
        <f>IF(ISNUMBER($K123),INDEX(Сборка!$E$2:$E$501,$K123),"")</f>
        <v/>
      </c>
      <c r="E123" t="str">
        <f>IF(ISNUMBER($K123),INDEX(Сборка!$G$2:$G$501,$K123),"")</f>
        <v/>
      </c>
      <c r="F123" s="6" t="str">
        <f>IF(ISNUMBER($K123),INDEX(Сборка!$J$2:$J$501,$K123),"")</f>
        <v/>
      </c>
      <c r="G123" s="6" t="str">
        <f>IF(ISNUMBER($K123),INDEX(Сборка!$K$2:$K$501,$K123),"")</f>
        <v/>
      </c>
      <c r="H123" s="6" t="str">
        <f t="shared" si="4"/>
        <v/>
      </c>
      <c r="I123" s="6" t="str">
        <f t="shared" si="5"/>
        <v/>
      </c>
      <c r="J123" s="6" t="str">
        <f t="shared" si="6"/>
        <v/>
      </c>
      <c r="K123" t="str">
        <f>IFERROR(MATCH(103,Сборка!$R$2:$R$501,0),"")</f>
        <v/>
      </c>
      <c r="L123" t="str">
        <f>IFERROR(IF(INDEX(Сборка!$Q$2:$Q$501,MATCH(103+1,Сборка!$R$2:$R$501,0))=1,INDEX(Сборка!$P$2:$P$501,MATCH(103+1,Сборка!$R$2:$R$501,0)),""),"")</f>
        <v/>
      </c>
      <c r="M123" t="str">
        <f t="shared" si="7"/>
        <v/>
      </c>
    </row>
    <row r="124" spans="1:13" hidden="1" x14ac:dyDescent="0.3">
      <c r="A124" t="str">
        <f>IF(ISNUMBER($K124),INDEX(Сборка!$O$2:$O$501,$K124),"")</f>
        <v/>
      </c>
      <c r="B124" t="str">
        <f>IF(ISNUMBER($K124),INDEX(Сборка!$C$2:$C$501,$K124),"")</f>
        <v/>
      </c>
      <c r="C124" s="5" t="str">
        <f>IF($L124&lt;&gt;"",INDEX(Сборка!$S$2:$S$501,MATCH($L124,Сборка!$P$2:$P$501,0)),IF(ISNUMBER($K124),INDEX(Сборка!$D$2:$D$501,$K124)&amp;IF(INDEX(Сборка!$I$2:$I$501,$K124)&lt;&gt;""," — "&amp;INDEX(Сборка!$I$2:$I$501,$K124),""),""))</f>
        <v/>
      </c>
      <c r="D124" t="str">
        <f>IF(ISNUMBER($K124),INDEX(Сборка!$E$2:$E$501,$K124),"")</f>
        <v/>
      </c>
      <c r="E124" t="str">
        <f>IF(ISNUMBER($K124),INDEX(Сборка!$G$2:$G$501,$K124),"")</f>
        <v/>
      </c>
      <c r="F124" s="6" t="str">
        <f>IF(ISNUMBER($K124),INDEX(Сборка!$J$2:$J$501,$K124),"")</f>
        <v/>
      </c>
      <c r="G124" s="6" t="str">
        <f>IF(ISNUMBER($K124),INDEX(Сборка!$K$2:$K$501,$K124),"")</f>
        <v/>
      </c>
      <c r="H124" s="6" t="str">
        <f t="shared" si="4"/>
        <v/>
      </c>
      <c r="I124" s="6" t="str">
        <f t="shared" si="5"/>
        <v/>
      </c>
      <c r="J124" s="6" t="str">
        <f t="shared" si="6"/>
        <v/>
      </c>
      <c r="K124" t="str">
        <f>IFERROR(MATCH(104,Сборка!$R$2:$R$501,0),"")</f>
        <v/>
      </c>
      <c r="L124" t="str">
        <f>IFERROR(IF(INDEX(Сборка!$Q$2:$Q$501,MATCH(104+1,Сборка!$R$2:$R$501,0))=1,INDEX(Сборка!$P$2:$P$501,MATCH(104+1,Сборка!$R$2:$R$501,0)),""),"")</f>
        <v/>
      </c>
      <c r="M124" t="str">
        <f t="shared" si="7"/>
        <v/>
      </c>
    </row>
    <row r="125" spans="1:13" hidden="1" x14ac:dyDescent="0.3">
      <c r="A125" t="str">
        <f>IF(ISNUMBER($K125),INDEX(Сборка!$O$2:$O$501,$K125),"")</f>
        <v/>
      </c>
      <c r="B125" t="str">
        <f>IF(ISNUMBER($K125),INDEX(Сборка!$C$2:$C$501,$K125),"")</f>
        <v/>
      </c>
      <c r="C125" s="5" t="str">
        <f>IF($L125&lt;&gt;"",INDEX(Сборка!$S$2:$S$501,MATCH($L125,Сборка!$P$2:$P$501,0)),IF(ISNUMBER($K125),INDEX(Сборка!$D$2:$D$501,$K125)&amp;IF(INDEX(Сборка!$I$2:$I$501,$K125)&lt;&gt;""," — "&amp;INDEX(Сборка!$I$2:$I$501,$K125),""),""))</f>
        <v/>
      </c>
      <c r="D125" t="str">
        <f>IF(ISNUMBER($K125),INDEX(Сборка!$E$2:$E$501,$K125),"")</f>
        <v/>
      </c>
      <c r="E125" t="str">
        <f>IF(ISNUMBER($K125),INDEX(Сборка!$G$2:$G$501,$K125),"")</f>
        <v/>
      </c>
      <c r="F125" s="6" t="str">
        <f>IF(ISNUMBER($K125),INDEX(Сборка!$J$2:$J$501,$K125),"")</f>
        <v/>
      </c>
      <c r="G125" s="6" t="str">
        <f>IF(ISNUMBER($K125),INDEX(Сборка!$K$2:$K$501,$K125),"")</f>
        <v/>
      </c>
      <c r="H125" s="6" t="str">
        <f t="shared" si="4"/>
        <v/>
      </c>
      <c r="I125" s="6" t="str">
        <f t="shared" si="5"/>
        <v/>
      </c>
      <c r="J125" s="6" t="str">
        <f t="shared" si="6"/>
        <v/>
      </c>
      <c r="K125" t="str">
        <f>IFERROR(MATCH(105,Сборка!$R$2:$R$501,0),"")</f>
        <v/>
      </c>
      <c r="L125" t="str">
        <f>IFERROR(IF(INDEX(Сборка!$Q$2:$Q$501,MATCH(105+1,Сборка!$R$2:$R$501,0))=1,INDEX(Сборка!$P$2:$P$501,MATCH(105+1,Сборка!$R$2:$R$501,0)),""),"")</f>
        <v/>
      </c>
      <c r="M125" t="str">
        <f t="shared" si="7"/>
        <v/>
      </c>
    </row>
    <row r="126" spans="1:13" hidden="1" x14ac:dyDescent="0.3">
      <c r="A126" t="str">
        <f>IF(ISNUMBER($K126),INDEX(Сборка!$O$2:$O$501,$K126),"")</f>
        <v/>
      </c>
      <c r="B126" t="str">
        <f>IF(ISNUMBER($K126),INDEX(Сборка!$C$2:$C$501,$K126),"")</f>
        <v/>
      </c>
      <c r="C126" s="5" t="str">
        <f>IF($L126&lt;&gt;"",INDEX(Сборка!$S$2:$S$501,MATCH($L126,Сборка!$P$2:$P$501,0)),IF(ISNUMBER($K126),INDEX(Сборка!$D$2:$D$501,$K126)&amp;IF(INDEX(Сборка!$I$2:$I$501,$K126)&lt;&gt;""," — "&amp;INDEX(Сборка!$I$2:$I$501,$K126),""),""))</f>
        <v/>
      </c>
      <c r="D126" t="str">
        <f>IF(ISNUMBER($K126),INDEX(Сборка!$E$2:$E$501,$K126),"")</f>
        <v/>
      </c>
      <c r="E126" t="str">
        <f>IF(ISNUMBER($K126),INDEX(Сборка!$G$2:$G$501,$K126),"")</f>
        <v/>
      </c>
      <c r="F126" s="6" t="str">
        <f>IF(ISNUMBER($K126),INDEX(Сборка!$J$2:$J$501,$K126),"")</f>
        <v/>
      </c>
      <c r="G126" s="6" t="str">
        <f>IF(ISNUMBER($K126),INDEX(Сборка!$K$2:$K$501,$K126),"")</f>
        <v/>
      </c>
      <c r="H126" s="6" t="str">
        <f t="shared" si="4"/>
        <v/>
      </c>
      <c r="I126" s="6" t="str">
        <f t="shared" si="5"/>
        <v/>
      </c>
      <c r="J126" s="6" t="str">
        <f t="shared" si="6"/>
        <v/>
      </c>
      <c r="K126" t="str">
        <f>IFERROR(MATCH(106,Сборка!$R$2:$R$501,0),"")</f>
        <v/>
      </c>
      <c r="L126" t="str">
        <f>IFERROR(IF(INDEX(Сборка!$Q$2:$Q$501,MATCH(106+1,Сборка!$R$2:$R$501,0))=1,INDEX(Сборка!$P$2:$P$501,MATCH(106+1,Сборка!$R$2:$R$501,0)),""),"")</f>
        <v/>
      </c>
      <c r="M126" t="str">
        <f t="shared" si="7"/>
        <v/>
      </c>
    </row>
    <row r="127" spans="1:13" hidden="1" x14ac:dyDescent="0.3">
      <c r="A127" t="str">
        <f>IF(ISNUMBER($K127),INDEX(Сборка!$O$2:$O$501,$K127),"")</f>
        <v/>
      </c>
      <c r="B127" t="str">
        <f>IF(ISNUMBER($K127),INDEX(Сборка!$C$2:$C$501,$K127),"")</f>
        <v/>
      </c>
      <c r="C127" s="5" t="str">
        <f>IF($L127&lt;&gt;"",INDEX(Сборка!$S$2:$S$501,MATCH($L127,Сборка!$P$2:$P$501,0)),IF(ISNUMBER($K127),INDEX(Сборка!$D$2:$D$501,$K127)&amp;IF(INDEX(Сборка!$I$2:$I$501,$K127)&lt;&gt;""," — "&amp;INDEX(Сборка!$I$2:$I$501,$K127),""),""))</f>
        <v/>
      </c>
      <c r="D127" t="str">
        <f>IF(ISNUMBER($K127),INDEX(Сборка!$E$2:$E$501,$K127),"")</f>
        <v/>
      </c>
      <c r="E127" t="str">
        <f>IF(ISNUMBER($K127),INDEX(Сборка!$G$2:$G$501,$K127),"")</f>
        <v/>
      </c>
      <c r="F127" s="6" t="str">
        <f>IF(ISNUMBER($K127),INDEX(Сборка!$J$2:$J$501,$K127),"")</f>
        <v/>
      </c>
      <c r="G127" s="6" t="str">
        <f>IF(ISNUMBER($K127),INDEX(Сборка!$K$2:$K$501,$K127),"")</f>
        <v/>
      </c>
      <c r="H127" s="6" t="str">
        <f t="shared" si="4"/>
        <v/>
      </c>
      <c r="I127" s="6" t="str">
        <f t="shared" si="5"/>
        <v/>
      </c>
      <c r="J127" s="6" t="str">
        <f t="shared" si="6"/>
        <v/>
      </c>
      <c r="K127" t="str">
        <f>IFERROR(MATCH(107,Сборка!$R$2:$R$501,0),"")</f>
        <v/>
      </c>
      <c r="L127" t="str">
        <f>IFERROR(IF(INDEX(Сборка!$Q$2:$Q$501,MATCH(107+1,Сборка!$R$2:$R$501,0))=1,INDEX(Сборка!$P$2:$P$501,MATCH(107+1,Сборка!$R$2:$R$501,0)),""),"")</f>
        <v/>
      </c>
      <c r="M127" t="str">
        <f t="shared" si="7"/>
        <v/>
      </c>
    </row>
    <row r="128" spans="1:13" hidden="1" x14ac:dyDescent="0.3">
      <c r="A128" t="str">
        <f>IF(ISNUMBER($K128),INDEX(Сборка!$O$2:$O$501,$K128),"")</f>
        <v/>
      </c>
      <c r="B128" t="str">
        <f>IF(ISNUMBER($K128),INDEX(Сборка!$C$2:$C$501,$K128),"")</f>
        <v/>
      </c>
      <c r="C128" s="5" t="str">
        <f>IF($L128&lt;&gt;"",INDEX(Сборка!$S$2:$S$501,MATCH($L128,Сборка!$P$2:$P$501,0)),IF(ISNUMBER($K128),INDEX(Сборка!$D$2:$D$501,$K128)&amp;IF(INDEX(Сборка!$I$2:$I$501,$K128)&lt;&gt;""," — "&amp;INDEX(Сборка!$I$2:$I$501,$K128),""),""))</f>
        <v/>
      </c>
      <c r="D128" t="str">
        <f>IF(ISNUMBER($K128),INDEX(Сборка!$E$2:$E$501,$K128),"")</f>
        <v/>
      </c>
      <c r="E128" t="str">
        <f>IF(ISNUMBER($K128),INDEX(Сборка!$G$2:$G$501,$K128),"")</f>
        <v/>
      </c>
      <c r="F128" s="6" t="str">
        <f>IF(ISNUMBER($K128),INDEX(Сборка!$J$2:$J$501,$K128),"")</f>
        <v/>
      </c>
      <c r="G128" s="6" t="str">
        <f>IF(ISNUMBER($K128),INDEX(Сборка!$K$2:$K$501,$K128),"")</f>
        <v/>
      </c>
      <c r="H128" s="6" t="str">
        <f t="shared" si="4"/>
        <v/>
      </c>
      <c r="I128" s="6" t="str">
        <f t="shared" si="5"/>
        <v/>
      </c>
      <c r="J128" s="6" t="str">
        <f t="shared" si="6"/>
        <v/>
      </c>
      <c r="K128" t="str">
        <f>IFERROR(MATCH(108,Сборка!$R$2:$R$501,0),"")</f>
        <v/>
      </c>
      <c r="L128" t="str">
        <f>IFERROR(IF(INDEX(Сборка!$Q$2:$Q$501,MATCH(108+1,Сборка!$R$2:$R$501,0))=1,INDEX(Сборка!$P$2:$P$501,MATCH(108+1,Сборка!$R$2:$R$501,0)),""),"")</f>
        <v/>
      </c>
      <c r="M128" t="str">
        <f t="shared" si="7"/>
        <v/>
      </c>
    </row>
    <row r="129" spans="1:13" hidden="1" x14ac:dyDescent="0.3">
      <c r="A129" t="str">
        <f>IF(ISNUMBER($K129),INDEX(Сборка!$O$2:$O$501,$K129),"")</f>
        <v/>
      </c>
      <c r="B129" t="str">
        <f>IF(ISNUMBER($K129),INDEX(Сборка!$C$2:$C$501,$K129),"")</f>
        <v/>
      </c>
      <c r="C129" s="5" t="str">
        <f>IF($L129&lt;&gt;"",INDEX(Сборка!$S$2:$S$501,MATCH($L129,Сборка!$P$2:$P$501,0)),IF(ISNUMBER($K129),INDEX(Сборка!$D$2:$D$501,$K129)&amp;IF(INDEX(Сборка!$I$2:$I$501,$K129)&lt;&gt;""," — "&amp;INDEX(Сборка!$I$2:$I$501,$K129),""),""))</f>
        <v/>
      </c>
      <c r="D129" t="str">
        <f>IF(ISNUMBER($K129),INDEX(Сборка!$E$2:$E$501,$K129),"")</f>
        <v/>
      </c>
      <c r="E129" t="str">
        <f>IF(ISNUMBER($K129),INDEX(Сборка!$G$2:$G$501,$K129),"")</f>
        <v/>
      </c>
      <c r="F129" s="6" t="str">
        <f>IF(ISNUMBER($K129),INDEX(Сборка!$J$2:$J$501,$K129),"")</f>
        <v/>
      </c>
      <c r="G129" s="6" t="str">
        <f>IF(ISNUMBER($K129),INDEX(Сборка!$K$2:$K$501,$K129),"")</f>
        <v/>
      </c>
      <c r="H129" s="6" t="str">
        <f t="shared" si="4"/>
        <v/>
      </c>
      <c r="I129" s="6" t="str">
        <f t="shared" si="5"/>
        <v/>
      </c>
      <c r="J129" s="6" t="str">
        <f t="shared" si="6"/>
        <v/>
      </c>
      <c r="K129" t="str">
        <f>IFERROR(MATCH(109,Сборка!$R$2:$R$501,0),"")</f>
        <v/>
      </c>
      <c r="L129" t="str">
        <f>IFERROR(IF(INDEX(Сборка!$Q$2:$Q$501,MATCH(109+1,Сборка!$R$2:$R$501,0))=1,INDEX(Сборка!$P$2:$P$501,MATCH(109+1,Сборка!$R$2:$R$501,0)),""),"")</f>
        <v/>
      </c>
      <c r="M129" t="str">
        <f t="shared" si="7"/>
        <v/>
      </c>
    </row>
    <row r="130" spans="1:13" hidden="1" x14ac:dyDescent="0.3">
      <c r="A130" t="str">
        <f>IF(ISNUMBER($K130),INDEX(Сборка!$O$2:$O$501,$K130),"")</f>
        <v/>
      </c>
      <c r="B130" t="str">
        <f>IF(ISNUMBER($K130),INDEX(Сборка!$C$2:$C$501,$K130),"")</f>
        <v/>
      </c>
      <c r="C130" s="5" t="str">
        <f>IF($L130&lt;&gt;"",INDEX(Сборка!$S$2:$S$501,MATCH($L130,Сборка!$P$2:$P$501,0)),IF(ISNUMBER($K130),INDEX(Сборка!$D$2:$D$501,$K130)&amp;IF(INDEX(Сборка!$I$2:$I$501,$K130)&lt;&gt;""," — "&amp;INDEX(Сборка!$I$2:$I$501,$K130),""),""))</f>
        <v/>
      </c>
      <c r="D130" t="str">
        <f>IF(ISNUMBER($K130),INDEX(Сборка!$E$2:$E$501,$K130),"")</f>
        <v/>
      </c>
      <c r="E130" t="str">
        <f>IF(ISNUMBER($K130),INDEX(Сборка!$G$2:$G$501,$K130),"")</f>
        <v/>
      </c>
      <c r="F130" s="6" t="str">
        <f>IF(ISNUMBER($K130),INDEX(Сборка!$J$2:$J$501,$K130),"")</f>
        <v/>
      </c>
      <c r="G130" s="6" t="str">
        <f>IF(ISNUMBER($K130),INDEX(Сборка!$K$2:$K$501,$K130),"")</f>
        <v/>
      </c>
      <c r="H130" s="6" t="str">
        <f t="shared" si="4"/>
        <v/>
      </c>
      <c r="I130" s="6" t="str">
        <f t="shared" si="5"/>
        <v/>
      </c>
      <c r="J130" s="6" t="str">
        <f t="shared" si="6"/>
        <v/>
      </c>
      <c r="K130" t="str">
        <f>IFERROR(MATCH(110,Сборка!$R$2:$R$501,0),"")</f>
        <v/>
      </c>
      <c r="L130" t="str">
        <f>IFERROR(IF(INDEX(Сборка!$Q$2:$Q$501,MATCH(110+1,Сборка!$R$2:$R$501,0))=1,INDEX(Сборка!$P$2:$P$501,MATCH(110+1,Сборка!$R$2:$R$501,0)),""),"")</f>
        <v/>
      </c>
      <c r="M130" t="str">
        <f t="shared" si="7"/>
        <v/>
      </c>
    </row>
    <row r="131" spans="1:13" hidden="1" x14ac:dyDescent="0.3">
      <c r="A131" t="str">
        <f>IF(ISNUMBER($K131),INDEX(Сборка!$O$2:$O$501,$K131),"")</f>
        <v/>
      </c>
      <c r="B131" t="str">
        <f>IF(ISNUMBER($K131),INDEX(Сборка!$C$2:$C$501,$K131),"")</f>
        <v/>
      </c>
      <c r="C131" s="5" t="str">
        <f>IF($L131&lt;&gt;"",INDEX(Сборка!$S$2:$S$501,MATCH($L131,Сборка!$P$2:$P$501,0)),IF(ISNUMBER($K131),INDEX(Сборка!$D$2:$D$501,$K131)&amp;IF(INDEX(Сборка!$I$2:$I$501,$K131)&lt;&gt;""," — "&amp;INDEX(Сборка!$I$2:$I$501,$K131),""),""))</f>
        <v/>
      </c>
      <c r="D131" t="str">
        <f>IF(ISNUMBER($K131),INDEX(Сборка!$E$2:$E$501,$K131),"")</f>
        <v/>
      </c>
      <c r="E131" t="str">
        <f>IF(ISNUMBER($K131),INDEX(Сборка!$G$2:$G$501,$K131),"")</f>
        <v/>
      </c>
      <c r="F131" s="6" t="str">
        <f>IF(ISNUMBER($K131),INDEX(Сборка!$J$2:$J$501,$K131),"")</f>
        <v/>
      </c>
      <c r="G131" s="6" t="str">
        <f>IF(ISNUMBER($K131),INDEX(Сборка!$K$2:$K$501,$K131),"")</f>
        <v/>
      </c>
      <c r="H131" s="6" t="str">
        <f t="shared" si="4"/>
        <v/>
      </c>
      <c r="I131" s="6" t="str">
        <f t="shared" si="5"/>
        <v/>
      </c>
      <c r="J131" s="6" t="str">
        <f t="shared" si="6"/>
        <v/>
      </c>
      <c r="K131" t="str">
        <f>IFERROR(MATCH(111,Сборка!$R$2:$R$501,0),"")</f>
        <v/>
      </c>
      <c r="L131" t="str">
        <f>IFERROR(IF(INDEX(Сборка!$Q$2:$Q$501,MATCH(111+1,Сборка!$R$2:$R$501,0))=1,INDEX(Сборка!$P$2:$P$501,MATCH(111+1,Сборка!$R$2:$R$501,0)),""),"")</f>
        <v/>
      </c>
      <c r="M131" t="str">
        <f t="shared" si="7"/>
        <v/>
      </c>
    </row>
    <row r="132" spans="1:13" hidden="1" x14ac:dyDescent="0.3">
      <c r="A132" t="str">
        <f>IF(ISNUMBER($K132),INDEX(Сборка!$O$2:$O$501,$K132),"")</f>
        <v/>
      </c>
      <c r="B132" t="str">
        <f>IF(ISNUMBER($K132),INDEX(Сборка!$C$2:$C$501,$K132),"")</f>
        <v/>
      </c>
      <c r="C132" s="5" t="str">
        <f>IF($L132&lt;&gt;"",INDEX(Сборка!$S$2:$S$501,MATCH($L132,Сборка!$P$2:$P$501,0)),IF(ISNUMBER($K132),INDEX(Сборка!$D$2:$D$501,$K132)&amp;IF(INDEX(Сборка!$I$2:$I$501,$K132)&lt;&gt;""," — "&amp;INDEX(Сборка!$I$2:$I$501,$K132),""),""))</f>
        <v/>
      </c>
      <c r="D132" t="str">
        <f>IF(ISNUMBER($K132),INDEX(Сборка!$E$2:$E$501,$K132),"")</f>
        <v/>
      </c>
      <c r="E132" t="str">
        <f>IF(ISNUMBER($K132),INDEX(Сборка!$G$2:$G$501,$K132),"")</f>
        <v/>
      </c>
      <c r="F132" s="6" t="str">
        <f>IF(ISNUMBER($K132),INDEX(Сборка!$J$2:$J$501,$K132),"")</f>
        <v/>
      </c>
      <c r="G132" s="6" t="str">
        <f>IF(ISNUMBER($K132),INDEX(Сборка!$K$2:$K$501,$K132),"")</f>
        <v/>
      </c>
      <c r="H132" s="6" t="str">
        <f t="shared" si="4"/>
        <v/>
      </c>
      <c r="I132" s="6" t="str">
        <f t="shared" si="5"/>
        <v/>
      </c>
      <c r="J132" s="6" t="str">
        <f t="shared" si="6"/>
        <v/>
      </c>
      <c r="K132" t="str">
        <f>IFERROR(MATCH(112,Сборка!$R$2:$R$501,0),"")</f>
        <v/>
      </c>
      <c r="L132" t="str">
        <f>IFERROR(IF(INDEX(Сборка!$Q$2:$Q$501,MATCH(112+1,Сборка!$R$2:$R$501,0))=1,INDEX(Сборка!$P$2:$P$501,MATCH(112+1,Сборка!$R$2:$R$501,0)),""),"")</f>
        <v/>
      </c>
      <c r="M132" t="str">
        <f t="shared" si="7"/>
        <v/>
      </c>
    </row>
    <row r="133" spans="1:13" hidden="1" x14ac:dyDescent="0.3">
      <c r="A133" t="str">
        <f>IF(ISNUMBER($K133),INDEX(Сборка!$O$2:$O$501,$K133),"")</f>
        <v/>
      </c>
      <c r="B133" t="str">
        <f>IF(ISNUMBER($K133),INDEX(Сборка!$C$2:$C$501,$K133),"")</f>
        <v/>
      </c>
      <c r="C133" s="5" t="str">
        <f>IF($L133&lt;&gt;"",INDEX(Сборка!$S$2:$S$501,MATCH($L133,Сборка!$P$2:$P$501,0)),IF(ISNUMBER($K133),INDEX(Сборка!$D$2:$D$501,$K133)&amp;IF(INDEX(Сборка!$I$2:$I$501,$K133)&lt;&gt;""," — "&amp;INDEX(Сборка!$I$2:$I$501,$K133),""),""))</f>
        <v/>
      </c>
      <c r="D133" t="str">
        <f>IF(ISNUMBER($K133),INDEX(Сборка!$E$2:$E$501,$K133),"")</f>
        <v/>
      </c>
      <c r="E133" t="str">
        <f>IF(ISNUMBER($K133),INDEX(Сборка!$G$2:$G$501,$K133),"")</f>
        <v/>
      </c>
      <c r="F133" s="6" t="str">
        <f>IF(ISNUMBER($K133),INDEX(Сборка!$J$2:$J$501,$K133),"")</f>
        <v/>
      </c>
      <c r="G133" s="6" t="str">
        <f>IF(ISNUMBER($K133),INDEX(Сборка!$K$2:$K$501,$K133),"")</f>
        <v/>
      </c>
      <c r="H133" s="6" t="str">
        <f t="shared" si="4"/>
        <v/>
      </c>
      <c r="I133" s="6" t="str">
        <f t="shared" si="5"/>
        <v/>
      </c>
      <c r="J133" s="6" t="str">
        <f t="shared" si="6"/>
        <v/>
      </c>
      <c r="K133" t="str">
        <f>IFERROR(MATCH(113,Сборка!$R$2:$R$501,0),"")</f>
        <v/>
      </c>
      <c r="L133" t="str">
        <f>IFERROR(IF(INDEX(Сборка!$Q$2:$Q$501,MATCH(113+1,Сборка!$R$2:$R$501,0))=1,INDEX(Сборка!$P$2:$P$501,MATCH(113+1,Сборка!$R$2:$R$501,0)),""),"")</f>
        <v/>
      </c>
      <c r="M133" t="str">
        <f t="shared" si="7"/>
        <v/>
      </c>
    </row>
    <row r="134" spans="1:13" hidden="1" x14ac:dyDescent="0.3">
      <c r="A134" t="str">
        <f>IF(ISNUMBER($K134),INDEX(Сборка!$O$2:$O$501,$K134),"")</f>
        <v/>
      </c>
      <c r="B134" t="str">
        <f>IF(ISNUMBER($K134),INDEX(Сборка!$C$2:$C$501,$K134),"")</f>
        <v/>
      </c>
      <c r="C134" s="5" t="str">
        <f>IF($L134&lt;&gt;"",INDEX(Сборка!$S$2:$S$501,MATCH($L134,Сборка!$P$2:$P$501,0)),IF(ISNUMBER($K134),INDEX(Сборка!$D$2:$D$501,$K134)&amp;IF(INDEX(Сборка!$I$2:$I$501,$K134)&lt;&gt;""," — "&amp;INDEX(Сборка!$I$2:$I$501,$K134),""),""))</f>
        <v/>
      </c>
      <c r="D134" t="str">
        <f>IF(ISNUMBER($K134),INDEX(Сборка!$E$2:$E$501,$K134),"")</f>
        <v/>
      </c>
      <c r="E134" t="str">
        <f>IF(ISNUMBER($K134),INDEX(Сборка!$G$2:$G$501,$K134),"")</f>
        <v/>
      </c>
      <c r="F134" s="6" t="str">
        <f>IF(ISNUMBER($K134),INDEX(Сборка!$J$2:$J$501,$K134),"")</f>
        <v/>
      </c>
      <c r="G134" s="6" t="str">
        <f>IF(ISNUMBER($K134),INDEX(Сборка!$K$2:$K$501,$K134),"")</f>
        <v/>
      </c>
      <c r="H134" s="6" t="str">
        <f t="shared" si="4"/>
        <v/>
      </c>
      <c r="I134" s="6" t="str">
        <f t="shared" si="5"/>
        <v/>
      </c>
      <c r="J134" s="6" t="str">
        <f t="shared" si="6"/>
        <v/>
      </c>
      <c r="K134" t="str">
        <f>IFERROR(MATCH(114,Сборка!$R$2:$R$501,0),"")</f>
        <v/>
      </c>
      <c r="L134" t="str">
        <f>IFERROR(IF(INDEX(Сборка!$Q$2:$Q$501,MATCH(114+1,Сборка!$R$2:$R$501,0))=1,INDEX(Сборка!$P$2:$P$501,MATCH(114+1,Сборка!$R$2:$R$501,0)),""),"")</f>
        <v/>
      </c>
      <c r="M134" t="str">
        <f t="shared" si="7"/>
        <v/>
      </c>
    </row>
    <row r="135" spans="1:13" hidden="1" x14ac:dyDescent="0.3">
      <c r="A135" t="str">
        <f>IF(ISNUMBER($K135),INDEX(Сборка!$O$2:$O$501,$K135),"")</f>
        <v/>
      </c>
      <c r="B135" t="str">
        <f>IF(ISNUMBER($K135),INDEX(Сборка!$C$2:$C$501,$K135),"")</f>
        <v/>
      </c>
      <c r="C135" s="5" t="str">
        <f>IF($L135&lt;&gt;"",INDEX(Сборка!$S$2:$S$501,MATCH($L135,Сборка!$P$2:$P$501,0)),IF(ISNUMBER($K135),INDEX(Сборка!$D$2:$D$501,$K135)&amp;IF(INDEX(Сборка!$I$2:$I$501,$K135)&lt;&gt;""," — "&amp;INDEX(Сборка!$I$2:$I$501,$K135),""),""))</f>
        <v/>
      </c>
      <c r="D135" t="str">
        <f>IF(ISNUMBER($K135),INDEX(Сборка!$E$2:$E$501,$K135),"")</f>
        <v/>
      </c>
      <c r="E135" t="str">
        <f>IF(ISNUMBER($K135),INDEX(Сборка!$G$2:$G$501,$K135),"")</f>
        <v/>
      </c>
      <c r="F135" s="6" t="str">
        <f>IF(ISNUMBER($K135),INDEX(Сборка!$J$2:$J$501,$K135),"")</f>
        <v/>
      </c>
      <c r="G135" s="6" t="str">
        <f>IF(ISNUMBER($K135),INDEX(Сборка!$K$2:$K$501,$K135),"")</f>
        <v/>
      </c>
      <c r="H135" s="6" t="str">
        <f t="shared" si="4"/>
        <v/>
      </c>
      <c r="I135" s="6" t="str">
        <f t="shared" si="5"/>
        <v/>
      </c>
      <c r="J135" s="6" t="str">
        <f t="shared" si="6"/>
        <v/>
      </c>
      <c r="K135" t="str">
        <f>IFERROR(MATCH(115,Сборка!$R$2:$R$501,0),"")</f>
        <v/>
      </c>
      <c r="L135" t="str">
        <f>IFERROR(IF(INDEX(Сборка!$Q$2:$Q$501,MATCH(115+1,Сборка!$R$2:$R$501,0))=1,INDEX(Сборка!$P$2:$P$501,MATCH(115+1,Сборка!$R$2:$R$501,0)),""),"")</f>
        <v/>
      </c>
      <c r="M135" t="str">
        <f t="shared" si="7"/>
        <v/>
      </c>
    </row>
    <row r="136" spans="1:13" hidden="1" x14ac:dyDescent="0.3">
      <c r="A136" t="str">
        <f>IF(ISNUMBER($K136),INDEX(Сборка!$O$2:$O$501,$K136),"")</f>
        <v/>
      </c>
      <c r="B136" t="str">
        <f>IF(ISNUMBER($K136),INDEX(Сборка!$C$2:$C$501,$K136),"")</f>
        <v/>
      </c>
      <c r="C136" s="5" t="str">
        <f>IF($L136&lt;&gt;"",INDEX(Сборка!$S$2:$S$501,MATCH($L136,Сборка!$P$2:$P$501,0)),IF(ISNUMBER($K136),INDEX(Сборка!$D$2:$D$501,$K136)&amp;IF(INDEX(Сборка!$I$2:$I$501,$K136)&lt;&gt;""," — "&amp;INDEX(Сборка!$I$2:$I$501,$K136),""),""))</f>
        <v/>
      </c>
      <c r="D136" t="str">
        <f>IF(ISNUMBER($K136),INDEX(Сборка!$E$2:$E$501,$K136),"")</f>
        <v/>
      </c>
      <c r="E136" t="str">
        <f>IF(ISNUMBER($K136),INDEX(Сборка!$G$2:$G$501,$K136),"")</f>
        <v/>
      </c>
      <c r="F136" s="6" t="str">
        <f>IF(ISNUMBER($K136),INDEX(Сборка!$J$2:$J$501,$K136),"")</f>
        <v/>
      </c>
      <c r="G136" s="6" t="str">
        <f>IF(ISNUMBER($K136),INDEX(Сборка!$K$2:$K$501,$K136),"")</f>
        <v/>
      </c>
      <c r="H136" s="6" t="str">
        <f t="shared" si="4"/>
        <v/>
      </c>
      <c r="I136" s="6" t="str">
        <f t="shared" si="5"/>
        <v/>
      </c>
      <c r="J136" s="6" t="str">
        <f t="shared" si="6"/>
        <v/>
      </c>
      <c r="K136" t="str">
        <f>IFERROR(MATCH(116,Сборка!$R$2:$R$501,0),"")</f>
        <v/>
      </c>
      <c r="L136" t="str">
        <f>IFERROR(IF(INDEX(Сборка!$Q$2:$Q$501,MATCH(116+1,Сборка!$R$2:$R$501,0))=1,INDEX(Сборка!$P$2:$P$501,MATCH(116+1,Сборка!$R$2:$R$501,0)),""),"")</f>
        <v/>
      </c>
      <c r="M136" t="str">
        <f t="shared" si="7"/>
        <v/>
      </c>
    </row>
    <row r="137" spans="1:13" hidden="1" x14ac:dyDescent="0.3">
      <c r="A137" t="str">
        <f>IF(ISNUMBER($K137),INDEX(Сборка!$O$2:$O$501,$K137),"")</f>
        <v/>
      </c>
      <c r="B137" t="str">
        <f>IF(ISNUMBER($K137),INDEX(Сборка!$C$2:$C$501,$K137),"")</f>
        <v/>
      </c>
      <c r="C137" s="5" t="str">
        <f>IF($L137&lt;&gt;"",INDEX(Сборка!$S$2:$S$501,MATCH($L137,Сборка!$P$2:$P$501,0)),IF(ISNUMBER($K137),INDEX(Сборка!$D$2:$D$501,$K137)&amp;IF(INDEX(Сборка!$I$2:$I$501,$K137)&lt;&gt;""," — "&amp;INDEX(Сборка!$I$2:$I$501,$K137),""),""))</f>
        <v/>
      </c>
      <c r="D137" t="str">
        <f>IF(ISNUMBER($K137),INDEX(Сборка!$E$2:$E$501,$K137),"")</f>
        <v/>
      </c>
      <c r="E137" t="str">
        <f>IF(ISNUMBER($K137),INDEX(Сборка!$G$2:$G$501,$K137),"")</f>
        <v/>
      </c>
      <c r="F137" s="6" t="str">
        <f>IF(ISNUMBER($K137),INDEX(Сборка!$J$2:$J$501,$K137),"")</f>
        <v/>
      </c>
      <c r="G137" s="6" t="str">
        <f>IF(ISNUMBER($K137),INDEX(Сборка!$K$2:$K$501,$K137),"")</f>
        <v/>
      </c>
      <c r="H137" s="6" t="str">
        <f t="shared" si="4"/>
        <v/>
      </c>
      <c r="I137" s="6" t="str">
        <f t="shared" si="5"/>
        <v/>
      </c>
      <c r="J137" s="6" t="str">
        <f t="shared" si="6"/>
        <v/>
      </c>
      <c r="K137" t="str">
        <f>IFERROR(MATCH(117,Сборка!$R$2:$R$501,0),"")</f>
        <v/>
      </c>
      <c r="L137" t="str">
        <f>IFERROR(IF(INDEX(Сборка!$Q$2:$Q$501,MATCH(117+1,Сборка!$R$2:$R$501,0))=1,INDEX(Сборка!$P$2:$P$501,MATCH(117+1,Сборка!$R$2:$R$501,0)),""),"")</f>
        <v/>
      </c>
      <c r="M137" t="str">
        <f t="shared" si="7"/>
        <v/>
      </c>
    </row>
    <row r="138" spans="1:13" hidden="1" x14ac:dyDescent="0.3">
      <c r="A138" t="str">
        <f>IF(ISNUMBER($K138),INDEX(Сборка!$O$2:$O$501,$K138),"")</f>
        <v/>
      </c>
      <c r="B138" t="str">
        <f>IF(ISNUMBER($K138),INDEX(Сборка!$C$2:$C$501,$K138),"")</f>
        <v/>
      </c>
      <c r="C138" s="5" t="str">
        <f>IF($L138&lt;&gt;"",INDEX(Сборка!$S$2:$S$501,MATCH($L138,Сборка!$P$2:$P$501,0)),IF(ISNUMBER($K138),INDEX(Сборка!$D$2:$D$501,$K138)&amp;IF(INDEX(Сборка!$I$2:$I$501,$K138)&lt;&gt;""," — "&amp;INDEX(Сборка!$I$2:$I$501,$K138),""),""))</f>
        <v/>
      </c>
      <c r="D138" t="str">
        <f>IF(ISNUMBER($K138),INDEX(Сборка!$E$2:$E$501,$K138),"")</f>
        <v/>
      </c>
      <c r="E138" t="str">
        <f>IF(ISNUMBER($K138),INDEX(Сборка!$G$2:$G$501,$K138),"")</f>
        <v/>
      </c>
      <c r="F138" s="6" t="str">
        <f>IF(ISNUMBER($K138),INDEX(Сборка!$J$2:$J$501,$K138),"")</f>
        <v/>
      </c>
      <c r="G138" s="6" t="str">
        <f>IF(ISNUMBER($K138),INDEX(Сборка!$K$2:$K$501,$K138),"")</f>
        <v/>
      </c>
      <c r="H138" s="6" t="str">
        <f t="shared" si="4"/>
        <v/>
      </c>
      <c r="I138" s="6" t="str">
        <f t="shared" si="5"/>
        <v/>
      </c>
      <c r="J138" s="6" t="str">
        <f t="shared" si="6"/>
        <v/>
      </c>
      <c r="K138" t="str">
        <f>IFERROR(MATCH(118,Сборка!$R$2:$R$501,0),"")</f>
        <v/>
      </c>
      <c r="L138" t="str">
        <f>IFERROR(IF(INDEX(Сборка!$Q$2:$Q$501,MATCH(118+1,Сборка!$R$2:$R$501,0))=1,INDEX(Сборка!$P$2:$P$501,MATCH(118+1,Сборка!$R$2:$R$501,0)),""),"")</f>
        <v/>
      </c>
      <c r="M138" t="str">
        <f t="shared" si="7"/>
        <v/>
      </c>
    </row>
    <row r="139" spans="1:13" hidden="1" x14ac:dyDescent="0.3">
      <c r="A139" t="str">
        <f>IF(ISNUMBER($K139),INDEX(Сборка!$O$2:$O$501,$K139),"")</f>
        <v/>
      </c>
      <c r="B139" t="str">
        <f>IF(ISNUMBER($K139),INDEX(Сборка!$C$2:$C$501,$K139),"")</f>
        <v/>
      </c>
      <c r="C139" s="5" t="str">
        <f>IF($L139&lt;&gt;"",INDEX(Сборка!$S$2:$S$501,MATCH($L139,Сборка!$P$2:$P$501,0)),IF(ISNUMBER($K139),INDEX(Сборка!$D$2:$D$501,$K139)&amp;IF(INDEX(Сборка!$I$2:$I$501,$K139)&lt;&gt;""," — "&amp;INDEX(Сборка!$I$2:$I$501,$K139),""),""))</f>
        <v/>
      </c>
      <c r="D139" t="str">
        <f>IF(ISNUMBER($K139),INDEX(Сборка!$E$2:$E$501,$K139),"")</f>
        <v/>
      </c>
      <c r="E139" t="str">
        <f>IF(ISNUMBER($K139),INDEX(Сборка!$G$2:$G$501,$K139),"")</f>
        <v/>
      </c>
      <c r="F139" s="6" t="str">
        <f>IF(ISNUMBER($K139),INDEX(Сборка!$J$2:$J$501,$K139),"")</f>
        <v/>
      </c>
      <c r="G139" s="6" t="str">
        <f>IF(ISNUMBER($K139),INDEX(Сборка!$K$2:$K$501,$K139),"")</f>
        <v/>
      </c>
      <c r="H139" s="6" t="str">
        <f t="shared" si="4"/>
        <v/>
      </c>
      <c r="I139" s="6" t="str">
        <f t="shared" si="5"/>
        <v/>
      </c>
      <c r="J139" s="6" t="str">
        <f t="shared" si="6"/>
        <v/>
      </c>
      <c r="K139" t="str">
        <f>IFERROR(MATCH(119,Сборка!$R$2:$R$501,0),"")</f>
        <v/>
      </c>
      <c r="L139" t="str">
        <f>IFERROR(IF(INDEX(Сборка!$Q$2:$Q$501,MATCH(119+1,Сборка!$R$2:$R$501,0))=1,INDEX(Сборка!$P$2:$P$501,MATCH(119+1,Сборка!$R$2:$R$501,0)),""),"")</f>
        <v/>
      </c>
      <c r="M139" t="str">
        <f t="shared" si="7"/>
        <v/>
      </c>
    </row>
    <row r="140" spans="1:13" hidden="1" x14ac:dyDescent="0.3">
      <c r="A140" t="str">
        <f>IF(ISNUMBER($K140),INDEX(Сборка!$O$2:$O$501,$K140),"")</f>
        <v/>
      </c>
      <c r="B140" t="str">
        <f>IF(ISNUMBER($K140),INDEX(Сборка!$C$2:$C$501,$K140),"")</f>
        <v/>
      </c>
      <c r="C140" s="5" t="str">
        <f>IF($L140&lt;&gt;"",INDEX(Сборка!$S$2:$S$501,MATCH($L140,Сборка!$P$2:$P$501,0)),IF(ISNUMBER($K140),INDEX(Сборка!$D$2:$D$501,$K140)&amp;IF(INDEX(Сборка!$I$2:$I$501,$K140)&lt;&gt;""," — "&amp;INDEX(Сборка!$I$2:$I$501,$K140),""),""))</f>
        <v/>
      </c>
      <c r="D140" t="str">
        <f>IF(ISNUMBER($K140),INDEX(Сборка!$E$2:$E$501,$K140),"")</f>
        <v/>
      </c>
      <c r="E140" t="str">
        <f>IF(ISNUMBER($K140),INDEX(Сборка!$G$2:$G$501,$K140),"")</f>
        <v/>
      </c>
      <c r="F140" s="6" t="str">
        <f>IF(ISNUMBER($K140),INDEX(Сборка!$J$2:$J$501,$K140),"")</f>
        <v/>
      </c>
      <c r="G140" s="6" t="str">
        <f>IF(ISNUMBER($K140),INDEX(Сборка!$K$2:$K$501,$K140),"")</f>
        <v/>
      </c>
      <c r="H140" s="6" t="str">
        <f t="shared" si="4"/>
        <v/>
      </c>
      <c r="I140" s="6" t="str">
        <f t="shared" si="5"/>
        <v/>
      </c>
      <c r="J140" s="6" t="str">
        <f t="shared" si="6"/>
        <v/>
      </c>
      <c r="K140" t="str">
        <f>IFERROR(MATCH(120,Сборка!$R$2:$R$501,0),"")</f>
        <v/>
      </c>
      <c r="L140" t="str">
        <f>IFERROR(IF(INDEX(Сборка!$Q$2:$Q$501,MATCH(120+1,Сборка!$R$2:$R$501,0))=1,INDEX(Сборка!$P$2:$P$501,MATCH(120+1,Сборка!$R$2:$R$501,0)),""),"")</f>
        <v/>
      </c>
      <c r="M140" t="str">
        <f t="shared" si="7"/>
        <v/>
      </c>
    </row>
    <row r="141" spans="1:13" hidden="1" x14ac:dyDescent="0.3">
      <c r="A141" t="str">
        <f>IF(ISNUMBER($K141),INDEX(Сборка!$O$2:$O$501,$K141),"")</f>
        <v/>
      </c>
      <c r="B141" t="str">
        <f>IF(ISNUMBER($K141),INDEX(Сборка!$C$2:$C$501,$K141),"")</f>
        <v/>
      </c>
      <c r="C141" s="5" t="str">
        <f>IF($L141&lt;&gt;"",INDEX(Сборка!$S$2:$S$501,MATCH($L141,Сборка!$P$2:$P$501,0)),IF(ISNUMBER($K141),INDEX(Сборка!$D$2:$D$501,$K141)&amp;IF(INDEX(Сборка!$I$2:$I$501,$K141)&lt;&gt;""," — "&amp;INDEX(Сборка!$I$2:$I$501,$K141),""),""))</f>
        <v/>
      </c>
      <c r="D141" t="str">
        <f>IF(ISNUMBER($K141),INDEX(Сборка!$E$2:$E$501,$K141),"")</f>
        <v/>
      </c>
      <c r="E141" t="str">
        <f>IF(ISNUMBER($K141),INDEX(Сборка!$G$2:$G$501,$K141),"")</f>
        <v/>
      </c>
      <c r="F141" s="6" t="str">
        <f>IF(ISNUMBER($K141),INDEX(Сборка!$J$2:$J$501,$K141),"")</f>
        <v/>
      </c>
      <c r="G141" s="6" t="str">
        <f>IF(ISNUMBER($K141),INDEX(Сборка!$K$2:$K$501,$K141),"")</f>
        <v/>
      </c>
      <c r="H141" s="6" t="str">
        <f t="shared" si="4"/>
        <v/>
      </c>
      <c r="I141" s="6" t="str">
        <f t="shared" si="5"/>
        <v/>
      </c>
      <c r="J141" s="6" t="str">
        <f t="shared" si="6"/>
        <v/>
      </c>
      <c r="K141" t="str">
        <f>IFERROR(MATCH(121,Сборка!$R$2:$R$501,0),"")</f>
        <v/>
      </c>
      <c r="L141" t="str">
        <f>IFERROR(IF(INDEX(Сборка!$Q$2:$Q$501,MATCH(121+1,Сборка!$R$2:$R$501,0))=1,INDEX(Сборка!$P$2:$P$501,MATCH(121+1,Сборка!$R$2:$R$501,0)),""),"")</f>
        <v/>
      </c>
      <c r="M141" t="str">
        <f t="shared" si="7"/>
        <v/>
      </c>
    </row>
    <row r="142" spans="1:13" hidden="1" x14ac:dyDescent="0.3">
      <c r="A142" t="str">
        <f>IF(ISNUMBER($K142),INDEX(Сборка!$O$2:$O$501,$K142),"")</f>
        <v/>
      </c>
      <c r="B142" t="str">
        <f>IF(ISNUMBER($K142),INDEX(Сборка!$C$2:$C$501,$K142),"")</f>
        <v/>
      </c>
      <c r="C142" s="5" t="str">
        <f>IF($L142&lt;&gt;"",INDEX(Сборка!$S$2:$S$501,MATCH($L142,Сборка!$P$2:$P$501,0)),IF(ISNUMBER($K142),INDEX(Сборка!$D$2:$D$501,$K142)&amp;IF(INDEX(Сборка!$I$2:$I$501,$K142)&lt;&gt;""," — "&amp;INDEX(Сборка!$I$2:$I$501,$K142),""),""))</f>
        <v/>
      </c>
      <c r="D142" t="str">
        <f>IF(ISNUMBER($K142),INDEX(Сборка!$E$2:$E$501,$K142),"")</f>
        <v/>
      </c>
      <c r="E142" t="str">
        <f>IF(ISNUMBER($K142),INDEX(Сборка!$G$2:$G$501,$K142),"")</f>
        <v/>
      </c>
      <c r="F142" s="6" t="str">
        <f>IF(ISNUMBER($K142),INDEX(Сборка!$J$2:$J$501,$K142),"")</f>
        <v/>
      </c>
      <c r="G142" s="6" t="str">
        <f>IF(ISNUMBER($K142),INDEX(Сборка!$K$2:$K$501,$K142),"")</f>
        <v/>
      </c>
      <c r="H142" s="6" t="str">
        <f t="shared" si="4"/>
        <v/>
      </c>
      <c r="I142" s="6" t="str">
        <f t="shared" si="5"/>
        <v/>
      </c>
      <c r="J142" s="6" t="str">
        <f t="shared" si="6"/>
        <v/>
      </c>
      <c r="K142" t="str">
        <f>IFERROR(MATCH(122,Сборка!$R$2:$R$501,0),"")</f>
        <v/>
      </c>
      <c r="L142" t="str">
        <f>IFERROR(IF(INDEX(Сборка!$Q$2:$Q$501,MATCH(122+1,Сборка!$R$2:$R$501,0))=1,INDEX(Сборка!$P$2:$P$501,MATCH(122+1,Сборка!$R$2:$R$501,0)),""),"")</f>
        <v/>
      </c>
      <c r="M142" t="str">
        <f t="shared" si="7"/>
        <v/>
      </c>
    </row>
    <row r="143" spans="1:13" hidden="1" x14ac:dyDescent="0.3">
      <c r="A143" t="str">
        <f>IF(ISNUMBER($K143),INDEX(Сборка!$O$2:$O$501,$K143),"")</f>
        <v/>
      </c>
      <c r="B143" t="str">
        <f>IF(ISNUMBER($K143),INDEX(Сборка!$C$2:$C$501,$K143),"")</f>
        <v/>
      </c>
      <c r="C143" s="5" t="str">
        <f>IF($L143&lt;&gt;"",INDEX(Сборка!$S$2:$S$501,MATCH($L143,Сборка!$P$2:$P$501,0)),IF(ISNUMBER($K143),INDEX(Сборка!$D$2:$D$501,$K143)&amp;IF(INDEX(Сборка!$I$2:$I$501,$K143)&lt;&gt;""," — "&amp;INDEX(Сборка!$I$2:$I$501,$K143),""),""))</f>
        <v/>
      </c>
      <c r="D143" t="str">
        <f>IF(ISNUMBER($K143),INDEX(Сборка!$E$2:$E$501,$K143),"")</f>
        <v/>
      </c>
      <c r="E143" t="str">
        <f>IF(ISNUMBER($K143),INDEX(Сборка!$G$2:$G$501,$K143),"")</f>
        <v/>
      </c>
      <c r="F143" s="6" t="str">
        <f>IF(ISNUMBER($K143),INDEX(Сборка!$J$2:$J$501,$K143),"")</f>
        <v/>
      </c>
      <c r="G143" s="6" t="str">
        <f>IF(ISNUMBER($K143),INDEX(Сборка!$K$2:$K$501,$K143),"")</f>
        <v/>
      </c>
      <c r="H143" s="6" t="str">
        <f t="shared" si="4"/>
        <v/>
      </c>
      <c r="I143" s="6" t="str">
        <f t="shared" si="5"/>
        <v/>
      </c>
      <c r="J143" s="6" t="str">
        <f t="shared" si="6"/>
        <v/>
      </c>
      <c r="K143" t="str">
        <f>IFERROR(MATCH(123,Сборка!$R$2:$R$501,0),"")</f>
        <v/>
      </c>
      <c r="L143" t="str">
        <f>IFERROR(IF(INDEX(Сборка!$Q$2:$Q$501,MATCH(123+1,Сборка!$R$2:$R$501,0))=1,INDEX(Сборка!$P$2:$P$501,MATCH(123+1,Сборка!$R$2:$R$501,0)),""),"")</f>
        <v/>
      </c>
      <c r="M143" t="str">
        <f t="shared" si="7"/>
        <v/>
      </c>
    </row>
    <row r="144" spans="1:13" hidden="1" x14ac:dyDescent="0.3">
      <c r="A144" t="str">
        <f>IF(ISNUMBER($K144),INDEX(Сборка!$O$2:$O$501,$K144),"")</f>
        <v/>
      </c>
      <c r="B144" t="str">
        <f>IF(ISNUMBER($K144),INDEX(Сборка!$C$2:$C$501,$K144),"")</f>
        <v/>
      </c>
      <c r="C144" s="5" t="str">
        <f>IF($L144&lt;&gt;"",INDEX(Сборка!$S$2:$S$501,MATCH($L144,Сборка!$P$2:$P$501,0)),IF(ISNUMBER($K144),INDEX(Сборка!$D$2:$D$501,$K144)&amp;IF(INDEX(Сборка!$I$2:$I$501,$K144)&lt;&gt;""," — "&amp;INDEX(Сборка!$I$2:$I$501,$K144),""),""))</f>
        <v/>
      </c>
      <c r="D144" t="str">
        <f>IF(ISNUMBER($K144),INDEX(Сборка!$E$2:$E$501,$K144),"")</f>
        <v/>
      </c>
      <c r="E144" t="str">
        <f>IF(ISNUMBER($K144),INDEX(Сборка!$G$2:$G$501,$K144),"")</f>
        <v/>
      </c>
      <c r="F144" s="6" t="str">
        <f>IF(ISNUMBER($K144),INDEX(Сборка!$J$2:$J$501,$K144),"")</f>
        <v/>
      </c>
      <c r="G144" s="6" t="str">
        <f>IF(ISNUMBER($K144),INDEX(Сборка!$K$2:$K$501,$K144),"")</f>
        <v/>
      </c>
      <c r="H144" s="6" t="str">
        <f t="shared" si="4"/>
        <v/>
      </c>
      <c r="I144" s="6" t="str">
        <f t="shared" si="5"/>
        <v/>
      </c>
      <c r="J144" s="6" t="str">
        <f t="shared" si="6"/>
        <v/>
      </c>
      <c r="K144" t="str">
        <f>IFERROR(MATCH(124,Сборка!$R$2:$R$501,0),"")</f>
        <v/>
      </c>
      <c r="L144" t="str">
        <f>IFERROR(IF(INDEX(Сборка!$Q$2:$Q$501,MATCH(124+1,Сборка!$R$2:$R$501,0))=1,INDEX(Сборка!$P$2:$P$501,MATCH(124+1,Сборка!$R$2:$R$501,0)),""),"")</f>
        <v/>
      </c>
      <c r="M144" t="str">
        <f t="shared" si="7"/>
        <v/>
      </c>
    </row>
    <row r="145" spans="1:13" hidden="1" x14ac:dyDescent="0.3">
      <c r="A145" t="str">
        <f>IF(ISNUMBER($K145),INDEX(Сборка!$O$2:$O$501,$K145),"")</f>
        <v/>
      </c>
      <c r="B145" t="str">
        <f>IF(ISNUMBER($K145),INDEX(Сборка!$C$2:$C$501,$K145),"")</f>
        <v/>
      </c>
      <c r="C145" s="5" t="str">
        <f>IF($L145&lt;&gt;"",INDEX(Сборка!$S$2:$S$501,MATCH($L145,Сборка!$P$2:$P$501,0)),IF(ISNUMBER($K145),INDEX(Сборка!$D$2:$D$501,$K145)&amp;IF(INDEX(Сборка!$I$2:$I$501,$K145)&lt;&gt;""," — "&amp;INDEX(Сборка!$I$2:$I$501,$K145),""),""))</f>
        <v/>
      </c>
      <c r="D145" t="str">
        <f>IF(ISNUMBER($K145),INDEX(Сборка!$E$2:$E$501,$K145),"")</f>
        <v/>
      </c>
      <c r="E145" t="str">
        <f>IF(ISNUMBER($K145),INDEX(Сборка!$G$2:$G$501,$K145),"")</f>
        <v/>
      </c>
      <c r="F145" s="6" t="str">
        <f>IF(ISNUMBER($K145),INDEX(Сборка!$J$2:$J$501,$K145),"")</f>
        <v/>
      </c>
      <c r="G145" s="6" t="str">
        <f>IF(ISNUMBER($K145),INDEX(Сборка!$K$2:$K$501,$K145),"")</f>
        <v/>
      </c>
      <c r="H145" s="6" t="str">
        <f t="shared" si="4"/>
        <v/>
      </c>
      <c r="I145" s="6" t="str">
        <f t="shared" si="5"/>
        <v/>
      </c>
      <c r="J145" s="6" t="str">
        <f t="shared" si="6"/>
        <v/>
      </c>
      <c r="K145" t="str">
        <f>IFERROR(MATCH(125,Сборка!$R$2:$R$501,0),"")</f>
        <v/>
      </c>
      <c r="L145" t="str">
        <f>IFERROR(IF(INDEX(Сборка!$Q$2:$Q$501,MATCH(125+1,Сборка!$R$2:$R$501,0))=1,INDEX(Сборка!$P$2:$P$501,MATCH(125+1,Сборка!$R$2:$R$501,0)),""),"")</f>
        <v/>
      </c>
      <c r="M145" t="str">
        <f t="shared" si="7"/>
        <v/>
      </c>
    </row>
    <row r="146" spans="1:13" hidden="1" x14ac:dyDescent="0.3">
      <c r="A146" t="str">
        <f>IF(ISNUMBER($K146),INDEX(Сборка!$O$2:$O$501,$K146),"")</f>
        <v/>
      </c>
      <c r="B146" t="str">
        <f>IF(ISNUMBER($K146),INDEX(Сборка!$C$2:$C$501,$K146),"")</f>
        <v/>
      </c>
      <c r="C146" s="5" t="str">
        <f>IF($L146&lt;&gt;"",INDEX(Сборка!$S$2:$S$501,MATCH($L146,Сборка!$P$2:$P$501,0)),IF(ISNUMBER($K146),INDEX(Сборка!$D$2:$D$501,$K146)&amp;IF(INDEX(Сборка!$I$2:$I$501,$K146)&lt;&gt;""," — "&amp;INDEX(Сборка!$I$2:$I$501,$K146),""),""))</f>
        <v/>
      </c>
      <c r="D146" t="str">
        <f>IF(ISNUMBER($K146),INDEX(Сборка!$E$2:$E$501,$K146),"")</f>
        <v/>
      </c>
      <c r="E146" t="str">
        <f>IF(ISNUMBER($K146),INDEX(Сборка!$G$2:$G$501,$K146),"")</f>
        <v/>
      </c>
      <c r="F146" s="6" t="str">
        <f>IF(ISNUMBER($K146),INDEX(Сборка!$J$2:$J$501,$K146),"")</f>
        <v/>
      </c>
      <c r="G146" s="6" t="str">
        <f>IF(ISNUMBER($K146),INDEX(Сборка!$K$2:$K$501,$K146),"")</f>
        <v/>
      </c>
      <c r="H146" s="6" t="str">
        <f t="shared" si="4"/>
        <v/>
      </c>
      <c r="I146" s="6" t="str">
        <f t="shared" si="5"/>
        <v/>
      </c>
      <c r="J146" s="6" t="str">
        <f t="shared" si="6"/>
        <v/>
      </c>
      <c r="K146" t="str">
        <f>IFERROR(MATCH(126,Сборка!$R$2:$R$501,0),"")</f>
        <v/>
      </c>
      <c r="L146" t="str">
        <f>IFERROR(IF(INDEX(Сборка!$Q$2:$Q$501,MATCH(126+1,Сборка!$R$2:$R$501,0))=1,INDEX(Сборка!$P$2:$P$501,MATCH(126+1,Сборка!$R$2:$R$501,0)),""),"")</f>
        <v/>
      </c>
      <c r="M146" t="str">
        <f t="shared" si="7"/>
        <v/>
      </c>
    </row>
    <row r="147" spans="1:13" hidden="1" x14ac:dyDescent="0.3">
      <c r="A147" t="str">
        <f>IF(ISNUMBER($K147),INDEX(Сборка!$O$2:$O$501,$K147),"")</f>
        <v/>
      </c>
      <c r="B147" t="str">
        <f>IF(ISNUMBER($K147),INDEX(Сборка!$C$2:$C$501,$K147),"")</f>
        <v/>
      </c>
      <c r="C147" s="5" t="str">
        <f>IF($L147&lt;&gt;"",INDEX(Сборка!$S$2:$S$501,MATCH($L147,Сборка!$P$2:$P$501,0)),IF(ISNUMBER($K147),INDEX(Сборка!$D$2:$D$501,$K147)&amp;IF(INDEX(Сборка!$I$2:$I$501,$K147)&lt;&gt;""," — "&amp;INDEX(Сборка!$I$2:$I$501,$K147),""),""))</f>
        <v/>
      </c>
      <c r="D147" t="str">
        <f>IF(ISNUMBER($K147),INDEX(Сборка!$E$2:$E$501,$K147),"")</f>
        <v/>
      </c>
      <c r="E147" t="str">
        <f>IF(ISNUMBER($K147),INDEX(Сборка!$G$2:$G$501,$K147),"")</f>
        <v/>
      </c>
      <c r="F147" s="6" t="str">
        <f>IF(ISNUMBER($K147),INDEX(Сборка!$J$2:$J$501,$K147),"")</f>
        <v/>
      </c>
      <c r="G147" s="6" t="str">
        <f>IF(ISNUMBER($K147),INDEX(Сборка!$K$2:$K$501,$K147),"")</f>
        <v/>
      </c>
      <c r="H147" s="6" t="str">
        <f t="shared" si="4"/>
        <v/>
      </c>
      <c r="I147" s="6" t="str">
        <f t="shared" si="5"/>
        <v/>
      </c>
      <c r="J147" s="6" t="str">
        <f t="shared" si="6"/>
        <v/>
      </c>
      <c r="K147" t="str">
        <f>IFERROR(MATCH(127,Сборка!$R$2:$R$501,0),"")</f>
        <v/>
      </c>
      <c r="L147" t="str">
        <f>IFERROR(IF(INDEX(Сборка!$Q$2:$Q$501,MATCH(127+1,Сборка!$R$2:$R$501,0))=1,INDEX(Сборка!$P$2:$P$501,MATCH(127+1,Сборка!$R$2:$R$501,0)),""),"")</f>
        <v/>
      </c>
      <c r="M147" t="str">
        <f t="shared" si="7"/>
        <v/>
      </c>
    </row>
    <row r="148" spans="1:13" hidden="1" x14ac:dyDescent="0.3">
      <c r="A148" t="str">
        <f>IF(ISNUMBER($K148),INDEX(Сборка!$O$2:$O$501,$K148),"")</f>
        <v/>
      </c>
      <c r="B148" t="str">
        <f>IF(ISNUMBER($K148),INDEX(Сборка!$C$2:$C$501,$K148),"")</f>
        <v/>
      </c>
      <c r="C148" s="5" t="str">
        <f>IF($L148&lt;&gt;"",INDEX(Сборка!$S$2:$S$501,MATCH($L148,Сборка!$P$2:$P$501,0)),IF(ISNUMBER($K148),INDEX(Сборка!$D$2:$D$501,$K148)&amp;IF(INDEX(Сборка!$I$2:$I$501,$K148)&lt;&gt;""," — "&amp;INDEX(Сборка!$I$2:$I$501,$K148),""),""))</f>
        <v/>
      </c>
      <c r="D148" t="str">
        <f>IF(ISNUMBER($K148),INDEX(Сборка!$E$2:$E$501,$K148),"")</f>
        <v/>
      </c>
      <c r="E148" t="str">
        <f>IF(ISNUMBER($K148),INDEX(Сборка!$G$2:$G$501,$K148),"")</f>
        <v/>
      </c>
      <c r="F148" s="6" t="str">
        <f>IF(ISNUMBER($K148),INDEX(Сборка!$J$2:$J$501,$K148),"")</f>
        <v/>
      </c>
      <c r="G148" s="6" t="str">
        <f>IF(ISNUMBER($K148),INDEX(Сборка!$K$2:$K$501,$K148),"")</f>
        <v/>
      </c>
      <c r="H148" s="6" t="str">
        <f t="shared" si="4"/>
        <v/>
      </c>
      <c r="I148" s="6" t="str">
        <f t="shared" si="5"/>
        <v/>
      </c>
      <c r="J148" s="6" t="str">
        <f t="shared" si="6"/>
        <v/>
      </c>
      <c r="K148" t="str">
        <f>IFERROR(MATCH(128,Сборка!$R$2:$R$501,0),"")</f>
        <v/>
      </c>
      <c r="L148" t="str">
        <f>IFERROR(IF(INDEX(Сборка!$Q$2:$Q$501,MATCH(128+1,Сборка!$R$2:$R$501,0))=1,INDEX(Сборка!$P$2:$P$501,MATCH(128+1,Сборка!$R$2:$R$501,0)),""),"")</f>
        <v/>
      </c>
      <c r="M148" t="str">
        <f t="shared" si="7"/>
        <v/>
      </c>
    </row>
    <row r="149" spans="1:13" hidden="1" x14ac:dyDescent="0.3">
      <c r="A149" t="str">
        <f>IF(ISNUMBER($K149),INDEX(Сборка!$O$2:$O$501,$K149),"")</f>
        <v/>
      </c>
      <c r="B149" t="str">
        <f>IF(ISNUMBER($K149),INDEX(Сборка!$C$2:$C$501,$K149),"")</f>
        <v/>
      </c>
      <c r="C149" s="5" t="str">
        <f>IF($L149&lt;&gt;"",INDEX(Сборка!$S$2:$S$501,MATCH($L149,Сборка!$P$2:$P$501,0)),IF(ISNUMBER($K149),INDEX(Сборка!$D$2:$D$501,$K149)&amp;IF(INDEX(Сборка!$I$2:$I$501,$K149)&lt;&gt;""," — "&amp;INDEX(Сборка!$I$2:$I$501,$K149),""),""))</f>
        <v/>
      </c>
      <c r="D149" t="str">
        <f>IF(ISNUMBER($K149),INDEX(Сборка!$E$2:$E$501,$K149),"")</f>
        <v/>
      </c>
      <c r="E149" t="str">
        <f>IF(ISNUMBER($K149),INDEX(Сборка!$G$2:$G$501,$K149),"")</f>
        <v/>
      </c>
      <c r="F149" s="6" t="str">
        <f>IF(ISNUMBER($K149),INDEX(Сборка!$J$2:$J$501,$K149),"")</f>
        <v/>
      </c>
      <c r="G149" s="6" t="str">
        <f>IF(ISNUMBER($K149),INDEX(Сборка!$K$2:$K$501,$K149),"")</f>
        <v/>
      </c>
      <c r="H149" s="6" t="str">
        <f t="shared" ref="H149:H212" si="8">IF(ISNUMBER($K149),ROUND($E149*$F149,2),"")</f>
        <v/>
      </c>
      <c r="I149" s="6" t="str">
        <f t="shared" ref="I149:I212" si="9">IF(ISNUMBER($K149),ROUND($E149*$G149,2),"")</f>
        <v/>
      </c>
      <c r="J149" s="6" t="str">
        <f t="shared" ref="J149:J212" si="10">IF(ISNUMBER($K149),$H149+$I149,"")</f>
        <v/>
      </c>
      <c r="K149" t="str">
        <f>IFERROR(MATCH(129,Сборка!$R$2:$R$501,0),"")</f>
        <v/>
      </c>
      <c r="L149" t="str">
        <f>IFERROR(IF(INDEX(Сборка!$Q$2:$Q$501,MATCH(129+1,Сборка!$R$2:$R$501,0))=1,INDEX(Сборка!$P$2:$P$501,MATCH(129+1,Сборка!$R$2:$R$501,0)),""),"")</f>
        <v/>
      </c>
      <c r="M149" t="str">
        <f t="shared" ref="M149:M212" si="11">IF(OR(ISNUMBER($K149),$L149&lt;&gt;""),"показать","")</f>
        <v/>
      </c>
    </row>
    <row r="150" spans="1:13" hidden="1" x14ac:dyDescent="0.3">
      <c r="A150" t="str">
        <f>IF(ISNUMBER($K150),INDEX(Сборка!$O$2:$O$501,$K150),"")</f>
        <v/>
      </c>
      <c r="B150" t="str">
        <f>IF(ISNUMBER($K150),INDEX(Сборка!$C$2:$C$501,$K150),"")</f>
        <v/>
      </c>
      <c r="C150" s="5" t="str">
        <f>IF($L150&lt;&gt;"",INDEX(Сборка!$S$2:$S$501,MATCH($L150,Сборка!$P$2:$P$501,0)),IF(ISNUMBER($K150),INDEX(Сборка!$D$2:$D$501,$K150)&amp;IF(INDEX(Сборка!$I$2:$I$501,$K150)&lt;&gt;""," — "&amp;INDEX(Сборка!$I$2:$I$501,$K150),""),""))</f>
        <v/>
      </c>
      <c r="D150" t="str">
        <f>IF(ISNUMBER($K150),INDEX(Сборка!$E$2:$E$501,$K150),"")</f>
        <v/>
      </c>
      <c r="E150" t="str">
        <f>IF(ISNUMBER($K150),INDEX(Сборка!$G$2:$G$501,$K150),"")</f>
        <v/>
      </c>
      <c r="F150" s="6" t="str">
        <f>IF(ISNUMBER($K150),INDEX(Сборка!$J$2:$J$501,$K150),"")</f>
        <v/>
      </c>
      <c r="G150" s="6" t="str">
        <f>IF(ISNUMBER($K150),INDEX(Сборка!$K$2:$K$501,$K150),"")</f>
        <v/>
      </c>
      <c r="H150" s="6" t="str">
        <f t="shared" si="8"/>
        <v/>
      </c>
      <c r="I150" s="6" t="str">
        <f t="shared" si="9"/>
        <v/>
      </c>
      <c r="J150" s="6" t="str">
        <f t="shared" si="10"/>
        <v/>
      </c>
      <c r="K150" t="str">
        <f>IFERROR(MATCH(130,Сборка!$R$2:$R$501,0),"")</f>
        <v/>
      </c>
      <c r="L150" t="str">
        <f>IFERROR(IF(INDEX(Сборка!$Q$2:$Q$501,MATCH(130+1,Сборка!$R$2:$R$501,0))=1,INDEX(Сборка!$P$2:$P$501,MATCH(130+1,Сборка!$R$2:$R$501,0)),""),"")</f>
        <v/>
      </c>
      <c r="M150" t="str">
        <f t="shared" si="11"/>
        <v/>
      </c>
    </row>
    <row r="151" spans="1:13" hidden="1" x14ac:dyDescent="0.3">
      <c r="A151" t="str">
        <f>IF(ISNUMBER($K151),INDEX(Сборка!$O$2:$O$501,$K151),"")</f>
        <v/>
      </c>
      <c r="B151" t="str">
        <f>IF(ISNUMBER($K151),INDEX(Сборка!$C$2:$C$501,$K151),"")</f>
        <v/>
      </c>
      <c r="C151" s="5" t="str">
        <f>IF($L151&lt;&gt;"",INDEX(Сборка!$S$2:$S$501,MATCH($L151,Сборка!$P$2:$P$501,0)),IF(ISNUMBER($K151),INDEX(Сборка!$D$2:$D$501,$K151)&amp;IF(INDEX(Сборка!$I$2:$I$501,$K151)&lt;&gt;""," — "&amp;INDEX(Сборка!$I$2:$I$501,$K151),""),""))</f>
        <v/>
      </c>
      <c r="D151" t="str">
        <f>IF(ISNUMBER($K151),INDEX(Сборка!$E$2:$E$501,$K151),"")</f>
        <v/>
      </c>
      <c r="E151" t="str">
        <f>IF(ISNUMBER($K151),INDEX(Сборка!$G$2:$G$501,$K151),"")</f>
        <v/>
      </c>
      <c r="F151" s="6" t="str">
        <f>IF(ISNUMBER($K151),INDEX(Сборка!$J$2:$J$501,$K151),"")</f>
        <v/>
      </c>
      <c r="G151" s="6" t="str">
        <f>IF(ISNUMBER($K151),INDEX(Сборка!$K$2:$K$501,$K151),"")</f>
        <v/>
      </c>
      <c r="H151" s="6" t="str">
        <f t="shared" si="8"/>
        <v/>
      </c>
      <c r="I151" s="6" t="str">
        <f t="shared" si="9"/>
        <v/>
      </c>
      <c r="J151" s="6" t="str">
        <f t="shared" si="10"/>
        <v/>
      </c>
      <c r="K151" t="str">
        <f>IFERROR(MATCH(131,Сборка!$R$2:$R$501,0),"")</f>
        <v/>
      </c>
      <c r="L151" t="str">
        <f>IFERROR(IF(INDEX(Сборка!$Q$2:$Q$501,MATCH(131+1,Сборка!$R$2:$R$501,0))=1,INDEX(Сборка!$P$2:$P$501,MATCH(131+1,Сборка!$R$2:$R$501,0)),""),"")</f>
        <v/>
      </c>
      <c r="M151" t="str">
        <f t="shared" si="11"/>
        <v/>
      </c>
    </row>
    <row r="152" spans="1:13" hidden="1" x14ac:dyDescent="0.3">
      <c r="A152" t="str">
        <f>IF(ISNUMBER($K152),INDEX(Сборка!$O$2:$O$501,$K152),"")</f>
        <v/>
      </c>
      <c r="B152" t="str">
        <f>IF(ISNUMBER($K152),INDEX(Сборка!$C$2:$C$501,$K152),"")</f>
        <v/>
      </c>
      <c r="C152" s="5" t="str">
        <f>IF($L152&lt;&gt;"",INDEX(Сборка!$S$2:$S$501,MATCH($L152,Сборка!$P$2:$P$501,0)),IF(ISNUMBER($K152),INDEX(Сборка!$D$2:$D$501,$K152)&amp;IF(INDEX(Сборка!$I$2:$I$501,$K152)&lt;&gt;""," — "&amp;INDEX(Сборка!$I$2:$I$501,$K152),""),""))</f>
        <v/>
      </c>
      <c r="D152" t="str">
        <f>IF(ISNUMBER($K152),INDEX(Сборка!$E$2:$E$501,$K152),"")</f>
        <v/>
      </c>
      <c r="E152" t="str">
        <f>IF(ISNUMBER($K152),INDEX(Сборка!$G$2:$G$501,$K152),"")</f>
        <v/>
      </c>
      <c r="F152" s="6" t="str">
        <f>IF(ISNUMBER($K152),INDEX(Сборка!$J$2:$J$501,$K152),"")</f>
        <v/>
      </c>
      <c r="G152" s="6" t="str">
        <f>IF(ISNUMBER($K152),INDEX(Сборка!$K$2:$K$501,$K152),"")</f>
        <v/>
      </c>
      <c r="H152" s="6" t="str">
        <f t="shared" si="8"/>
        <v/>
      </c>
      <c r="I152" s="6" t="str">
        <f t="shared" si="9"/>
        <v/>
      </c>
      <c r="J152" s="6" t="str">
        <f t="shared" si="10"/>
        <v/>
      </c>
      <c r="K152" t="str">
        <f>IFERROR(MATCH(132,Сборка!$R$2:$R$501,0),"")</f>
        <v/>
      </c>
      <c r="L152" t="str">
        <f>IFERROR(IF(INDEX(Сборка!$Q$2:$Q$501,MATCH(132+1,Сборка!$R$2:$R$501,0))=1,INDEX(Сборка!$P$2:$P$501,MATCH(132+1,Сборка!$R$2:$R$501,0)),""),"")</f>
        <v/>
      </c>
      <c r="M152" t="str">
        <f t="shared" si="11"/>
        <v/>
      </c>
    </row>
    <row r="153" spans="1:13" hidden="1" x14ac:dyDescent="0.3">
      <c r="A153" t="str">
        <f>IF(ISNUMBER($K153),INDEX(Сборка!$O$2:$O$501,$K153),"")</f>
        <v/>
      </c>
      <c r="B153" t="str">
        <f>IF(ISNUMBER($K153),INDEX(Сборка!$C$2:$C$501,$K153),"")</f>
        <v/>
      </c>
      <c r="C153" s="5" t="str">
        <f>IF($L153&lt;&gt;"",INDEX(Сборка!$S$2:$S$501,MATCH($L153,Сборка!$P$2:$P$501,0)),IF(ISNUMBER($K153),INDEX(Сборка!$D$2:$D$501,$K153)&amp;IF(INDEX(Сборка!$I$2:$I$501,$K153)&lt;&gt;""," — "&amp;INDEX(Сборка!$I$2:$I$501,$K153),""),""))</f>
        <v/>
      </c>
      <c r="D153" t="str">
        <f>IF(ISNUMBER($K153),INDEX(Сборка!$E$2:$E$501,$K153),"")</f>
        <v/>
      </c>
      <c r="E153" t="str">
        <f>IF(ISNUMBER($K153),INDEX(Сборка!$G$2:$G$501,$K153),"")</f>
        <v/>
      </c>
      <c r="F153" s="6" t="str">
        <f>IF(ISNUMBER($K153),INDEX(Сборка!$J$2:$J$501,$K153),"")</f>
        <v/>
      </c>
      <c r="G153" s="6" t="str">
        <f>IF(ISNUMBER($K153),INDEX(Сборка!$K$2:$K$501,$K153),"")</f>
        <v/>
      </c>
      <c r="H153" s="6" t="str">
        <f t="shared" si="8"/>
        <v/>
      </c>
      <c r="I153" s="6" t="str">
        <f t="shared" si="9"/>
        <v/>
      </c>
      <c r="J153" s="6" t="str">
        <f t="shared" si="10"/>
        <v/>
      </c>
      <c r="K153" t="str">
        <f>IFERROR(MATCH(133,Сборка!$R$2:$R$501,0),"")</f>
        <v/>
      </c>
      <c r="L153" t="str">
        <f>IFERROR(IF(INDEX(Сборка!$Q$2:$Q$501,MATCH(133+1,Сборка!$R$2:$R$501,0))=1,INDEX(Сборка!$P$2:$P$501,MATCH(133+1,Сборка!$R$2:$R$501,0)),""),"")</f>
        <v/>
      </c>
      <c r="M153" t="str">
        <f t="shared" si="11"/>
        <v/>
      </c>
    </row>
    <row r="154" spans="1:13" hidden="1" x14ac:dyDescent="0.3">
      <c r="A154" t="str">
        <f>IF(ISNUMBER($K154),INDEX(Сборка!$O$2:$O$501,$K154),"")</f>
        <v/>
      </c>
      <c r="B154" t="str">
        <f>IF(ISNUMBER($K154),INDEX(Сборка!$C$2:$C$501,$K154),"")</f>
        <v/>
      </c>
      <c r="C154" s="5" t="str">
        <f>IF($L154&lt;&gt;"",INDEX(Сборка!$S$2:$S$501,MATCH($L154,Сборка!$P$2:$P$501,0)),IF(ISNUMBER($K154),INDEX(Сборка!$D$2:$D$501,$K154)&amp;IF(INDEX(Сборка!$I$2:$I$501,$K154)&lt;&gt;""," — "&amp;INDEX(Сборка!$I$2:$I$501,$K154),""),""))</f>
        <v/>
      </c>
      <c r="D154" t="str">
        <f>IF(ISNUMBER($K154),INDEX(Сборка!$E$2:$E$501,$K154),"")</f>
        <v/>
      </c>
      <c r="E154" t="str">
        <f>IF(ISNUMBER($K154),INDEX(Сборка!$G$2:$G$501,$K154),"")</f>
        <v/>
      </c>
      <c r="F154" s="6" t="str">
        <f>IF(ISNUMBER($K154),INDEX(Сборка!$J$2:$J$501,$K154),"")</f>
        <v/>
      </c>
      <c r="G154" s="6" t="str">
        <f>IF(ISNUMBER($K154),INDEX(Сборка!$K$2:$K$501,$K154),"")</f>
        <v/>
      </c>
      <c r="H154" s="6" t="str">
        <f t="shared" si="8"/>
        <v/>
      </c>
      <c r="I154" s="6" t="str">
        <f t="shared" si="9"/>
        <v/>
      </c>
      <c r="J154" s="6" t="str">
        <f t="shared" si="10"/>
        <v/>
      </c>
      <c r="K154" t="str">
        <f>IFERROR(MATCH(134,Сборка!$R$2:$R$501,0),"")</f>
        <v/>
      </c>
      <c r="L154" t="str">
        <f>IFERROR(IF(INDEX(Сборка!$Q$2:$Q$501,MATCH(134+1,Сборка!$R$2:$R$501,0))=1,INDEX(Сборка!$P$2:$P$501,MATCH(134+1,Сборка!$R$2:$R$501,0)),""),"")</f>
        <v/>
      </c>
      <c r="M154" t="str">
        <f t="shared" si="11"/>
        <v/>
      </c>
    </row>
    <row r="155" spans="1:13" hidden="1" x14ac:dyDescent="0.3">
      <c r="A155" t="str">
        <f>IF(ISNUMBER($K155),INDEX(Сборка!$O$2:$O$501,$K155),"")</f>
        <v/>
      </c>
      <c r="B155" t="str">
        <f>IF(ISNUMBER($K155),INDEX(Сборка!$C$2:$C$501,$K155),"")</f>
        <v/>
      </c>
      <c r="C155" s="5" t="str">
        <f>IF($L155&lt;&gt;"",INDEX(Сборка!$S$2:$S$501,MATCH($L155,Сборка!$P$2:$P$501,0)),IF(ISNUMBER($K155),INDEX(Сборка!$D$2:$D$501,$K155)&amp;IF(INDEX(Сборка!$I$2:$I$501,$K155)&lt;&gt;""," — "&amp;INDEX(Сборка!$I$2:$I$501,$K155),""),""))</f>
        <v/>
      </c>
      <c r="D155" t="str">
        <f>IF(ISNUMBER($K155),INDEX(Сборка!$E$2:$E$501,$K155),"")</f>
        <v/>
      </c>
      <c r="E155" t="str">
        <f>IF(ISNUMBER($K155),INDEX(Сборка!$G$2:$G$501,$K155),"")</f>
        <v/>
      </c>
      <c r="F155" s="6" t="str">
        <f>IF(ISNUMBER($K155),INDEX(Сборка!$J$2:$J$501,$K155),"")</f>
        <v/>
      </c>
      <c r="G155" s="6" t="str">
        <f>IF(ISNUMBER($K155),INDEX(Сборка!$K$2:$K$501,$K155),"")</f>
        <v/>
      </c>
      <c r="H155" s="6" t="str">
        <f t="shared" si="8"/>
        <v/>
      </c>
      <c r="I155" s="6" t="str">
        <f t="shared" si="9"/>
        <v/>
      </c>
      <c r="J155" s="6" t="str">
        <f t="shared" si="10"/>
        <v/>
      </c>
      <c r="K155" t="str">
        <f>IFERROR(MATCH(135,Сборка!$R$2:$R$501,0),"")</f>
        <v/>
      </c>
      <c r="L155" t="str">
        <f>IFERROR(IF(INDEX(Сборка!$Q$2:$Q$501,MATCH(135+1,Сборка!$R$2:$R$501,0))=1,INDEX(Сборка!$P$2:$P$501,MATCH(135+1,Сборка!$R$2:$R$501,0)),""),"")</f>
        <v/>
      </c>
      <c r="M155" t="str">
        <f t="shared" si="11"/>
        <v/>
      </c>
    </row>
    <row r="156" spans="1:13" hidden="1" x14ac:dyDescent="0.3">
      <c r="A156" t="str">
        <f>IF(ISNUMBER($K156),INDEX(Сборка!$O$2:$O$501,$K156),"")</f>
        <v/>
      </c>
      <c r="B156" t="str">
        <f>IF(ISNUMBER($K156),INDEX(Сборка!$C$2:$C$501,$K156),"")</f>
        <v/>
      </c>
      <c r="C156" s="5" t="str">
        <f>IF($L156&lt;&gt;"",INDEX(Сборка!$S$2:$S$501,MATCH($L156,Сборка!$P$2:$P$501,0)),IF(ISNUMBER($K156),INDEX(Сборка!$D$2:$D$501,$K156)&amp;IF(INDEX(Сборка!$I$2:$I$501,$K156)&lt;&gt;""," — "&amp;INDEX(Сборка!$I$2:$I$501,$K156),""),""))</f>
        <v/>
      </c>
      <c r="D156" t="str">
        <f>IF(ISNUMBER($K156),INDEX(Сборка!$E$2:$E$501,$K156),"")</f>
        <v/>
      </c>
      <c r="E156" t="str">
        <f>IF(ISNUMBER($K156),INDEX(Сборка!$G$2:$G$501,$K156),"")</f>
        <v/>
      </c>
      <c r="F156" s="6" t="str">
        <f>IF(ISNUMBER($K156),INDEX(Сборка!$J$2:$J$501,$K156),"")</f>
        <v/>
      </c>
      <c r="G156" s="6" t="str">
        <f>IF(ISNUMBER($K156),INDEX(Сборка!$K$2:$K$501,$K156),"")</f>
        <v/>
      </c>
      <c r="H156" s="6" t="str">
        <f t="shared" si="8"/>
        <v/>
      </c>
      <c r="I156" s="6" t="str">
        <f t="shared" si="9"/>
        <v/>
      </c>
      <c r="J156" s="6" t="str">
        <f t="shared" si="10"/>
        <v/>
      </c>
      <c r="K156" t="str">
        <f>IFERROR(MATCH(136,Сборка!$R$2:$R$501,0),"")</f>
        <v/>
      </c>
      <c r="L156" t="str">
        <f>IFERROR(IF(INDEX(Сборка!$Q$2:$Q$501,MATCH(136+1,Сборка!$R$2:$R$501,0))=1,INDEX(Сборка!$P$2:$P$501,MATCH(136+1,Сборка!$R$2:$R$501,0)),""),"")</f>
        <v/>
      </c>
      <c r="M156" t="str">
        <f t="shared" si="11"/>
        <v/>
      </c>
    </row>
    <row r="157" spans="1:13" hidden="1" x14ac:dyDescent="0.3">
      <c r="A157" t="str">
        <f>IF(ISNUMBER($K157),INDEX(Сборка!$O$2:$O$501,$K157),"")</f>
        <v/>
      </c>
      <c r="B157" t="str">
        <f>IF(ISNUMBER($K157),INDEX(Сборка!$C$2:$C$501,$K157),"")</f>
        <v/>
      </c>
      <c r="C157" s="5" t="str">
        <f>IF($L157&lt;&gt;"",INDEX(Сборка!$S$2:$S$501,MATCH($L157,Сборка!$P$2:$P$501,0)),IF(ISNUMBER($K157),INDEX(Сборка!$D$2:$D$501,$K157)&amp;IF(INDEX(Сборка!$I$2:$I$501,$K157)&lt;&gt;""," — "&amp;INDEX(Сборка!$I$2:$I$501,$K157),""),""))</f>
        <v/>
      </c>
      <c r="D157" t="str">
        <f>IF(ISNUMBER($K157),INDEX(Сборка!$E$2:$E$501,$K157),"")</f>
        <v/>
      </c>
      <c r="E157" t="str">
        <f>IF(ISNUMBER($K157),INDEX(Сборка!$G$2:$G$501,$K157),"")</f>
        <v/>
      </c>
      <c r="F157" s="6" t="str">
        <f>IF(ISNUMBER($K157),INDEX(Сборка!$J$2:$J$501,$K157),"")</f>
        <v/>
      </c>
      <c r="G157" s="6" t="str">
        <f>IF(ISNUMBER($K157),INDEX(Сборка!$K$2:$K$501,$K157),"")</f>
        <v/>
      </c>
      <c r="H157" s="6" t="str">
        <f t="shared" si="8"/>
        <v/>
      </c>
      <c r="I157" s="6" t="str">
        <f t="shared" si="9"/>
        <v/>
      </c>
      <c r="J157" s="6" t="str">
        <f t="shared" si="10"/>
        <v/>
      </c>
      <c r="K157" t="str">
        <f>IFERROR(MATCH(137,Сборка!$R$2:$R$501,0),"")</f>
        <v/>
      </c>
      <c r="L157" t="str">
        <f>IFERROR(IF(INDEX(Сборка!$Q$2:$Q$501,MATCH(137+1,Сборка!$R$2:$R$501,0))=1,INDEX(Сборка!$P$2:$P$501,MATCH(137+1,Сборка!$R$2:$R$501,0)),""),"")</f>
        <v/>
      </c>
      <c r="M157" t="str">
        <f t="shared" si="11"/>
        <v/>
      </c>
    </row>
    <row r="158" spans="1:13" hidden="1" x14ac:dyDescent="0.3">
      <c r="A158" t="str">
        <f>IF(ISNUMBER($K158),INDEX(Сборка!$O$2:$O$501,$K158),"")</f>
        <v/>
      </c>
      <c r="B158" t="str">
        <f>IF(ISNUMBER($K158),INDEX(Сборка!$C$2:$C$501,$K158),"")</f>
        <v/>
      </c>
      <c r="C158" s="5" t="str">
        <f>IF($L158&lt;&gt;"",INDEX(Сборка!$S$2:$S$501,MATCH($L158,Сборка!$P$2:$P$501,0)),IF(ISNUMBER($K158),INDEX(Сборка!$D$2:$D$501,$K158)&amp;IF(INDEX(Сборка!$I$2:$I$501,$K158)&lt;&gt;""," — "&amp;INDEX(Сборка!$I$2:$I$501,$K158),""),""))</f>
        <v/>
      </c>
      <c r="D158" t="str">
        <f>IF(ISNUMBER($K158),INDEX(Сборка!$E$2:$E$501,$K158),"")</f>
        <v/>
      </c>
      <c r="E158" t="str">
        <f>IF(ISNUMBER($K158),INDEX(Сборка!$G$2:$G$501,$K158),"")</f>
        <v/>
      </c>
      <c r="F158" s="6" t="str">
        <f>IF(ISNUMBER($K158),INDEX(Сборка!$J$2:$J$501,$K158),"")</f>
        <v/>
      </c>
      <c r="G158" s="6" t="str">
        <f>IF(ISNUMBER($K158),INDEX(Сборка!$K$2:$K$501,$K158),"")</f>
        <v/>
      </c>
      <c r="H158" s="6" t="str">
        <f t="shared" si="8"/>
        <v/>
      </c>
      <c r="I158" s="6" t="str">
        <f t="shared" si="9"/>
        <v/>
      </c>
      <c r="J158" s="6" t="str">
        <f t="shared" si="10"/>
        <v/>
      </c>
      <c r="K158" t="str">
        <f>IFERROR(MATCH(138,Сборка!$R$2:$R$501,0),"")</f>
        <v/>
      </c>
      <c r="L158" t="str">
        <f>IFERROR(IF(INDEX(Сборка!$Q$2:$Q$501,MATCH(138+1,Сборка!$R$2:$R$501,0))=1,INDEX(Сборка!$P$2:$P$501,MATCH(138+1,Сборка!$R$2:$R$501,0)),""),"")</f>
        <v/>
      </c>
      <c r="M158" t="str">
        <f t="shared" si="11"/>
        <v/>
      </c>
    </row>
    <row r="159" spans="1:13" hidden="1" x14ac:dyDescent="0.3">
      <c r="A159" t="str">
        <f>IF(ISNUMBER($K159),INDEX(Сборка!$O$2:$O$501,$K159),"")</f>
        <v/>
      </c>
      <c r="B159" t="str">
        <f>IF(ISNUMBER($K159),INDEX(Сборка!$C$2:$C$501,$K159),"")</f>
        <v/>
      </c>
      <c r="C159" s="5" t="str">
        <f>IF($L159&lt;&gt;"",INDEX(Сборка!$S$2:$S$501,MATCH($L159,Сборка!$P$2:$P$501,0)),IF(ISNUMBER($K159),INDEX(Сборка!$D$2:$D$501,$K159)&amp;IF(INDEX(Сборка!$I$2:$I$501,$K159)&lt;&gt;""," — "&amp;INDEX(Сборка!$I$2:$I$501,$K159),""),""))</f>
        <v/>
      </c>
      <c r="D159" t="str">
        <f>IF(ISNUMBER($K159),INDEX(Сборка!$E$2:$E$501,$K159),"")</f>
        <v/>
      </c>
      <c r="E159" t="str">
        <f>IF(ISNUMBER($K159),INDEX(Сборка!$G$2:$G$501,$K159),"")</f>
        <v/>
      </c>
      <c r="F159" s="6" t="str">
        <f>IF(ISNUMBER($K159),INDEX(Сборка!$J$2:$J$501,$K159),"")</f>
        <v/>
      </c>
      <c r="G159" s="6" t="str">
        <f>IF(ISNUMBER($K159),INDEX(Сборка!$K$2:$K$501,$K159),"")</f>
        <v/>
      </c>
      <c r="H159" s="6" t="str">
        <f t="shared" si="8"/>
        <v/>
      </c>
      <c r="I159" s="6" t="str">
        <f t="shared" si="9"/>
        <v/>
      </c>
      <c r="J159" s="6" t="str">
        <f t="shared" si="10"/>
        <v/>
      </c>
      <c r="K159" t="str">
        <f>IFERROR(MATCH(139,Сборка!$R$2:$R$501,0),"")</f>
        <v/>
      </c>
      <c r="L159" t="str">
        <f>IFERROR(IF(INDEX(Сборка!$Q$2:$Q$501,MATCH(139+1,Сборка!$R$2:$R$501,0))=1,INDEX(Сборка!$P$2:$P$501,MATCH(139+1,Сборка!$R$2:$R$501,0)),""),"")</f>
        <v/>
      </c>
      <c r="M159" t="str">
        <f t="shared" si="11"/>
        <v/>
      </c>
    </row>
    <row r="160" spans="1:13" hidden="1" x14ac:dyDescent="0.3">
      <c r="A160" t="str">
        <f>IF(ISNUMBER($K160),INDEX(Сборка!$O$2:$O$501,$K160),"")</f>
        <v/>
      </c>
      <c r="B160" t="str">
        <f>IF(ISNUMBER($K160),INDEX(Сборка!$C$2:$C$501,$K160),"")</f>
        <v/>
      </c>
      <c r="C160" s="5" t="str">
        <f>IF($L160&lt;&gt;"",INDEX(Сборка!$S$2:$S$501,MATCH($L160,Сборка!$P$2:$P$501,0)),IF(ISNUMBER($K160),INDEX(Сборка!$D$2:$D$501,$K160)&amp;IF(INDEX(Сборка!$I$2:$I$501,$K160)&lt;&gt;""," — "&amp;INDEX(Сборка!$I$2:$I$501,$K160),""),""))</f>
        <v/>
      </c>
      <c r="D160" t="str">
        <f>IF(ISNUMBER($K160),INDEX(Сборка!$E$2:$E$501,$K160),"")</f>
        <v/>
      </c>
      <c r="E160" t="str">
        <f>IF(ISNUMBER($K160),INDEX(Сборка!$G$2:$G$501,$K160),"")</f>
        <v/>
      </c>
      <c r="F160" s="6" t="str">
        <f>IF(ISNUMBER($K160),INDEX(Сборка!$J$2:$J$501,$K160),"")</f>
        <v/>
      </c>
      <c r="G160" s="6" t="str">
        <f>IF(ISNUMBER($K160),INDEX(Сборка!$K$2:$K$501,$K160),"")</f>
        <v/>
      </c>
      <c r="H160" s="6" t="str">
        <f t="shared" si="8"/>
        <v/>
      </c>
      <c r="I160" s="6" t="str">
        <f t="shared" si="9"/>
        <v/>
      </c>
      <c r="J160" s="6" t="str">
        <f t="shared" si="10"/>
        <v/>
      </c>
      <c r="K160" t="str">
        <f>IFERROR(MATCH(140,Сборка!$R$2:$R$501,0),"")</f>
        <v/>
      </c>
      <c r="L160" t="str">
        <f>IFERROR(IF(INDEX(Сборка!$Q$2:$Q$501,MATCH(140+1,Сборка!$R$2:$R$501,0))=1,INDEX(Сборка!$P$2:$P$501,MATCH(140+1,Сборка!$R$2:$R$501,0)),""),"")</f>
        <v/>
      </c>
      <c r="M160" t="str">
        <f t="shared" si="11"/>
        <v/>
      </c>
    </row>
    <row r="161" spans="1:13" hidden="1" x14ac:dyDescent="0.3">
      <c r="A161" t="str">
        <f>IF(ISNUMBER($K161),INDEX(Сборка!$O$2:$O$501,$K161),"")</f>
        <v/>
      </c>
      <c r="B161" t="str">
        <f>IF(ISNUMBER($K161),INDEX(Сборка!$C$2:$C$501,$K161),"")</f>
        <v/>
      </c>
      <c r="C161" s="5" t="str">
        <f>IF($L161&lt;&gt;"",INDEX(Сборка!$S$2:$S$501,MATCH($L161,Сборка!$P$2:$P$501,0)),IF(ISNUMBER($K161),INDEX(Сборка!$D$2:$D$501,$K161)&amp;IF(INDEX(Сборка!$I$2:$I$501,$K161)&lt;&gt;""," — "&amp;INDEX(Сборка!$I$2:$I$501,$K161),""),""))</f>
        <v/>
      </c>
      <c r="D161" t="str">
        <f>IF(ISNUMBER($K161),INDEX(Сборка!$E$2:$E$501,$K161),"")</f>
        <v/>
      </c>
      <c r="E161" t="str">
        <f>IF(ISNUMBER($K161),INDEX(Сборка!$G$2:$G$501,$K161),"")</f>
        <v/>
      </c>
      <c r="F161" s="6" t="str">
        <f>IF(ISNUMBER($K161),INDEX(Сборка!$J$2:$J$501,$K161),"")</f>
        <v/>
      </c>
      <c r="G161" s="6" t="str">
        <f>IF(ISNUMBER($K161),INDEX(Сборка!$K$2:$K$501,$K161),"")</f>
        <v/>
      </c>
      <c r="H161" s="6" t="str">
        <f t="shared" si="8"/>
        <v/>
      </c>
      <c r="I161" s="6" t="str">
        <f t="shared" si="9"/>
        <v/>
      </c>
      <c r="J161" s="6" t="str">
        <f t="shared" si="10"/>
        <v/>
      </c>
      <c r="K161" t="str">
        <f>IFERROR(MATCH(141,Сборка!$R$2:$R$501,0),"")</f>
        <v/>
      </c>
      <c r="L161" t="str">
        <f>IFERROR(IF(INDEX(Сборка!$Q$2:$Q$501,MATCH(141+1,Сборка!$R$2:$R$501,0))=1,INDEX(Сборка!$P$2:$P$501,MATCH(141+1,Сборка!$R$2:$R$501,0)),""),"")</f>
        <v/>
      </c>
      <c r="M161" t="str">
        <f t="shared" si="11"/>
        <v/>
      </c>
    </row>
    <row r="162" spans="1:13" hidden="1" x14ac:dyDescent="0.3">
      <c r="A162" t="str">
        <f>IF(ISNUMBER($K162),INDEX(Сборка!$O$2:$O$501,$K162),"")</f>
        <v/>
      </c>
      <c r="B162" t="str">
        <f>IF(ISNUMBER($K162),INDEX(Сборка!$C$2:$C$501,$K162),"")</f>
        <v/>
      </c>
      <c r="C162" s="5" t="str">
        <f>IF($L162&lt;&gt;"",INDEX(Сборка!$S$2:$S$501,MATCH($L162,Сборка!$P$2:$P$501,0)),IF(ISNUMBER($K162),INDEX(Сборка!$D$2:$D$501,$K162)&amp;IF(INDEX(Сборка!$I$2:$I$501,$K162)&lt;&gt;""," — "&amp;INDEX(Сборка!$I$2:$I$501,$K162),""),""))</f>
        <v/>
      </c>
      <c r="D162" t="str">
        <f>IF(ISNUMBER($K162),INDEX(Сборка!$E$2:$E$501,$K162),"")</f>
        <v/>
      </c>
      <c r="E162" t="str">
        <f>IF(ISNUMBER($K162),INDEX(Сборка!$G$2:$G$501,$K162),"")</f>
        <v/>
      </c>
      <c r="F162" s="6" t="str">
        <f>IF(ISNUMBER($K162),INDEX(Сборка!$J$2:$J$501,$K162),"")</f>
        <v/>
      </c>
      <c r="G162" s="6" t="str">
        <f>IF(ISNUMBER($K162),INDEX(Сборка!$K$2:$K$501,$K162),"")</f>
        <v/>
      </c>
      <c r="H162" s="6" t="str">
        <f t="shared" si="8"/>
        <v/>
      </c>
      <c r="I162" s="6" t="str">
        <f t="shared" si="9"/>
        <v/>
      </c>
      <c r="J162" s="6" t="str">
        <f t="shared" si="10"/>
        <v/>
      </c>
      <c r="K162" t="str">
        <f>IFERROR(MATCH(142,Сборка!$R$2:$R$501,0),"")</f>
        <v/>
      </c>
      <c r="L162" t="str">
        <f>IFERROR(IF(INDEX(Сборка!$Q$2:$Q$501,MATCH(142+1,Сборка!$R$2:$R$501,0))=1,INDEX(Сборка!$P$2:$P$501,MATCH(142+1,Сборка!$R$2:$R$501,0)),""),"")</f>
        <v/>
      </c>
      <c r="M162" t="str">
        <f t="shared" si="11"/>
        <v/>
      </c>
    </row>
    <row r="163" spans="1:13" hidden="1" x14ac:dyDescent="0.3">
      <c r="A163" t="str">
        <f>IF(ISNUMBER($K163),INDEX(Сборка!$O$2:$O$501,$K163),"")</f>
        <v/>
      </c>
      <c r="B163" t="str">
        <f>IF(ISNUMBER($K163),INDEX(Сборка!$C$2:$C$501,$K163),"")</f>
        <v/>
      </c>
      <c r="C163" s="5" t="str">
        <f>IF($L163&lt;&gt;"",INDEX(Сборка!$S$2:$S$501,MATCH($L163,Сборка!$P$2:$P$501,0)),IF(ISNUMBER($K163),INDEX(Сборка!$D$2:$D$501,$K163)&amp;IF(INDEX(Сборка!$I$2:$I$501,$K163)&lt;&gt;""," — "&amp;INDEX(Сборка!$I$2:$I$501,$K163),""),""))</f>
        <v/>
      </c>
      <c r="D163" t="str">
        <f>IF(ISNUMBER($K163),INDEX(Сборка!$E$2:$E$501,$K163),"")</f>
        <v/>
      </c>
      <c r="E163" t="str">
        <f>IF(ISNUMBER($K163),INDEX(Сборка!$G$2:$G$501,$K163),"")</f>
        <v/>
      </c>
      <c r="F163" s="6" t="str">
        <f>IF(ISNUMBER($K163),INDEX(Сборка!$J$2:$J$501,$K163),"")</f>
        <v/>
      </c>
      <c r="G163" s="6" t="str">
        <f>IF(ISNUMBER($K163),INDEX(Сборка!$K$2:$K$501,$K163),"")</f>
        <v/>
      </c>
      <c r="H163" s="6" t="str">
        <f t="shared" si="8"/>
        <v/>
      </c>
      <c r="I163" s="6" t="str">
        <f t="shared" si="9"/>
        <v/>
      </c>
      <c r="J163" s="6" t="str">
        <f t="shared" si="10"/>
        <v/>
      </c>
      <c r="K163" t="str">
        <f>IFERROR(MATCH(143,Сборка!$R$2:$R$501,0),"")</f>
        <v/>
      </c>
      <c r="L163" t="str">
        <f>IFERROR(IF(INDEX(Сборка!$Q$2:$Q$501,MATCH(143+1,Сборка!$R$2:$R$501,0))=1,INDEX(Сборка!$P$2:$P$501,MATCH(143+1,Сборка!$R$2:$R$501,0)),""),"")</f>
        <v/>
      </c>
      <c r="M163" t="str">
        <f t="shared" si="11"/>
        <v/>
      </c>
    </row>
    <row r="164" spans="1:13" hidden="1" x14ac:dyDescent="0.3">
      <c r="A164" t="str">
        <f>IF(ISNUMBER($K164),INDEX(Сборка!$O$2:$O$501,$K164),"")</f>
        <v/>
      </c>
      <c r="B164" t="str">
        <f>IF(ISNUMBER($K164),INDEX(Сборка!$C$2:$C$501,$K164),"")</f>
        <v/>
      </c>
      <c r="C164" s="5" t="str">
        <f>IF($L164&lt;&gt;"",INDEX(Сборка!$S$2:$S$501,MATCH($L164,Сборка!$P$2:$P$501,0)),IF(ISNUMBER($K164),INDEX(Сборка!$D$2:$D$501,$K164)&amp;IF(INDEX(Сборка!$I$2:$I$501,$K164)&lt;&gt;""," — "&amp;INDEX(Сборка!$I$2:$I$501,$K164),""),""))</f>
        <v/>
      </c>
      <c r="D164" t="str">
        <f>IF(ISNUMBER($K164),INDEX(Сборка!$E$2:$E$501,$K164),"")</f>
        <v/>
      </c>
      <c r="E164" t="str">
        <f>IF(ISNUMBER($K164),INDEX(Сборка!$G$2:$G$501,$K164),"")</f>
        <v/>
      </c>
      <c r="F164" s="6" t="str">
        <f>IF(ISNUMBER($K164),INDEX(Сборка!$J$2:$J$501,$K164),"")</f>
        <v/>
      </c>
      <c r="G164" s="6" t="str">
        <f>IF(ISNUMBER($K164),INDEX(Сборка!$K$2:$K$501,$K164),"")</f>
        <v/>
      </c>
      <c r="H164" s="6" t="str">
        <f t="shared" si="8"/>
        <v/>
      </c>
      <c r="I164" s="6" t="str">
        <f t="shared" si="9"/>
        <v/>
      </c>
      <c r="J164" s="6" t="str">
        <f t="shared" si="10"/>
        <v/>
      </c>
      <c r="K164" t="str">
        <f>IFERROR(MATCH(144,Сборка!$R$2:$R$501,0),"")</f>
        <v/>
      </c>
      <c r="L164" t="str">
        <f>IFERROR(IF(INDEX(Сборка!$Q$2:$Q$501,MATCH(144+1,Сборка!$R$2:$R$501,0))=1,INDEX(Сборка!$P$2:$P$501,MATCH(144+1,Сборка!$R$2:$R$501,0)),""),"")</f>
        <v/>
      </c>
      <c r="M164" t="str">
        <f t="shared" si="11"/>
        <v/>
      </c>
    </row>
    <row r="165" spans="1:13" hidden="1" x14ac:dyDescent="0.3">
      <c r="A165" t="str">
        <f>IF(ISNUMBER($K165),INDEX(Сборка!$O$2:$O$501,$K165),"")</f>
        <v/>
      </c>
      <c r="B165" t="str">
        <f>IF(ISNUMBER($K165),INDEX(Сборка!$C$2:$C$501,$K165),"")</f>
        <v/>
      </c>
      <c r="C165" s="5" t="str">
        <f>IF($L165&lt;&gt;"",INDEX(Сборка!$S$2:$S$501,MATCH($L165,Сборка!$P$2:$P$501,0)),IF(ISNUMBER($K165),INDEX(Сборка!$D$2:$D$501,$K165)&amp;IF(INDEX(Сборка!$I$2:$I$501,$K165)&lt;&gt;""," — "&amp;INDEX(Сборка!$I$2:$I$501,$K165),""),""))</f>
        <v/>
      </c>
      <c r="D165" t="str">
        <f>IF(ISNUMBER($K165),INDEX(Сборка!$E$2:$E$501,$K165),"")</f>
        <v/>
      </c>
      <c r="E165" t="str">
        <f>IF(ISNUMBER($K165),INDEX(Сборка!$G$2:$G$501,$K165),"")</f>
        <v/>
      </c>
      <c r="F165" s="6" t="str">
        <f>IF(ISNUMBER($K165),INDEX(Сборка!$J$2:$J$501,$K165),"")</f>
        <v/>
      </c>
      <c r="G165" s="6" t="str">
        <f>IF(ISNUMBER($K165),INDEX(Сборка!$K$2:$K$501,$K165),"")</f>
        <v/>
      </c>
      <c r="H165" s="6" t="str">
        <f t="shared" si="8"/>
        <v/>
      </c>
      <c r="I165" s="6" t="str">
        <f t="shared" si="9"/>
        <v/>
      </c>
      <c r="J165" s="6" t="str">
        <f t="shared" si="10"/>
        <v/>
      </c>
      <c r="K165" t="str">
        <f>IFERROR(MATCH(145,Сборка!$R$2:$R$501,0),"")</f>
        <v/>
      </c>
      <c r="L165" t="str">
        <f>IFERROR(IF(INDEX(Сборка!$Q$2:$Q$501,MATCH(145+1,Сборка!$R$2:$R$501,0))=1,INDEX(Сборка!$P$2:$P$501,MATCH(145+1,Сборка!$R$2:$R$501,0)),""),"")</f>
        <v/>
      </c>
      <c r="M165" t="str">
        <f t="shared" si="11"/>
        <v/>
      </c>
    </row>
    <row r="166" spans="1:13" hidden="1" x14ac:dyDescent="0.3">
      <c r="A166" t="str">
        <f>IF(ISNUMBER($K166),INDEX(Сборка!$O$2:$O$501,$K166),"")</f>
        <v/>
      </c>
      <c r="B166" t="str">
        <f>IF(ISNUMBER($K166),INDEX(Сборка!$C$2:$C$501,$K166),"")</f>
        <v/>
      </c>
      <c r="C166" s="5" t="str">
        <f>IF($L166&lt;&gt;"",INDEX(Сборка!$S$2:$S$501,MATCH($L166,Сборка!$P$2:$P$501,0)),IF(ISNUMBER($K166),INDEX(Сборка!$D$2:$D$501,$K166)&amp;IF(INDEX(Сборка!$I$2:$I$501,$K166)&lt;&gt;""," — "&amp;INDEX(Сборка!$I$2:$I$501,$K166),""),""))</f>
        <v/>
      </c>
      <c r="D166" t="str">
        <f>IF(ISNUMBER($K166),INDEX(Сборка!$E$2:$E$501,$K166),"")</f>
        <v/>
      </c>
      <c r="E166" t="str">
        <f>IF(ISNUMBER($K166),INDEX(Сборка!$G$2:$G$501,$K166),"")</f>
        <v/>
      </c>
      <c r="F166" s="6" t="str">
        <f>IF(ISNUMBER($K166),INDEX(Сборка!$J$2:$J$501,$K166),"")</f>
        <v/>
      </c>
      <c r="G166" s="6" t="str">
        <f>IF(ISNUMBER($K166),INDEX(Сборка!$K$2:$K$501,$K166),"")</f>
        <v/>
      </c>
      <c r="H166" s="6" t="str">
        <f t="shared" si="8"/>
        <v/>
      </c>
      <c r="I166" s="6" t="str">
        <f t="shared" si="9"/>
        <v/>
      </c>
      <c r="J166" s="6" t="str">
        <f t="shared" si="10"/>
        <v/>
      </c>
      <c r="K166" t="str">
        <f>IFERROR(MATCH(146,Сборка!$R$2:$R$501,0),"")</f>
        <v/>
      </c>
      <c r="L166" t="str">
        <f>IFERROR(IF(INDEX(Сборка!$Q$2:$Q$501,MATCH(146+1,Сборка!$R$2:$R$501,0))=1,INDEX(Сборка!$P$2:$P$501,MATCH(146+1,Сборка!$R$2:$R$501,0)),""),"")</f>
        <v/>
      </c>
      <c r="M166" t="str">
        <f t="shared" si="11"/>
        <v/>
      </c>
    </row>
    <row r="167" spans="1:13" hidden="1" x14ac:dyDescent="0.3">
      <c r="A167" t="str">
        <f>IF(ISNUMBER($K167),INDEX(Сборка!$O$2:$O$501,$K167),"")</f>
        <v/>
      </c>
      <c r="B167" t="str">
        <f>IF(ISNUMBER($K167),INDEX(Сборка!$C$2:$C$501,$K167),"")</f>
        <v/>
      </c>
      <c r="C167" s="5" t="str">
        <f>IF($L167&lt;&gt;"",INDEX(Сборка!$S$2:$S$501,MATCH($L167,Сборка!$P$2:$P$501,0)),IF(ISNUMBER($K167),INDEX(Сборка!$D$2:$D$501,$K167)&amp;IF(INDEX(Сборка!$I$2:$I$501,$K167)&lt;&gt;""," — "&amp;INDEX(Сборка!$I$2:$I$501,$K167),""),""))</f>
        <v/>
      </c>
      <c r="D167" t="str">
        <f>IF(ISNUMBER($K167),INDEX(Сборка!$E$2:$E$501,$K167),"")</f>
        <v/>
      </c>
      <c r="E167" t="str">
        <f>IF(ISNUMBER($K167),INDEX(Сборка!$G$2:$G$501,$K167),"")</f>
        <v/>
      </c>
      <c r="F167" s="6" t="str">
        <f>IF(ISNUMBER($K167),INDEX(Сборка!$J$2:$J$501,$K167),"")</f>
        <v/>
      </c>
      <c r="G167" s="6" t="str">
        <f>IF(ISNUMBER($K167),INDEX(Сборка!$K$2:$K$501,$K167),"")</f>
        <v/>
      </c>
      <c r="H167" s="6" t="str">
        <f t="shared" si="8"/>
        <v/>
      </c>
      <c r="I167" s="6" t="str">
        <f t="shared" si="9"/>
        <v/>
      </c>
      <c r="J167" s="6" t="str">
        <f t="shared" si="10"/>
        <v/>
      </c>
      <c r="K167" t="str">
        <f>IFERROR(MATCH(147,Сборка!$R$2:$R$501,0),"")</f>
        <v/>
      </c>
      <c r="L167" t="str">
        <f>IFERROR(IF(INDEX(Сборка!$Q$2:$Q$501,MATCH(147+1,Сборка!$R$2:$R$501,0))=1,INDEX(Сборка!$P$2:$P$501,MATCH(147+1,Сборка!$R$2:$R$501,0)),""),"")</f>
        <v/>
      </c>
      <c r="M167" t="str">
        <f t="shared" si="11"/>
        <v/>
      </c>
    </row>
    <row r="168" spans="1:13" hidden="1" x14ac:dyDescent="0.3">
      <c r="A168" t="str">
        <f>IF(ISNUMBER($K168),INDEX(Сборка!$O$2:$O$501,$K168),"")</f>
        <v/>
      </c>
      <c r="B168" t="str">
        <f>IF(ISNUMBER($K168),INDEX(Сборка!$C$2:$C$501,$K168),"")</f>
        <v/>
      </c>
      <c r="C168" s="5" t="str">
        <f>IF($L168&lt;&gt;"",INDEX(Сборка!$S$2:$S$501,MATCH($L168,Сборка!$P$2:$P$501,0)),IF(ISNUMBER($K168),INDEX(Сборка!$D$2:$D$501,$K168)&amp;IF(INDEX(Сборка!$I$2:$I$501,$K168)&lt;&gt;""," — "&amp;INDEX(Сборка!$I$2:$I$501,$K168),""),""))</f>
        <v/>
      </c>
      <c r="D168" t="str">
        <f>IF(ISNUMBER($K168),INDEX(Сборка!$E$2:$E$501,$K168),"")</f>
        <v/>
      </c>
      <c r="E168" t="str">
        <f>IF(ISNUMBER($K168),INDEX(Сборка!$G$2:$G$501,$K168),"")</f>
        <v/>
      </c>
      <c r="F168" s="6" t="str">
        <f>IF(ISNUMBER($K168),INDEX(Сборка!$J$2:$J$501,$K168),"")</f>
        <v/>
      </c>
      <c r="G168" s="6" t="str">
        <f>IF(ISNUMBER($K168),INDEX(Сборка!$K$2:$K$501,$K168),"")</f>
        <v/>
      </c>
      <c r="H168" s="6" t="str">
        <f t="shared" si="8"/>
        <v/>
      </c>
      <c r="I168" s="6" t="str">
        <f t="shared" si="9"/>
        <v/>
      </c>
      <c r="J168" s="6" t="str">
        <f t="shared" si="10"/>
        <v/>
      </c>
      <c r="K168" t="str">
        <f>IFERROR(MATCH(148,Сборка!$R$2:$R$501,0),"")</f>
        <v/>
      </c>
      <c r="L168" t="str">
        <f>IFERROR(IF(INDEX(Сборка!$Q$2:$Q$501,MATCH(148+1,Сборка!$R$2:$R$501,0))=1,INDEX(Сборка!$P$2:$P$501,MATCH(148+1,Сборка!$R$2:$R$501,0)),""),"")</f>
        <v/>
      </c>
      <c r="M168" t="str">
        <f t="shared" si="11"/>
        <v/>
      </c>
    </row>
    <row r="169" spans="1:13" hidden="1" x14ac:dyDescent="0.3">
      <c r="A169" t="str">
        <f>IF(ISNUMBER($K169),INDEX(Сборка!$O$2:$O$501,$K169),"")</f>
        <v/>
      </c>
      <c r="B169" t="str">
        <f>IF(ISNUMBER($K169),INDEX(Сборка!$C$2:$C$501,$K169),"")</f>
        <v/>
      </c>
      <c r="C169" s="5" t="str">
        <f>IF($L169&lt;&gt;"",INDEX(Сборка!$S$2:$S$501,MATCH($L169,Сборка!$P$2:$P$501,0)),IF(ISNUMBER($K169),INDEX(Сборка!$D$2:$D$501,$K169)&amp;IF(INDEX(Сборка!$I$2:$I$501,$K169)&lt;&gt;""," — "&amp;INDEX(Сборка!$I$2:$I$501,$K169),""),""))</f>
        <v/>
      </c>
      <c r="D169" t="str">
        <f>IF(ISNUMBER($K169),INDEX(Сборка!$E$2:$E$501,$K169),"")</f>
        <v/>
      </c>
      <c r="E169" t="str">
        <f>IF(ISNUMBER($K169),INDEX(Сборка!$G$2:$G$501,$K169),"")</f>
        <v/>
      </c>
      <c r="F169" s="6" t="str">
        <f>IF(ISNUMBER($K169),INDEX(Сборка!$J$2:$J$501,$K169),"")</f>
        <v/>
      </c>
      <c r="G169" s="6" t="str">
        <f>IF(ISNUMBER($K169),INDEX(Сборка!$K$2:$K$501,$K169),"")</f>
        <v/>
      </c>
      <c r="H169" s="6" t="str">
        <f t="shared" si="8"/>
        <v/>
      </c>
      <c r="I169" s="6" t="str">
        <f t="shared" si="9"/>
        <v/>
      </c>
      <c r="J169" s="6" t="str">
        <f t="shared" si="10"/>
        <v/>
      </c>
      <c r="K169" t="str">
        <f>IFERROR(MATCH(149,Сборка!$R$2:$R$501,0),"")</f>
        <v/>
      </c>
      <c r="L169" t="str">
        <f>IFERROR(IF(INDEX(Сборка!$Q$2:$Q$501,MATCH(149+1,Сборка!$R$2:$R$501,0))=1,INDEX(Сборка!$P$2:$P$501,MATCH(149+1,Сборка!$R$2:$R$501,0)),""),"")</f>
        <v/>
      </c>
      <c r="M169" t="str">
        <f t="shared" si="11"/>
        <v/>
      </c>
    </row>
    <row r="170" spans="1:13" hidden="1" x14ac:dyDescent="0.3">
      <c r="A170" t="str">
        <f>IF(ISNUMBER($K170),INDEX(Сборка!$O$2:$O$501,$K170),"")</f>
        <v/>
      </c>
      <c r="B170" t="str">
        <f>IF(ISNUMBER($K170),INDEX(Сборка!$C$2:$C$501,$K170),"")</f>
        <v/>
      </c>
      <c r="C170" s="5" t="str">
        <f>IF($L170&lt;&gt;"",INDEX(Сборка!$S$2:$S$501,MATCH($L170,Сборка!$P$2:$P$501,0)),IF(ISNUMBER($K170),INDEX(Сборка!$D$2:$D$501,$K170)&amp;IF(INDEX(Сборка!$I$2:$I$501,$K170)&lt;&gt;""," — "&amp;INDEX(Сборка!$I$2:$I$501,$K170),""),""))</f>
        <v/>
      </c>
      <c r="D170" t="str">
        <f>IF(ISNUMBER($K170),INDEX(Сборка!$E$2:$E$501,$K170),"")</f>
        <v/>
      </c>
      <c r="E170" t="str">
        <f>IF(ISNUMBER($K170),INDEX(Сборка!$G$2:$G$501,$K170),"")</f>
        <v/>
      </c>
      <c r="F170" s="6" t="str">
        <f>IF(ISNUMBER($K170),INDEX(Сборка!$J$2:$J$501,$K170),"")</f>
        <v/>
      </c>
      <c r="G170" s="6" t="str">
        <f>IF(ISNUMBER($K170),INDEX(Сборка!$K$2:$K$501,$K170),"")</f>
        <v/>
      </c>
      <c r="H170" s="6" t="str">
        <f t="shared" si="8"/>
        <v/>
      </c>
      <c r="I170" s="6" t="str">
        <f t="shared" si="9"/>
        <v/>
      </c>
      <c r="J170" s="6" t="str">
        <f t="shared" si="10"/>
        <v/>
      </c>
      <c r="K170" t="str">
        <f>IFERROR(MATCH(150,Сборка!$R$2:$R$501,0),"")</f>
        <v/>
      </c>
      <c r="L170" t="str">
        <f>IFERROR(IF(INDEX(Сборка!$Q$2:$Q$501,MATCH(150+1,Сборка!$R$2:$R$501,0))=1,INDEX(Сборка!$P$2:$P$501,MATCH(150+1,Сборка!$R$2:$R$501,0)),""),"")</f>
        <v/>
      </c>
      <c r="M170" t="str">
        <f t="shared" si="11"/>
        <v/>
      </c>
    </row>
    <row r="171" spans="1:13" hidden="1" x14ac:dyDescent="0.3">
      <c r="A171" t="str">
        <f>IF(ISNUMBER($K171),INDEX(Сборка!$O$2:$O$501,$K171),"")</f>
        <v/>
      </c>
      <c r="B171" t="str">
        <f>IF(ISNUMBER($K171),INDEX(Сборка!$C$2:$C$501,$K171),"")</f>
        <v/>
      </c>
      <c r="C171" s="5" t="str">
        <f>IF($L171&lt;&gt;"",INDEX(Сборка!$S$2:$S$501,MATCH($L171,Сборка!$P$2:$P$501,0)),IF(ISNUMBER($K171),INDEX(Сборка!$D$2:$D$501,$K171)&amp;IF(INDEX(Сборка!$I$2:$I$501,$K171)&lt;&gt;""," — "&amp;INDEX(Сборка!$I$2:$I$501,$K171),""),""))</f>
        <v/>
      </c>
      <c r="D171" t="str">
        <f>IF(ISNUMBER($K171),INDEX(Сборка!$E$2:$E$501,$K171),"")</f>
        <v/>
      </c>
      <c r="E171" t="str">
        <f>IF(ISNUMBER($K171),INDEX(Сборка!$G$2:$G$501,$K171),"")</f>
        <v/>
      </c>
      <c r="F171" s="6" t="str">
        <f>IF(ISNUMBER($K171),INDEX(Сборка!$J$2:$J$501,$K171),"")</f>
        <v/>
      </c>
      <c r="G171" s="6" t="str">
        <f>IF(ISNUMBER($K171),INDEX(Сборка!$K$2:$K$501,$K171),"")</f>
        <v/>
      </c>
      <c r="H171" s="6" t="str">
        <f t="shared" si="8"/>
        <v/>
      </c>
      <c r="I171" s="6" t="str">
        <f t="shared" si="9"/>
        <v/>
      </c>
      <c r="J171" s="6" t="str">
        <f t="shared" si="10"/>
        <v/>
      </c>
      <c r="K171" t="str">
        <f>IFERROR(MATCH(151,Сборка!$R$2:$R$501,0),"")</f>
        <v/>
      </c>
      <c r="L171" t="str">
        <f>IFERROR(IF(INDEX(Сборка!$Q$2:$Q$501,MATCH(151+1,Сборка!$R$2:$R$501,0))=1,INDEX(Сборка!$P$2:$P$501,MATCH(151+1,Сборка!$R$2:$R$501,0)),""),"")</f>
        <v/>
      </c>
      <c r="M171" t="str">
        <f t="shared" si="11"/>
        <v/>
      </c>
    </row>
    <row r="172" spans="1:13" hidden="1" x14ac:dyDescent="0.3">
      <c r="A172" t="str">
        <f>IF(ISNUMBER($K172),INDEX(Сборка!$O$2:$O$501,$K172),"")</f>
        <v/>
      </c>
      <c r="B172" t="str">
        <f>IF(ISNUMBER($K172),INDEX(Сборка!$C$2:$C$501,$K172),"")</f>
        <v/>
      </c>
      <c r="C172" s="5" t="str">
        <f>IF($L172&lt;&gt;"",INDEX(Сборка!$S$2:$S$501,MATCH($L172,Сборка!$P$2:$P$501,0)),IF(ISNUMBER($K172),INDEX(Сборка!$D$2:$D$501,$K172)&amp;IF(INDEX(Сборка!$I$2:$I$501,$K172)&lt;&gt;""," — "&amp;INDEX(Сборка!$I$2:$I$501,$K172),""),""))</f>
        <v/>
      </c>
      <c r="D172" t="str">
        <f>IF(ISNUMBER($K172),INDEX(Сборка!$E$2:$E$501,$K172),"")</f>
        <v/>
      </c>
      <c r="E172" t="str">
        <f>IF(ISNUMBER($K172),INDEX(Сборка!$G$2:$G$501,$K172),"")</f>
        <v/>
      </c>
      <c r="F172" s="6" t="str">
        <f>IF(ISNUMBER($K172),INDEX(Сборка!$J$2:$J$501,$K172),"")</f>
        <v/>
      </c>
      <c r="G172" s="6" t="str">
        <f>IF(ISNUMBER($K172),INDEX(Сборка!$K$2:$K$501,$K172),"")</f>
        <v/>
      </c>
      <c r="H172" s="6" t="str">
        <f t="shared" si="8"/>
        <v/>
      </c>
      <c r="I172" s="6" t="str">
        <f t="shared" si="9"/>
        <v/>
      </c>
      <c r="J172" s="6" t="str">
        <f t="shared" si="10"/>
        <v/>
      </c>
      <c r="K172" t="str">
        <f>IFERROR(MATCH(152,Сборка!$R$2:$R$501,0),"")</f>
        <v/>
      </c>
      <c r="L172" t="str">
        <f>IFERROR(IF(INDEX(Сборка!$Q$2:$Q$501,MATCH(152+1,Сборка!$R$2:$R$501,0))=1,INDEX(Сборка!$P$2:$P$501,MATCH(152+1,Сборка!$R$2:$R$501,0)),""),"")</f>
        <v/>
      </c>
      <c r="M172" t="str">
        <f t="shared" si="11"/>
        <v/>
      </c>
    </row>
    <row r="173" spans="1:13" hidden="1" x14ac:dyDescent="0.3">
      <c r="A173" t="str">
        <f>IF(ISNUMBER($K173),INDEX(Сборка!$O$2:$O$501,$K173),"")</f>
        <v/>
      </c>
      <c r="B173" t="str">
        <f>IF(ISNUMBER($K173),INDEX(Сборка!$C$2:$C$501,$K173),"")</f>
        <v/>
      </c>
      <c r="C173" s="5" t="str">
        <f>IF($L173&lt;&gt;"",INDEX(Сборка!$S$2:$S$501,MATCH($L173,Сборка!$P$2:$P$501,0)),IF(ISNUMBER($K173),INDEX(Сборка!$D$2:$D$501,$K173)&amp;IF(INDEX(Сборка!$I$2:$I$501,$K173)&lt;&gt;""," — "&amp;INDEX(Сборка!$I$2:$I$501,$K173),""),""))</f>
        <v/>
      </c>
      <c r="D173" t="str">
        <f>IF(ISNUMBER($K173),INDEX(Сборка!$E$2:$E$501,$K173),"")</f>
        <v/>
      </c>
      <c r="E173" t="str">
        <f>IF(ISNUMBER($K173),INDEX(Сборка!$G$2:$G$501,$K173),"")</f>
        <v/>
      </c>
      <c r="F173" s="6" t="str">
        <f>IF(ISNUMBER($K173),INDEX(Сборка!$J$2:$J$501,$K173),"")</f>
        <v/>
      </c>
      <c r="G173" s="6" t="str">
        <f>IF(ISNUMBER($K173),INDEX(Сборка!$K$2:$K$501,$K173),"")</f>
        <v/>
      </c>
      <c r="H173" s="6" t="str">
        <f t="shared" si="8"/>
        <v/>
      </c>
      <c r="I173" s="6" t="str">
        <f t="shared" si="9"/>
        <v/>
      </c>
      <c r="J173" s="6" t="str">
        <f t="shared" si="10"/>
        <v/>
      </c>
      <c r="K173" t="str">
        <f>IFERROR(MATCH(153,Сборка!$R$2:$R$501,0),"")</f>
        <v/>
      </c>
      <c r="L173" t="str">
        <f>IFERROR(IF(INDEX(Сборка!$Q$2:$Q$501,MATCH(153+1,Сборка!$R$2:$R$501,0))=1,INDEX(Сборка!$P$2:$P$501,MATCH(153+1,Сборка!$R$2:$R$501,0)),""),"")</f>
        <v/>
      </c>
      <c r="M173" t="str">
        <f t="shared" si="11"/>
        <v/>
      </c>
    </row>
    <row r="174" spans="1:13" hidden="1" x14ac:dyDescent="0.3">
      <c r="A174" t="str">
        <f>IF(ISNUMBER($K174),INDEX(Сборка!$O$2:$O$501,$K174),"")</f>
        <v/>
      </c>
      <c r="B174" t="str">
        <f>IF(ISNUMBER($K174),INDEX(Сборка!$C$2:$C$501,$K174),"")</f>
        <v/>
      </c>
      <c r="C174" s="5" t="str">
        <f>IF($L174&lt;&gt;"",INDEX(Сборка!$S$2:$S$501,MATCH($L174,Сборка!$P$2:$P$501,0)),IF(ISNUMBER($K174),INDEX(Сборка!$D$2:$D$501,$K174)&amp;IF(INDEX(Сборка!$I$2:$I$501,$K174)&lt;&gt;""," — "&amp;INDEX(Сборка!$I$2:$I$501,$K174),""),""))</f>
        <v/>
      </c>
      <c r="D174" t="str">
        <f>IF(ISNUMBER($K174),INDEX(Сборка!$E$2:$E$501,$K174),"")</f>
        <v/>
      </c>
      <c r="E174" t="str">
        <f>IF(ISNUMBER($K174),INDEX(Сборка!$G$2:$G$501,$K174),"")</f>
        <v/>
      </c>
      <c r="F174" s="6" t="str">
        <f>IF(ISNUMBER($K174),INDEX(Сборка!$J$2:$J$501,$K174),"")</f>
        <v/>
      </c>
      <c r="G174" s="6" t="str">
        <f>IF(ISNUMBER($K174),INDEX(Сборка!$K$2:$K$501,$K174),"")</f>
        <v/>
      </c>
      <c r="H174" s="6" t="str">
        <f t="shared" si="8"/>
        <v/>
      </c>
      <c r="I174" s="6" t="str">
        <f t="shared" si="9"/>
        <v/>
      </c>
      <c r="J174" s="6" t="str">
        <f t="shared" si="10"/>
        <v/>
      </c>
      <c r="K174" t="str">
        <f>IFERROR(MATCH(154,Сборка!$R$2:$R$501,0),"")</f>
        <v/>
      </c>
      <c r="L174" t="str">
        <f>IFERROR(IF(INDEX(Сборка!$Q$2:$Q$501,MATCH(154+1,Сборка!$R$2:$R$501,0))=1,INDEX(Сборка!$P$2:$P$501,MATCH(154+1,Сборка!$R$2:$R$501,0)),""),"")</f>
        <v/>
      </c>
      <c r="M174" t="str">
        <f t="shared" si="11"/>
        <v/>
      </c>
    </row>
    <row r="175" spans="1:13" hidden="1" x14ac:dyDescent="0.3">
      <c r="A175" t="str">
        <f>IF(ISNUMBER($K175),INDEX(Сборка!$O$2:$O$501,$K175),"")</f>
        <v/>
      </c>
      <c r="B175" t="str">
        <f>IF(ISNUMBER($K175),INDEX(Сборка!$C$2:$C$501,$K175),"")</f>
        <v/>
      </c>
      <c r="C175" s="5" t="str">
        <f>IF($L175&lt;&gt;"",INDEX(Сборка!$S$2:$S$501,MATCH($L175,Сборка!$P$2:$P$501,0)),IF(ISNUMBER($K175),INDEX(Сборка!$D$2:$D$501,$K175)&amp;IF(INDEX(Сборка!$I$2:$I$501,$K175)&lt;&gt;""," — "&amp;INDEX(Сборка!$I$2:$I$501,$K175),""),""))</f>
        <v/>
      </c>
      <c r="D175" t="str">
        <f>IF(ISNUMBER($K175),INDEX(Сборка!$E$2:$E$501,$K175),"")</f>
        <v/>
      </c>
      <c r="E175" t="str">
        <f>IF(ISNUMBER($K175),INDEX(Сборка!$G$2:$G$501,$K175),"")</f>
        <v/>
      </c>
      <c r="F175" s="6" t="str">
        <f>IF(ISNUMBER($K175),INDEX(Сборка!$J$2:$J$501,$K175),"")</f>
        <v/>
      </c>
      <c r="G175" s="6" t="str">
        <f>IF(ISNUMBER($K175),INDEX(Сборка!$K$2:$K$501,$K175),"")</f>
        <v/>
      </c>
      <c r="H175" s="6" t="str">
        <f t="shared" si="8"/>
        <v/>
      </c>
      <c r="I175" s="6" t="str">
        <f t="shared" si="9"/>
        <v/>
      </c>
      <c r="J175" s="6" t="str">
        <f t="shared" si="10"/>
        <v/>
      </c>
      <c r="K175" t="str">
        <f>IFERROR(MATCH(155,Сборка!$R$2:$R$501,0),"")</f>
        <v/>
      </c>
      <c r="L175" t="str">
        <f>IFERROR(IF(INDEX(Сборка!$Q$2:$Q$501,MATCH(155+1,Сборка!$R$2:$R$501,0))=1,INDEX(Сборка!$P$2:$P$501,MATCH(155+1,Сборка!$R$2:$R$501,0)),""),"")</f>
        <v/>
      </c>
      <c r="M175" t="str">
        <f t="shared" si="11"/>
        <v/>
      </c>
    </row>
    <row r="176" spans="1:13" hidden="1" x14ac:dyDescent="0.3">
      <c r="A176" t="str">
        <f>IF(ISNUMBER($K176),INDEX(Сборка!$O$2:$O$501,$K176),"")</f>
        <v/>
      </c>
      <c r="B176" t="str">
        <f>IF(ISNUMBER($K176),INDEX(Сборка!$C$2:$C$501,$K176),"")</f>
        <v/>
      </c>
      <c r="C176" s="5" t="str">
        <f>IF($L176&lt;&gt;"",INDEX(Сборка!$S$2:$S$501,MATCH($L176,Сборка!$P$2:$P$501,0)),IF(ISNUMBER($K176),INDEX(Сборка!$D$2:$D$501,$K176)&amp;IF(INDEX(Сборка!$I$2:$I$501,$K176)&lt;&gt;""," — "&amp;INDEX(Сборка!$I$2:$I$501,$K176),""),""))</f>
        <v/>
      </c>
      <c r="D176" t="str">
        <f>IF(ISNUMBER($K176),INDEX(Сборка!$E$2:$E$501,$K176),"")</f>
        <v/>
      </c>
      <c r="E176" t="str">
        <f>IF(ISNUMBER($K176),INDEX(Сборка!$G$2:$G$501,$K176),"")</f>
        <v/>
      </c>
      <c r="F176" s="6" t="str">
        <f>IF(ISNUMBER($K176),INDEX(Сборка!$J$2:$J$501,$K176),"")</f>
        <v/>
      </c>
      <c r="G176" s="6" t="str">
        <f>IF(ISNUMBER($K176),INDEX(Сборка!$K$2:$K$501,$K176),"")</f>
        <v/>
      </c>
      <c r="H176" s="6" t="str">
        <f t="shared" si="8"/>
        <v/>
      </c>
      <c r="I176" s="6" t="str">
        <f t="shared" si="9"/>
        <v/>
      </c>
      <c r="J176" s="6" t="str">
        <f t="shared" si="10"/>
        <v/>
      </c>
      <c r="K176" t="str">
        <f>IFERROR(MATCH(156,Сборка!$R$2:$R$501,0),"")</f>
        <v/>
      </c>
      <c r="L176" t="str">
        <f>IFERROR(IF(INDEX(Сборка!$Q$2:$Q$501,MATCH(156+1,Сборка!$R$2:$R$501,0))=1,INDEX(Сборка!$P$2:$P$501,MATCH(156+1,Сборка!$R$2:$R$501,0)),""),"")</f>
        <v/>
      </c>
      <c r="M176" t="str">
        <f t="shared" si="11"/>
        <v/>
      </c>
    </row>
    <row r="177" spans="1:13" hidden="1" x14ac:dyDescent="0.3">
      <c r="A177" t="str">
        <f>IF(ISNUMBER($K177),INDEX(Сборка!$O$2:$O$501,$K177),"")</f>
        <v/>
      </c>
      <c r="B177" t="str">
        <f>IF(ISNUMBER($K177),INDEX(Сборка!$C$2:$C$501,$K177),"")</f>
        <v/>
      </c>
      <c r="C177" s="5" t="str">
        <f>IF($L177&lt;&gt;"",INDEX(Сборка!$S$2:$S$501,MATCH($L177,Сборка!$P$2:$P$501,0)),IF(ISNUMBER($K177),INDEX(Сборка!$D$2:$D$501,$K177)&amp;IF(INDEX(Сборка!$I$2:$I$501,$K177)&lt;&gt;""," — "&amp;INDEX(Сборка!$I$2:$I$501,$K177),""),""))</f>
        <v/>
      </c>
      <c r="D177" t="str">
        <f>IF(ISNUMBER($K177),INDEX(Сборка!$E$2:$E$501,$K177),"")</f>
        <v/>
      </c>
      <c r="E177" t="str">
        <f>IF(ISNUMBER($K177),INDEX(Сборка!$G$2:$G$501,$K177),"")</f>
        <v/>
      </c>
      <c r="F177" s="6" t="str">
        <f>IF(ISNUMBER($K177),INDEX(Сборка!$J$2:$J$501,$K177),"")</f>
        <v/>
      </c>
      <c r="G177" s="6" t="str">
        <f>IF(ISNUMBER($K177),INDEX(Сборка!$K$2:$K$501,$K177),"")</f>
        <v/>
      </c>
      <c r="H177" s="6" t="str">
        <f t="shared" si="8"/>
        <v/>
      </c>
      <c r="I177" s="6" t="str">
        <f t="shared" si="9"/>
        <v/>
      </c>
      <c r="J177" s="6" t="str">
        <f t="shared" si="10"/>
        <v/>
      </c>
      <c r="K177" t="str">
        <f>IFERROR(MATCH(157,Сборка!$R$2:$R$501,0),"")</f>
        <v/>
      </c>
      <c r="L177" t="str">
        <f>IFERROR(IF(INDEX(Сборка!$Q$2:$Q$501,MATCH(157+1,Сборка!$R$2:$R$501,0))=1,INDEX(Сборка!$P$2:$P$501,MATCH(157+1,Сборка!$R$2:$R$501,0)),""),"")</f>
        <v/>
      </c>
      <c r="M177" t="str">
        <f t="shared" si="11"/>
        <v/>
      </c>
    </row>
    <row r="178" spans="1:13" hidden="1" x14ac:dyDescent="0.3">
      <c r="A178" t="str">
        <f>IF(ISNUMBER($K178),INDEX(Сборка!$O$2:$O$501,$K178),"")</f>
        <v/>
      </c>
      <c r="B178" t="str">
        <f>IF(ISNUMBER($K178),INDEX(Сборка!$C$2:$C$501,$K178),"")</f>
        <v/>
      </c>
      <c r="C178" s="5" t="str">
        <f>IF($L178&lt;&gt;"",INDEX(Сборка!$S$2:$S$501,MATCH($L178,Сборка!$P$2:$P$501,0)),IF(ISNUMBER($K178),INDEX(Сборка!$D$2:$D$501,$K178)&amp;IF(INDEX(Сборка!$I$2:$I$501,$K178)&lt;&gt;""," — "&amp;INDEX(Сборка!$I$2:$I$501,$K178),""),""))</f>
        <v/>
      </c>
      <c r="D178" t="str">
        <f>IF(ISNUMBER($K178),INDEX(Сборка!$E$2:$E$501,$K178),"")</f>
        <v/>
      </c>
      <c r="E178" t="str">
        <f>IF(ISNUMBER($K178),INDEX(Сборка!$G$2:$G$501,$K178),"")</f>
        <v/>
      </c>
      <c r="F178" s="6" t="str">
        <f>IF(ISNUMBER($K178),INDEX(Сборка!$J$2:$J$501,$K178),"")</f>
        <v/>
      </c>
      <c r="G178" s="6" t="str">
        <f>IF(ISNUMBER($K178),INDEX(Сборка!$K$2:$K$501,$K178),"")</f>
        <v/>
      </c>
      <c r="H178" s="6" t="str">
        <f t="shared" si="8"/>
        <v/>
      </c>
      <c r="I178" s="6" t="str">
        <f t="shared" si="9"/>
        <v/>
      </c>
      <c r="J178" s="6" t="str">
        <f t="shared" si="10"/>
        <v/>
      </c>
      <c r="K178" t="str">
        <f>IFERROR(MATCH(158,Сборка!$R$2:$R$501,0),"")</f>
        <v/>
      </c>
      <c r="L178" t="str">
        <f>IFERROR(IF(INDEX(Сборка!$Q$2:$Q$501,MATCH(158+1,Сборка!$R$2:$R$501,0))=1,INDEX(Сборка!$P$2:$P$501,MATCH(158+1,Сборка!$R$2:$R$501,0)),""),"")</f>
        <v/>
      </c>
      <c r="M178" t="str">
        <f t="shared" si="11"/>
        <v/>
      </c>
    </row>
    <row r="179" spans="1:13" hidden="1" x14ac:dyDescent="0.3">
      <c r="A179" t="str">
        <f>IF(ISNUMBER($K179),INDEX(Сборка!$O$2:$O$501,$K179),"")</f>
        <v/>
      </c>
      <c r="B179" t="str">
        <f>IF(ISNUMBER($K179),INDEX(Сборка!$C$2:$C$501,$K179),"")</f>
        <v/>
      </c>
      <c r="C179" s="5" t="str">
        <f>IF($L179&lt;&gt;"",INDEX(Сборка!$S$2:$S$501,MATCH($L179,Сборка!$P$2:$P$501,0)),IF(ISNUMBER($K179),INDEX(Сборка!$D$2:$D$501,$K179)&amp;IF(INDEX(Сборка!$I$2:$I$501,$K179)&lt;&gt;""," — "&amp;INDEX(Сборка!$I$2:$I$501,$K179),""),""))</f>
        <v/>
      </c>
      <c r="D179" t="str">
        <f>IF(ISNUMBER($K179),INDEX(Сборка!$E$2:$E$501,$K179),"")</f>
        <v/>
      </c>
      <c r="E179" t="str">
        <f>IF(ISNUMBER($K179),INDEX(Сборка!$G$2:$G$501,$K179),"")</f>
        <v/>
      </c>
      <c r="F179" s="6" t="str">
        <f>IF(ISNUMBER($K179),INDEX(Сборка!$J$2:$J$501,$K179),"")</f>
        <v/>
      </c>
      <c r="G179" s="6" t="str">
        <f>IF(ISNUMBER($K179),INDEX(Сборка!$K$2:$K$501,$K179),"")</f>
        <v/>
      </c>
      <c r="H179" s="6" t="str">
        <f t="shared" si="8"/>
        <v/>
      </c>
      <c r="I179" s="6" t="str">
        <f t="shared" si="9"/>
        <v/>
      </c>
      <c r="J179" s="6" t="str">
        <f t="shared" si="10"/>
        <v/>
      </c>
      <c r="K179" t="str">
        <f>IFERROR(MATCH(159,Сборка!$R$2:$R$501,0),"")</f>
        <v/>
      </c>
      <c r="L179" t="str">
        <f>IFERROR(IF(INDEX(Сборка!$Q$2:$Q$501,MATCH(159+1,Сборка!$R$2:$R$501,0))=1,INDEX(Сборка!$P$2:$P$501,MATCH(159+1,Сборка!$R$2:$R$501,0)),""),"")</f>
        <v/>
      </c>
      <c r="M179" t="str">
        <f t="shared" si="11"/>
        <v/>
      </c>
    </row>
    <row r="180" spans="1:13" hidden="1" x14ac:dyDescent="0.3">
      <c r="A180" t="str">
        <f>IF(ISNUMBER($K180),INDEX(Сборка!$O$2:$O$501,$K180),"")</f>
        <v/>
      </c>
      <c r="B180" t="str">
        <f>IF(ISNUMBER($K180),INDEX(Сборка!$C$2:$C$501,$K180),"")</f>
        <v/>
      </c>
      <c r="C180" s="5" t="str">
        <f>IF($L180&lt;&gt;"",INDEX(Сборка!$S$2:$S$501,MATCH($L180,Сборка!$P$2:$P$501,0)),IF(ISNUMBER($K180),INDEX(Сборка!$D$2:$D$501,$K180)&amp;IF(INDEX(Сборка!$I$2:$I$501,$K180)&lt;&gt;""," — "&amp;INDEX(Сборка!$I$2:$I$501,$K180),""),""))</f>
        <v/>
      </c>
      <c r="D180" t="str">
        <f>IF(ISNUMBER($K180),INDEX(Сборка!$E$2:$E$501,$K180),"")</f>
        <v/>
      </c>
      <c r="E180" t="str">
        <f>IF(ISNUMBER($K180),INDEX(Сборка!$G$2:$G$501,$K180),"")</f>
        <v/>
      </c>
      <c r="F180" s="6" t="str">
        <f>IF(ISNUMBER($K180),INDEX(Сборка!$J$2:$J$501,$K180),"")</f>
        <v/>
      </c>
      <c r="G180" s="6" t="str">
        <f>IF(ISNUMBER($K180),INDEX(Сборка!$K$2:$K$501,$K180),"")</f>
        <v/>
      </c>
      <c r="H180" s="6" t="str">
        <f t="shared" si="8"/>
        <v/>
      </c>
      <c r="I180" s="6" t="str">
        <f t="shared" si="9"/>
        <v/>
      </c>
      <c r="J180" s="6" t="str">
        <f t="shared" si="10"/>
        <v/>
      </c>
      <c r="K180" t="str">
        <f>IFERROR(MATCH(160,Сборка!$R$2:$R$501,0),"")</f>
        <v/>
      </c>
      <c r="L180" t="str">
        <f>IFERROR(IF(INDEX(Сборка!$Q$2:$Q$501,MATCH(160+1,Сборка!$R$2:$R$501,0))=1,INDEX(Сборка!$P$2:$P$501,MATCH(160+1,Сборка!$R$2:$R$501,0)),""),"")</f>
        <v/>
      </c>
      <c r="M180" t="str">
        <f t="shared" si="11"/>
        <v/>
      </c>
    </row>
    <row r="181" spans="1:13" hidden="1" x14ac:dyDescent="0.3">
      <c r="A181" t="str">
        <f>IF(ISNUMBER($K181),INDEX(Сборка!$O$2:$O$501,$K181),"")</f>
        <v/>
      </c>
      <c r="B181" t="str">
        <f>IF(ISNUMBER($K181),INDEX(Сборка!$C$2:$C$501,$K181),"")</f>
        <v/>
      </c>
      <c r="C181" s="5" t="str">
        <f>IF($L181&lt;&gt;"",INDEX(Сборка!$S$2:$S$501,MATCH($L181,Сборка!$P$2:$P$501,0)),IF(ISNUMBER($K181),INDEX(Сборка!$D$2:$D$501,$K181)&amp;IF(INDEX(Сборка!$I$2:$I$501,$K181)&lt;&gt;""," — "&amp;INDEX(Сборка!$I$2:$I$501,$K181),""),""))</f>
        <v/>
      </c>
      <c r="D181" t="str">
        <f>IF(ISNUMBER($K181),INDEX(Сборка!$E$2:$E$501,$K181),"")</f>
        <v/>
      </c>
      <c r="E181" t="str">
        <f>IF(ISNUMBER($K181),INDEX(Сборка!$G$2:$G$501,$K181),"")</f>
        <v/>
      </c>
      <c r="F181" s="6" t="str">
        <f>IF(ISNUMBER($K181),INDEX(Сборка!$J$2:$J$501,$K181),"")</f>
        <v/>
      </c>
      <c r="G181" s="6" t="str">
        <f>IF(ISNUMBER($K181),INDEX(Сборка!$K$2:$K$501,$K181),"")</f>
        <v/>
      </c>
      <c r="H181" s="6" t="str">
        <f t="shared" si="8"/>
        <v/>
      </c>
      <c r="I181" s="6" t="str">
        <f t="shared" si="9"/>
        <v/>
      </c>
      <c r="J181" s="6" t="str">
        <f t="shared" si="10"/>
        <v/>
      </c>
      <c r="K181" t="str">
        <f>IFERROR(MATCH(161,Сборка!$R$2:$R$501,0),"")</f>
        <v/>
      </c>
      <c r="L181" t="str">
        <f>IFERROR(IF(INDEX(Сборка!$Q$2:$Q$501,MATCH(161+1,Сборка!$R$2:$R$501,0))=1,INDEX(Сборка!$P$2:$P$501,MATCH(161+1,Сборка!$R$2:$R$501,0)),""),"")</f>
        <v/>
      </c>
      <c r="M181" t="str">
        <f t="shared" si="11"/>
        <v/>
      </c>
    </row>
    <row r="182" spans="1:13" hidden="1" x14ac:dyDescent="0.3">
      <c r="A182" t="str">
        <f>IF(ISNUMBER($K182),INDEX(Сборка!$O$2:$O$501,$K182),"")</f>
        <v/>
      </c>
      <c r="B182" t="str">
        <f>IF(ISNUMBER($K182),INDEX(Сборка!$C$2:$C$501,$K182),"")</f>
        <v/>
      </c>
      <c r="C182" s="5" t="str">
        <f>IF($L182&lt;&gt;"",INDEX(Сборка!$S$2:$S$501,MATCH($L182,Сборка!$P$2:$P$501,0)),IF(ISNUMBER($K182),INDEX(Сборка!$D$2:$D$501,$K182)&amp;IF(INDEX(Сборка!$I$2:$I$501,$K182)&lt;&gt;""," — "&amp;INDEX(Сборка!$I$2:$I$501,$K182),""),""))</f>
        <v/>
      </c>
      <c r="D182" t="str">
        <f>IF(ISNUMBER($K182),INDEX(Сборка!$E$2:$E$501,$K182),"")</f>
        <v/>
      </c>
      <c r="E182" t="str">
        <f>IF(ISNUMBER($K182),INDEX(Сборка!$G$2:$G$501,$K182),"")</f>
        <v/>
      </c>
      <c r="F182" s="6" t="str">
        <f>IF(ISNUMBER($K182),INDEX(Сборка!$J$2:$J$501,$K182),"")</f>
        <v/>
      </c>
      <c r="G182" s="6" t="str">
        <f>IF(ISNUMBER($K182),INDEX(Сборка!$K$2:$K$501,$K182),"")</f>
        <v/>
      </c>
      <c r="H182" s="6" t="str">
        <f t="shared" si="8"/>
        <v/>
      </c>
      <c r="I182" s="6" t="str">
        <f t="shared" si="9"/>
        <v/>
      </c>
      <c r="J182" s="6" t="str">
        <f t="shared" si="10"/>
        <v/>
      </c>
      <c r="K182" t="str">
        <f>IFERROR(MATCH(162,Сборка!$R$2:$R$501,0),"")</f>
        <v/>
      </c>
      <c r="L182" t="str">
        <f>IFERROR(IF(INDEX(Сборка!$Q$2:$Q$501,MATCH(162+1,Сборка!$R$2:$R$501,0))=1,INDEX(Сборка!$P$2:$P$501,MATCH(162+1,Сборка!$R$2:$R$501,0)),""),"")</f>
        <v/>
      </c>
      <c r="M182" t="str">
        <f t="shared" si="11"/>
        <v/>
      </c>
    </row>
    <row r="183" spans="1:13" hidden="1" x14ac:dyDescent="0.3">
      <c r="A183" t="str">
        <f>IF(ISNUMBER($K183),INDEX(Сборка!$O$2:$O$501,$K183),"")</f>
        <v/>
      </c>
      <c r="B183" t="str">
        <f>IF(ISNUMBER($K183),INDEX(Сборка!$C$2:$C$501,$K183),"")</f>
        <v/>
      </c>
      <c r="C183" s="5" t="str">
        <f>IF($L183&lt;&gt;"",INDEX(Сборка!$S$2:$S$501,MATCH($L183,Сборка!$P$2:$P$501,0)),IF(ISNUMBER($K183),INDEX(Сборка!$D$2:$D$501,$K183)&amp;IF(INDEX(Сборка!$I$2:$I$501,$K183)&lt;&gt;""," — "&amp;INDEX(Сборка!$I$2:$I$501,$K183),""),""))</f>
        <v/>
      </c>
      <c r="D183" t="str">
        <f>IF(ISNUMBER($K183),INDEX(Сборка!$E$2:$E$501,$K183),"")</f>
        <v/>
      </c>
      <c r="E183" t="str">
        <f>IF(ISNUMBER($K183),INDEX(Сборка!$G$2:$G$501,$K183),"")</f>
        <v/>
      </c>
      <c r="F183" s="6" t="str">
        <f>IF(ISNUMBER($K183),INDEX(Сборка!$J$2:$J$501,$K183),"")</f>
        <v/>
      </c>
      <c r="G183" s="6" t="str">
        <f>IF(ISNUMBER($K183),INDEX(Сборка!$K$2:$K$501,$K183),"")</f>
        <v/>
      </c>
      <c r="H183" s="6" t="str">
        <f t="shared" si="8"/>
        <v/>
      </c>
      <c r="I183" s="6" t="str">
        <f t="shared" si="9"/>
        <v/>
      </c>
      <c r="J183" s="6" t="str">
        <f t="shared" si="10"/>
        <v/>
      </c>
      <c r="K183" t="str">
        <f>IFERROR(MATCH(163,Сборка!$R$2:$R$501,0),"")</f>
        <v/>
      </c>
      <c r="L183" t="str">
        <f>IFERROR(IF(INDEX(Сборка!$Q$2:$Q$501,MATCH(163+1,Сборка!$R$2:$R$501,0))=1,INDEX(Сборка!$P$2:$P$501,MATCH(163+1,Сборка!$R$2:$R$501,0)),""),"")</f>
        <v/>
      </c>
      <c r="M183" t="str">
        <f t="shared" si="11"/>
        <v/>
      </c>
    </row>
    <row r="184" spans="1:13" hidden="1" x14ac:dyDescent="0.3">
      <c r="A184" t="str">
        <f>IF(ISNUMBER($K184),INDEX(Сборка!$O$2:$O$501,$K184),"")</f>
        <v/>
      </c>
      <c r="B184" t="str">
        <f>IF(ISNUMBER($K184),INDEX(Сборка!$C$2:$C$501,$K184),"")</f>
        <v/>
      </c>
      <c r="C184" s="5" t="str">
        <f>IF($L184&lt;&gt;"",INDEX(Сборка!$S$2:$S$501,MATCH($L184,Сборка!$P$2:$P$501,0)),IF(ISNUMBER($K184),INDEX(Сборка!$D$2:$D$501,$K184)&amp;IF(INDEX(Сборка!$I$2:$I$501,$K184)&lt;&gt;""," — "&amp;INDEX(Сборка!$I$2:$I$501,$K184),""),""))</f>
        <v/>
      </c>
      <c r="D184" t="str">
        <f>IF(ISNUMBER($K184),INDEX(Сборка!$E$2:$E$501,$K184),"")</f>
        <v/>
      </c>
      <c r="E184" t="str">
        <f>IF(ISNUMBER($K184),INDEX(Сборка!$G$2:$G$501,$K184),"")</f>
        <v/>
      </c>
      <c r="F184" s="6" t="str">
        <f>IF(ISNUMBER($K184),INDEX(Сборка!$J$2:$J$501,$K184),"")</f>
        <v/>
      </c>
      <c r="G184" s="6" t="str">
        <f>IF(ISNUMBER($K184),INDEX(Сборка!$K$2:$K$501,$K184),"")</f>
        <v/>
      </c>
      <c r="H184" s="6" t="str">
        <f t="shared" si="8"/>
        <v/>
      </c>
      <c r="I184" s="6" t="str">
        <f t="shared" si="9"/>
        <v/>
      </c>
      <c r="J184" s="6" t="str">
        <f t="shared" si="10"/>
        <v/>
      </c>
      <c r="K184" t="str">
        <f>IFERROR(MATCH(164,Сборка!$R$2:$R$501,0),"")</f>
        <v/>
      </c>
      <c r="L184" t="str">
        <f>IFERROR(IF(INDEX(Сборка!$Q$2:$Q$501,MATCH(164+1,Сборка!$R$2:$R$501,0))=1,INDEX(Сборка!$P$2:$P$501,MATCH(164+1,Сборка!$R$2:$R$501,0)),""),"")</f>
        <v/>
      </c>
      <c r="M184" t="str">
        <f t="shared" si="11"/>
        <v/>
      </c>
    </row>
    <row r="185" spans="1:13" hidden="1" x14ac:dyDescent="0.3">
      <c r="A185" t="str">
        <f>IF(ISNUMBER($K185),INDEX(Сборка!$O$2:$O$501,$K185),"")</f>
        <v/>
      </c>
      <c r="B185" t="str">
        <f>IF(ISNUMBER($K185),INDEX(Сборка!$C$2:$C$501,$K185),"")</f>
        <v/>
      </c>
      <c r="C185" s="5" t="str">
        <f>IF($L185&lt;&gt;"",INDEX(Сборка!$S$2:$S$501,MATCH($L185,Сборка!$P$2:$P$501,0)),IF(ISNUMBER($K185),INDEX(Сборка!$D$2:$D$501,$K185)&amp;IF(INDEX(Сборка!$I$2:$I$501,$K185)&lt;&gt;""," — "&amp;INDEX(Сборка!$I$2:$I$501,$K185),""),""))</f>
        <v/>
      </c>
      <c r="D185" t="str">
        <f>IF(ISNUMBER($K185),INDEX(Сборка!$E$2:$E$501,$K185),"")</f>
        <v/>
      </c>
      <c r="E185" t="str">
        <f>IF(ISNUMBER($K185),INDEX(Сборка!$G$2:$G$501,$K185),"")</f>
        <v/>
      </c>
      <c r="F185" s="6" t="str">
        <f>IF(ISNUMBER($K185),INDEX(Сборка!$J$2:$J$501,$K185),"")</f>
        <v/>
      </c>
      <c r="G185" s="6" t="str">
        <f>IF(ISNUMBER($K185),INDEX(Сборка!$K$2:$K$501,$K185),"")</f>
        <v/>
      </c>
      <c r="H185" s="6" t="str">
        <f t="shared" si="8"/>
        <v/>
      </c>
      <c r="I185" s="6" t="str">
        <f t="shared" si="9"/>
        <v/>
      </c>
      <c r="J185" s="6" t="str">
        <f t="shared" si="10"/>
        <v/>
      </c>
      <c r="K185" t="str">
        <f>IFERROR(MATCH(165,Сборка!$R$2:$R$501,0),"")</f>
        <v/>
      </c>
      <c r="L185" t="str">
        <f>IFERROR(IF(INDEX(Сборка!$Q$2:$Q$501,MATCH(165+1,Сборка!$R$2:$R$501,0))=1,INDEX(Сборка!$P$2:$P$501,MATCH(165+1,Сборка!$R$2:$R$501,0)),""),"")</f>
        <v/>
      </c>
      <c r="M185" t="str">
        <f t="shared" si="11"/>
        <v/>
      </c>
    </row>
    <row r="186" spans="1:13" hidden="1" x14ac:dyDescent="0.3">
      <c r="A186" t="str">
        <f>IF(ISNUMBER($K186),INDEX(Сборка!$O$2:$O$501,$K186),"")</f>
        <v/>
      </c>
      <c r="B186" t="str">
        <f>IF(ISNUMBER($K186),INDEX(Сборка!$C$2:$C$501,$K186),"")</f>
        <v/>
      </c>
      <c r="C186" s="5" t="str">
        <f>IF($L186&lt;&gt;"",INDEX(Сборка!$S$2:$S$501,MATCH($L186,Сборка!$P$2:$P$501,0)),IF(ISNUMBER($K186),INDEX(Сборка!$D$2:$D$501,$K186)&amp;IF(INDEX(Сборка!$I$2:$I$501,$K186)&lt;&gt;""," — "&amp;INDEX(Сборка!$I$2:$I$501,$K186),""),""))</f>
        <v/>
      </c>
      <c r="D186" t="str">
        <f>IF(ISNUMBER($K186),INDEX(Сборка!$E$2:$E$501,$K186),"")</f>
        <v/>
      </c>
      <c r="E186" t="str">
        <f>IF(ISNUMBER($K186),INDEX(Сборка!$G$2:$G$501,$K186),"")</f>
        <v/>
      </c>
      <c r="F186" s="6" t="str">
        <f>IF(ISNUMBER($K186),INDEX(Сборка!$J$2:$J$501,$K186),"")</f>
        <v/>
      </c>
      <c r="G186" s="6" t="str">
        <f>IF(ISNUMBER($K186),INDEX(Сборка!$K$2:$K$501,$K186),"")</f>
        <v/>
      </c>
      <c r="H186" s="6" t="str">
        <f t="shared" si="8"/>
        <v/>
      </c>
      <c r="I186" s="6" t="str">
        <f t="shared" si="9"/>
        <v/>
      </c>
      <c r="J186" s="6" t="str">
        <f t="shared" si="10"/>
        <v/>
      </c>
      <c r="K186" t="str">
        <f>IFERROR(MATCH(166,Сборка!$R$2:$R$501,0),"")</f>
        <v/>
      </c>
      <c r="L186" t="str">
        <f>IFERROR(IF(INDEX(Сборка!$Q$2:$Q$501,MATCH(166+1,Сборка!$R$2:$R$501,0))=1,INDEX(Сборка!$P$2:$P$501,MATCH(166+1,Сборка!$R$2:$R$501,0)),""),"")</f>
        <v/>
      </c>
      <c r="M186" t="str">
        <f t="shared" si="11"/>
        <v/>
      </c>
    </row>
    <row r="187" spans="1:13" hidden="1" x14ac:dyDescent="0.3">
      <c r="A187" t="str">
        <f>IF(ISNUMBER($K187),INDEX(Сборка!$O$2:$O$501,$K187),"")</f>
        <v/>
      </c>
      <c r="B187" t="str">
        <f>IF(ISNUMBER($K187),INDEX(Сборка!$C$2:$C$501,$K187),"")</f>
        <v/>
      </c>
      <c r="C187" s="5" t="str">
        <f>IF($L187&lt;&gt;"",INDEX(Сборка!$S$2:$S$501,MATCH($L187,Сборка!$P$2:$P$501,0)),IF(ISNUMBER($K187),INDEX(Сборка!$D$2:$D$501,$K187)&amp;IF(INDEX(Сборка!$I$2:$I$501,$K187)&lt;&gt;""," — "&amp;INDEX(Сборка!$I$2:$I$501,$K187),""),""))</f>
        <v/>
      </c>
      <c r="D187" t="str">
        <f>IF(ISNUMBER($K187),INDEX(Сборка!$E$2:$E$501,$K187),"")</f>
        <v/>
      </c>
      <c r="E187" t="str">
        <f>IF(ISNUMBER($K187),INDEX(Сборка!$G$2:$G$501,$K187),"")</f>
        <v/>
      </c>
      <c r="F187" s="6" t="str">
        <f>IF(ISNUMBER($K187),INDEX(Сборка!$J$2:$J$501,$K187),"")</f>
        <v/>
      </c>
      <c r="G187" s="6" t="str">
        <f>IF(ISNUMBER($K187),INDEX(Сборка!$K$2:$K$501,$K187),"")</f>
        <v/>
      </c>
      <c r="H187" s="6" t="str">
        <f t="shared" si="8"/>
        <v/>
      </c>
      <c r="I187" s="6" t="str">
        <f t="shared" si="9"/>
        <v/>
      </c>
      <c r="J187" s="6" t="str">
        <f t="shared" si="10"/>
        <v/>
      </c>
      <c r="K187" t="str">
        <f>IFERROR(MATCH(167,Сборка!$R$2:$R$501,0),"")</f>
        <v/>
      </c>
      <c r="L187" t="str">
        <f>IFERROR(IF(INDEX(Сборка!$Q$2:$Q$501,MATCH(167+1,Сборка!$R$2:$R$501,0))=1,INDEX(Сборка!$P$2:$P$501,MATCH(167+1,Сборка!$R$2:$R$501,0)),""),"")</f>
        <v/>
      </c>
      <c r="M187" t="str">
        <f t="shared" si="11"/>
        <v/>
      </c>
    </row>
    <row r="188" spans="1:13" hidden="1" x14ac:dyDescent="0.3">
      <c r="A188" t="str">
        <f>IF(ISNUMBER($K188),INDEX(Сборка!$O$2:$O$501,$K188),"")</f>
        <v/>
      </c>
      <c r="B188" t="str">
        <f>IF(ISNUMBER($K188),INDEX(Сборка!$C$2:$C$501,$K188),"")</f>
        <v/>
      </c>
      <c r="C188" s="5" t="str">
        <f>IF($L188&lt;&gt;"",INDEX(Сборка!$S$2:$S$501,MATCH($L188,Сборка!$P$2:$P$501,0)),IF(ISNUMBER($K188),INDEX(Сборка!$D$2:$D$501,$K188)&amp;IF(INDEX(Сборка!$I$2:$I$501,$K188)&lt;&gt;""," — "&amp;INDEX(Сборка!$I$2:$I$501,$K188),""),""))</f>
        <v/>
      </c>
      <c r="D188" t="str">
        <f>IF(ISNUMBER($K188),INDEX(Сборка!$E$2:$E$501,$K188),"")</f>
        <v/>
      </c>
      <c r="E188" t="str">
        <f>IF(ISNUMBER($K188),INDEX(Сборка!$G$2:$G$501,$K188),"")</f>
        <v/>
      </c>
      <c r="F188" s="6" t="str">
        <f>IF(ISNUMBER($K188),INDEX(Сборка!$J$2:$J$501,$K188),"")</f>
        <v/>
      </c>
      <c r="G188" s="6" t="str">
        <f>IF(ISNUMBER($K188),INDEX(Сборка!$K$2:$K$501,$K188),"")</f>
        <v/>
      </c>
      <c r="H188" s="6" t="str">
        <f t="shared" si="8"/>
        <v/>
      </c>
      <c r="I188" s="6" t="str">
        <f t="shared" si="9"/>
        <v/>
      </c>
      <c r="J188" s="6" t="str">
        <f t="shared" si="10"/>
        <v/>
      </c>
      <c r="K188" t="str">
        <f>IFERROR(MATCH(168,Сборка!$R$2:$R$501,0),"")</f>
        <v/>
      </c>
      <c r="L188" t="str">
        <f>IFERROR(IF(INDEX(Сборка!$Q$2:$Q$501,MATCH(168+1,Сборка!$R$2:$R$501,0))=1,INDEX(Сборка!$P$2:$P$501,MATCH(168+1,Сборка!$R$2:$R$501,0)),""),"")</f>
        <v/>
      </c>
      <c r="M188" t="str">
        <f t="shared" si="11"/>
        <v/>
      </c>
    </row>
    <row r="189" spans="1:13" hidden="1" x14ac:dyDescent="0.3">
      <c r="A189" t="str">
        <f>IF(ISNUMBER($K189),INDEX(Сборка!$O$2:$O$501,$K189),"")</f>
        <v/>
      </c>
      <c r="B189" t="str">
        <f>IF(ISNUMBER($K189),INDEX(Сборка!$C$2:$C$501,$K189),"")</f>
        <v/>
      </c>
      <c r="C189" s="5" t="str">
        <f>IF($L189&lt;&gt;"",INDEX(Сборка!$S$2:$S$501,MATCH($L189,Сборка!$P$2:$P$501,0)),IF(ISNUMBER($K189),INDEX(Сборка!$D$2:$D$501,$K189)&amp;IF(INDEX(Сборка!$I$2:$I$501,$K189)&lt;&gt;""," — "&amp;INDEX(Сборка!$I$2:$I$501,$K189),""),""))</f>
        <v/>
      </c>
      <c r="D189" t="str">
        <f>IF(ISNUMBER($K189),INDEX(Сборка!$E$2:$E$501,$K189),"")</f>
        <v/>
      </c>
      <c r="E189" t="str">
        <f>IF(ISNUMBER($K189),INDEX(Сборка!$G$2:$G$501,$K189),"")</f>
        <v/>
      </c>
      <c r="F189" s="6" t="str">
        <f>IF(ISNUMBER($K189),INDEX(Сборка!$J$2:$J$501,$K189),"")</f>
        <v/>
      </c>
      <c r="G189" s="6" t="str">
        <f>IF(ISNUMBER($K189),INDEX(Сборка!$K$2:$K$501,$K189),"")</f>
        <v/>
      </c>
      <c r="H189" s="6" t="str">
        <f t="shared" si="8"/>
        <v/>
      </c>
      <c r="I189" s="6" t="str">
        <f t="shared" si="9"/>
        <v/>
      </c>
      <c r="J189" s="6" t="str">
        <f t="shared" si="10"/>
        <v/>
      </c>
      <c r="K189" t="str">
        <f>IFERROR(MATCH(169,Сборка!$R$2:$R$501,0),"")</f>
        <v/>
      </c>
      <c r="L189" t="str">
        <f>IFERROR(IF(INDEX(Сборка!$Q$2:$Q$501,MATCH(169+1,Сборка!$R$2:$R$501,0))=1,INDEX(Сборка!$P$2:$P$501,MATCH(169+1,Сборка!$R$2:$R$501,0)),""),"")</f>
        <v/>
      </c>
      <c r="M189" t="str">
        <f t="shared" si="11"/>
        <v/>
      </c>
    </row>
    <row r="190" spans="1:13" hidden="1" x14ac:dyDescent="0.3">
      <c r="A190" t="str">
        <f>IF(ISNUMBER($K190),INDEX(Сборка!$O$2:$O$501,$K190),"")</f>
        <v/>
      </c>
      <c r="B190" t="str">
        <f>IF(ISNUMBER($K190),INDEX(Сборка!$C$2:$C$501,$K190),"")</f>
        <v/>
      </c>
      <c r="C190" s="5" t="str">
        <f>IF($L190&lt;&gt;"",INDEX(Сборка!$S$2:$S$501,MATCH($L190,Сборка!$P$2:$P$501,0)),IF(ISNUMBER($K190),INDEX(Сборка!$D$2:$D$501,$K190)&amp;IF(INDEX(Сборка!$I$2:$I$501,$K190)&lt;&gt;""," — "&amp;INDEX(Сборка!$I$2:$I$501,$K190),""),""))</f>
        <v/>
      </c>
      <c r="D190" t="str">
        <f>IF(ISNUMBER($K190),INDEX(Сборка!$E$2:$E$501,$K190),"")</f>
        <v/>
      </c>
      <c r="E190" t="str">
        <f>IF(ISNUMBER($K190),INDEX(Сборка!$G$2:$G$501,$K190),"")</f>
        <v/>
      </c>
      <c r="F190" s="6" t="str">
        <f>IF(ISNUMBER($K190),INDEX(Сборка!$J$2:$J$501,$K190),"")</f>
        <v/>
      </c>
      <c r="G190" s="6" t="str">
        <f>IF(ISNUMBER($K190),INDEX(Сборка!$K$2:$K$501,$K190),"")</f>
        <v/>
      </c>
      <c r="H190" s="6" t="str">
        <f t="shared" si="8"/>
        <v/>
      </c>
      <c r="I190" s="6" t="str">
        <f t="shared" si="9"/>
        <v/>
      </c>
      <c r="J190" s="6" t="str">
        <f t="shared" si="10"/>
        <v/>
      </c>
      <c r="K190" t="str">
        <f>IFERROR(MATCH(170,Сборка!$R$2:$R$501,0),"")</f>
        <v/>
      </c>
      <c r="L190" t="str">
        <f>IFERROR(IF(INDEX(Сборка!$Q$2:$Q$501,MATCH(170+1,Сборка!$R$2:$R$501,0))=1,INDEX(Сборка!$P$2:$P$501,MATCH(170+1,Сборка!$R$2:$R$501,0)),""),"")</f>
        <v/>
      </c>
      <c r="M190" t="str">
        <f t="shared" si="11"/>
        <v/>
      </c>
    </row>
    <row r="191" spans="1:13" hidden="1" x14ac:dyDescent="0.3">
      <c r="A191" t="str">
        <f>IF(ISNUMBER($K191),INDEX(Сборка!$O$2:$O$501,$K191),"")</f>
        <v/>
      </c>
      <c r="B191" t="str">
        <f>IF(ISNUMBER($K191),INDEX(Сборка!$C$2:$C$501,$K191),"")</f>
        <v/>
      </c>
      <c r="C191" s="5" t="str">
        <f>IF($L191&lt;&gt;"",INDEX(Сборка!$S$2:$S$501,MATCH($L191,Сборка!$P$2:$P$501,0)),IF(ISNUMBER($K191),INDEX(Сборка!$D$2:$D$501,$K191)&amp;IF(INDEX(Сборка!$I$2:$I$501,$K191)&lt;&gt;""," — "&amp;INDEX(Сборка!$I$2:$I$501,$K191),""),""))</f>
        <v/>
      </c>
      <c r="D191" t="str">
        <f>IF(ISNUMBER($K191),INDEX(Сборка!$E$2:$E$501,$K191),"")</f>
        <v/>
      </c>
      <c r="E191" t="str">
        <f>IF(ISNUMBER($K191),INDEX(Сборка!$G$2:$G$501,$K191),"")</f>
        <v/>
      </c>
      <c r="F191" s="6" t="str">
        <f>IF(ISNUMBER($K191),INDEX(Сборка!$J$2:$J$501,$K191),"")</f>
        <v/>
      </c>
      <c r="G191" s="6" t="str">
        <f>IF(ISNUMBER($K191),INDEX(Сборка!$K$2:$K$501,$K191),"")</f>
        <v/>
      </c>
      <c r="H191" s="6" t="str">
        <f t="shared" si="8"/>
        <v/>
      </c>
      <c r="I191" s="6" t="str">
        <f t="shared" si="9"/>
        <v/>
      </c>
      <c r="J191" s="6" t="str">
        <f t="shared" si="10"/>
        <v/>
      </c>
      <c r="K191" t="str">
        <f>IFERROR(MATCH(171,Сборка!$R$2:$R$501,0),"")</f>
        <v/>
      </c>
      <c r="L191" t="str">
        <f>IFERROR(IF(INDEX(Сборка!$Q$2:$Q$501,MATCH(171+1,Сборка!$R$2:$R$501,0))=1,INDEX(Сборка!$P$2:$P$501,MATCH(171+1,Сборка!$R$2:$R$501,0)),""),"")</f>
        <v/>
      </c>
      <c r="M191" t="str">
        <f t="shared" si="11"/>
        <v/>
      </c>
    </row>
    <row r="192" spans="1:13" hidden="1" x14ac:dyDescent="0.3">
      <c r="A192" t="str">
        <f>IF(ISNUMBER($K192),INDEX(Сборка!$O$2:$O$501,$K192),"")</f>
        <v/>
      </c>
      <c r="B192" t="str">
        <f>IF(ISNUMBER($K192),INDEX(Сборка!$C$2:$C$501,$K192),"")</f>
        <v/>
      </c>
      <c r="C192" s="5" t="str">
        <f>IF($L192&lt;&gt;"",INDEX(Сборка!$S$2:$S$501,MATCH($L192,Сборка!$P$2:$P$501,0)),IF(ISNUMBER($K192),INDEX(Сборка!$D$2:$D$501,$K192)&amp;IF(INDEX(Сборка!$I$2:$I$501,$K192)&lt;&gt;""," — "&amp;INDEX(Сборка!$I$2:$I$501,$K192),""),""))</f>
        <v/>
      </c>
      <c r="D192" t="str">
        <f>IF(ISNUMBER($K192),INDEX(Сборка!$E$2:$E$501,$K192),"")</f>
        <v/>
      </c>
      <c r="E192" t="str">
        <f>IF(ISNUMBER($K192),INDEX(Сборка!$G$2:$G$501,$K192),"")</f>
        <v/>
      </c>
      <c r="F192" s="6" t="str">
        <f>IF(ISNUMBER($K192),INDEX(Сборка!$J$2:$J$501,$K192),"")</f>
        <v/>
      </c>
      <c r="G192" s="6" t="str">
        <f>IF(ISNUMBER($K192),INDEX(Сборка!$K$2:$K$501,$K192),"")</f>
        <v/>
      </c>
      <c r="H192" s="6" t="str">
        <f t="shared" si="8"/>
        <v/>
      </c>
      <c r="I192" s="6" t="str">
        <f t="shared" si="9"/>
        <v/>
      </c>
      <c r="J192" s="6" t="str">
        <f t="shared" si="10"/>
        <v/>
      </c>
      <c r="K192" t="str">
        <f>IFERROR(MATCH(172,Сборка!$R$2:$R$501,0),"")</f>
        <v/>
      </c>
      <c r="L192" t="str">
        <f>IFERROR(IF(INDEX(Сборка!$Q$2:$Q$501,MATCH(172+1,Сборка!$R$2:$R$501,0))=1,INDEX(Сборка!$P$2:$P$501,MATCH(172+1,Сборка!$R$2:$R$501,0)),""),"")</f>
        <v/>
      </c>
      <c r="M192" t="str">
        <f t="shared" si="11"/>
        <v/>
      </c>
    </row>
    <row r="193" spans="1:13" hidden="1" x14ac:dyDescent="0.3">
      <c r="A193" t="str">
        <f>IF(ISNUMBER($K193),INDEX(Сборка!$O$2:$O$501,$K193),"")</f>
        <v/>
      </c>
      <c r="B193" t="str">
        <f>IF(ISNUMBER($K193),INDEX(Сборка!$C$2:$C$501,$K193),"")</f>
        <v/>
      </c>
      <c r="C193" s="5" t="str">
        <f>IF($L193&lt;&gt;"",INDEX(Сборка!$S$2:$S$501,MATCH($L193,Сборка!$P$2:$P$501,0)),IF(ISNUMBER($K193),INDEX(Сборка!$D$2:$D$501,$K193)&amp;IF(INDEX(Сборка!$I$2:$I$501,$K193)&lt;&gt;""," — "&amp;INDEX(Сборка!$I$2:$I$501,$K193),""),""))</f>
        <v/>
      </c>
      <c r="D193" t="str">
        <f>IF(ISNUMBER($K193),INDEX(Сборка!$E$2:$E$501,$K193),"")</f>
        <v/>
      </c>
      <c r="E193" t="str">
        <f>IF(ISNUMBER($K193),INDEX(Сборка!$G$2:$G$501,$K193),"")</f>
        <v/>
      </c>
      <c r="F193" s="6" t="str">
        <f>IF(ISNUMBER($K193),INDEX(Сборка!$J$2:$J$501,$K193),"")</f>
        <v/>
      </c>
      <c r="G193" s="6" t="str">
        <f>IF(ISNUMBER($K193),INDEX(Сборка!$K$2:$K$501,$K193),"")</f>
        <v/>
      </c>
      <c r="H193" s="6" t="str">
        <f t="shared" si="8"/>
        <v/>
      </c>
      <c r="I193" s="6" t="str">
        <f t="shared" si="9"/>
        <v/>
      </c>
      <c r="J193" s="6" t="str">
        <f t="shared" si="10"/>
        <v/>
      </c>
      <c r="K193" t="str">
        <f>IFERROR(MATCH(173,Сборка!$R$2:$R$501,0),"")</f>
        <v/>
      </c>
      <c r="L193" t="str">
        <f>IFERROR(IF(INDEX(Сборка!$Q$2:$Q$501,MATCH(173+1,Сборка!$R$2:$R$501,0))=1,INDEX(Сборка!$P$2:$P$501,MATCH(173+1,Сборка!$R$2:$R$501,0)),""),"")</f>
        <v/>
      </c>
      <c r="M193" t="str">
        <f t="shared" si="11"/>
        <v/>
      </c>
    </row>
    <row r="194" spans="1:13" hidden="1" x14ac:dyDescent="0.3">
      <c r="A194" t="str">
        <f>IF(ISNUMBER($K194),INDEX(Сборка!$O$2:$O$501,$K194),"")</f>
        <v/>
      </c>
      <c r="B194" t="str">
        <f>IF(ISNUMBER($K194),INDEX(Сборка!$C$2:$C$501,$K194),"")</f>
        <v/>
      </c>
      <c r="C194" s="5" t="str">
        <f>IF($L194&lt;&gt;"",INDEX(Сборка!$S$2:$S$501,MATCH($L194,Сборка!$P$2:$P$501,0)),IF(ISNUMBER($K194),INDEX(Сборка!$D$2:$D$501,$K194)&amp;IF(INDEX(Сборка!$I$2:$I$501,$K194)&lt;&gt;""," — "&amp;INDEX(Сборка!$I$2:$I$501,$K194),""),""))</f>
        <v/>
      </c>
      <c r="D194" t="str">
        <f>IF(ISNUMBER($K194),INDEX(Сборка!$E$2:$E$501,$K194),"")</f>
        <v/>
      </c>
      <c r="E194" t="str">
        <f>IF(ISNUMBER($K194),INDEX(Сборка!$G$2:$G$501,$K194),"")</f>
        <v/>
      </c>
      <c r="F194" s="6" t="str">
        <f>IF(ISNUMBER($K194),INDEX(Сборка!$J$2:$J$501,$K194),"")</f>
        <v/>
      </c>
      <c r="G194" s="6" t="str">
        <f>IF(ISNUMBER($K194),INDEX(Сборка!$K$2:$K$501,$K194),"")</f>
        <v/>
      </c>
      <c r="H194" s="6" t="str">
        <f t="shared" si="8"/>
        <v/>
      </c>
      <c r="I194" s="6" t="str">
        <f t="shared" si="9"/>
        <v/>
      </c>
      <c r="J194" s="6" t="str">
        <f t="shared" si="10"/>
        <v/>
      </c>
      <c r="K194" t="str">
        <f>IFERROR(MATCH(174,Сборка!$R$2:$R$501,0),"")</f>
        <v/>
      </c>
      <c r="L194" t="str">
        <f>IFERROR(IF(INDEX(Сборка!$Q$2:$Q$501,MATCH(174+1,Сборка!$R$2:$R$501,0))=1,INDEX(Сборка!$P$2:$P$501,MATCH(174+1,Сборка!$R$2:$R$501,0)),""),"")</f>
        <v/>
      </c>
      <c r="M194" t="str">
        <f t="shared" si="11"/>
        <v/>
      </c>
    </row>
    <row r="195" spans="1:13" hidden="1" x14ac:dyDescent="0.3">
      <c r="A195" t="str">
        <f>IF(ISNUMBER($K195),INDEX(Сборка!$O$2:$O$501,$K195),"")</f>
        <v/>
      </c>
      <c r="B195" t="str">
        <f>IF(ISNUMBER($K195),INDEX(Сборка!$C$2:$C$501,$K195),"")</f>
        <v/>
      </c>
      <c r="C195" s="5" t="str">
        <f>IF($L195&lt;&gt;"",INDEX(Сборка!$S$2:$S$501,MATCH($L195,Сборка!$P$2:$P$501,0)),IF(ISNUMBER($K195),INDEX(Сборка!$D$2:$D$501,$K195)&amp;IF(INDEX(Сборка!$I$2:$I$501,$K195)&lt;&gt;""," — "&amp;INDEX(Сборка!$I$2:$I$501,$K195),""),""))</f>
        <v/>
      </c>
      <c r="D195" t="str">
        <f>IF(ISNUMBER($K195),INDEX(Сборка!$E$2:$E$501,$K195),"")</f>
        <v/>
      </c>
      <c r="E195" t="str">
        <f>IF(ISNUMBER($K195),INDEX(Сборка!$G$2:$G$501,$K195),"")</f>
        <v/>
      </c>
      <c r="F195" s="6" t="str">
        <f>IF(ISNUMBER($K195),INDEX(Сборка!$J$2:$J$501,$K195),"")</f>
        <v/>
      </c>
      <c r="G195" s="6" t="str">
        <f>IF(ISNUMBER($K195),INDEX(Сборка!$K$2:$K$501,$K195),"")</f>
        <v/>
      </c>
      <c r="H195" s="6" t="str">
        <f t="shared" si="8"/>
        <v/>
      </c>
      <c r="I195" s="6" t="str">
        <f t="shared" si="9"/>
        <v/>
      </c>
      <c r="J195" s="6" t="str">
        <f t="shared" si="10"/>
        <v/>
      </c>
      <c r="K195" t="str">
        <f>IFERROR(MATCH(175,Сборка!$R$2:$R$501,0),"")</f>
        <v/>
      </c>
      <c r="L195" t="str">
        <f>IFERROR(IF(INDEX(Сборка!$Q$2:$Q$501,MATCH(175+1,Сборка!$R$2:$R$501,0))=1,INDEX(Сборка!$P$2:$P$501,MATCH(175+1,Сборка!$R$2:$R$501,0)),""),"")</f>
        <v/>
      </c>
      <c r="M195" t="str">
        <f t="shared" si="11"/>
        <v/>
      </c>
    </row>
    <row r="196" spans="1:13" hidden="1" x14ac:dyDescent="0.3">
      <c r="A196" t="str">
        <f>IF(ISNUMBER($K196),INDEX(Сборка!$O$2:$O$501,$K196),"")</f>
        <v/>
      </c>
      <c r="B196" t="str">
        <f>IF(ISNUMBER($K196),INDEX(Сборка!$C$2:$C$501,$K196),"")</f>
        <v/>
      </c>
      <c r="C196" s="5" t="str">
        <f>IF($L196&lt;&gt;"",INDEX(Сборка!$S$2:$S$501,MATCH($L196,Сборка!$P$2:$P$501,0)),IF(ISNUMBER($K196),INDEX(Сборка!$D$2:$D$501,$K196)&amp;IF(INDEX(Сборка!$I$2:$I$501,$K196)&lt;&gt;""," — "&amp;INDEX(Сборка!$I$2:$I$501,$K196),""),""))</f>
        <v/>
      </c>
      <c r="D196" t="str">
        <f>IF(ISNUMBER($K196),INDEX(Сборка!$E$2:$E$501,$K196),"")</f>
        <v/>
      </c>
      <c r="E196" t="str">
        <f>IF(ISNUMBER($K196),INDEX(Сборка!$G$2:$G$501,$K196),"")</f>
        <v/>
      </c>
      <c r="F196" s="6" t="str">
        <f>IF(ISNUMBER($K196),INDEX(Сборка!$J$2:$J$501,$K196),"")</f>
        <v/>
      </c>
      <c r="G196" s="6" t="str">
        <f>IF(ISNUMBER($K196),INDEX(Сборка!$K$2:$K$501,$K196),"")</f>
        <v/>
      </c>
      <c r="H196" s="6" t="str">
        <f t="shared" si="8"/>
        <v/>
      </c>
      <c r="I196" s="6" t="str">
        <f t="shared" si="9"/>
        <v/>
      </c>
      <c r="J196" s="6" t="str">
        <f t="shared" si="10"/>
        <v/>
      </c>
      <c r="K196" t="str">
        <f>IFERROR(MATCH(176,Сборка!$R$2:$R$501,0),"")</f>
        <v/>
      </c>
      <c r="L196" t="str">
        <f>IFERROR(IF(INDEX(Сборка!$Q$2:$Q$501,MATCH(176+1,Сборка!$R$2:$R$501,0))=1,INDEX(Сборка!$P$2:$P$501,MATCH(176+1,Сборка!$R$2:$R$501,0)),""),"")</f>
        <v/>
      </c>
      <c r="M196" t="str">
        <f t="shared" si="11"/>
        <v/>
      </c>
    </row>
    <row r="197" spans="1:13" hidden="1" x14ac:dyDescent="0.3">
      <c r="A197" t="str">
        <f>IF(ISNUMBER($K197),INDEX(Сборка!$O$2:$O$501,$K197),"")</f>
        <v/>
      </c>
      <c r="B197" t="str">
        <f>IF(ISNUMBER($K197),INDEX(Сборка!$C$2:$C$501,$K197),"")</f>
        <v/>
      </c>
      <c r="C197" s="5" t="str">
        <f>IF($L197&lt;&gt;"",INDEX(Сборка!$S$2:$S$501,MATCH($L197,Сборка!$P$2:$P$501,0)),IF(ISNUMBER($K197),INDEX(Сборка!$D$2:$D$501,$K197)&amp;IF(INDEX(Сборка!$I$2:$I$501,$K197)&lt;&gt;""," — "&amp;INDEX(Сборка!$I$2:$I$501,$K197),""),""))</f>
        <v/>
      </c>
      <c r="D197" t="str">
        <f>IF(ISNUMBER($K197),INDEX(Сборка!$E$2:$E$501,$K197),"")</f>
        <v/>
      </c>
      <c r="E197" t="str">
        <f>IF(ISNUMBER($K197),INDEX(Сборка!$G$2:$G$501,$K197),"")</f>
        <v/>
      </c>
      <c r="F197" s="6" t="str">
        <f>IF(ISNUMBER($K197),INDEX(Сборка!$J$2:$J$501,$K197),"")</f>
        <v/>
      </c>
      <c r="G197" s="6" t="str">
        <f>IF(ISNUMBER($K197),INDEX(Сборка!$K$2:$K$501,$K197),"")</f>
        <v/>
      </c>
      <c r="H197" s="6" t="str">
        <f t="shared" si="8"/>
        <v/>
      </c>
      <c r="I197" s="6" t="str">
        <f t="shared" si="9"/>
        <v/>
      </c>
      <c r="J197" s="6" t="str">
        <f t="shared" si="10"/>
        <v/>
      </c>
      <c r="K197" t="str">
        <f>IFERROR(MATCH(177,Сборка!$R$2:$R$501,0),"")</f>
        <v/>
      </c>
      <c r="L197" t="str">
        <f>IFERROR(IF(INDEX(Сборка!$Q$2:$Q$501,MATCH(177+1,Сборка!$R$2:$R$501,0))=1,INDEX(Сборка!$P$2:$P$501,MATCH(177+1,Сборка!$R$2:$R$501,0)),""),"")</f>
        <v/>
      </c>
      <c r="M197" t="str">
        <f t="shared" si="11"/>
        <v/>
      </c>
    </row>
    <row r="198" spans="1:13" hidden="1" x14ac:dyDescent="0.3">
      <c r="A198" t="str">
        <f>IF(ISNUMBER($K198),INDEX(Сборка!$O$2:$O$501,$K198),"")</f>
        <v/>
      </c>
      <c r="B198" t="str">
        <f>IF(ISNUMBER($K198),INDEX(Сборка!$C$2:$C$501,$K198),"")</f>
        <v/>
      </c>
      <c r="C198" s="5" t="str">
        <f>IF($L198&lt;&gt;"",INDEX(Сборка!$S$2:$S$501,MATCH($L198,Сборка!$P$2:$P$501,0)),IF(ISNUMBER($K198),INDEX(Сборка!$D$2:$D$501,$K198)&amp;IF(INDEX(Сборка!$I$2:$I$501,$K198)&lt;&gt;""," — "&amp;INDEX(Сборка!$I$2:$I$501,$K198),""),""))</f>
        <v/>
      </c>
      <c r="D198" t="str">
        <f>IF(ISNUMBER($K198),INDEX(Сборка!$E$2:$E$501,$K198),"")</f>
        <v/>
      </c>
      <c r="E198" t="str">
        <f>IF(ISNUMBER($K198),INDEX(Сборка!$G$2:$G$501,$K198),"")</f>
        <v/>
      </c>
      <c r="F198" s="6" t="str">
        <f>IF(ISNUMBER($K198),INDEX(Сборка!$J$2:$J$501,$K198),"")</f>
        <v/>
      </c>
      <c r="G198" s="6" t="str">
        <f>IF(ISNUMBER($K198),INDEX(Сборка!$K$2:$K$501,$K198),"")</f>
        <v/>
      </c>
      <c r="H198" s="6" t="str">
        <f t="shared" si="8"/>
        <v/>
      </c>
      <c r="I198" s="6" t="str">
        <f t="shared" si="9"/>
        <v/>
      </c>
      <c r="J198" s="6" t="str">
        <f t="shared" si="10"/>
        <v/>
      </c>
      <c r="K198" t="str">
        <f>IFERROR(MATCH(178,Сборка!$R$2:$R$501,0),"")</f>
        <v/>
      </c>
      <c r="L198" t="str">
        <f>IFERROR(IF(INDEX(Сборка!$Q$2:$Q$501,MATCH(178+1,Сборка!$R$2:$R$501,0))=1,INDEX(Сборка!$P$2:$P$501,MATCH(178+1,Сборка!$R$2:$R$501,0)),""),"")</f>
        <v/>
      </c>
      <c r="M198" t="str">
        <f t="shared" si="11"/>
        <v/>
      </c>
    </row>
    <row r="199" spans="1:13" hidden="1" x14ac:dyDescent="0.3">
      <c r="A199" t="str">
        <f>IF(ISNUMBER($K199),INDEX(Сборка!$O$2:$O$501,$K199),"")</f>
        <v/>
      </c>
      <c r="B199" t="str">
        <f>IF(ISNUMBER($K199),INDEX(Сборка!$C$2:$C$501,$K199),"")</f>
        <v/>
      </c>
      <c r="C199" s="5" t="str">
        <f>IF($L199&lt;&gt;"",INDEX(Сборка!$S$2:$S$501,MATCH($L199,Сборка!$P$2:$P$501,0)),IF(ISNUMBER($K199),INDEX(Сборка!$D$2:$D$501,$K199)&amp;IF(INDEX(Сборка!$I$2:$I$501,$K199)&lt;&gt;""," — "&amp;INDEX(Сборка!$I$2:$I$501,$K199),""),""))</f>
        <v/>
      </c>
      <c r="D199" t="str">
        <f>IF(ISNUMBER($K199),INDEX(Сборка!$E$2:$E$501,$K199),"")</f>
        <v/>
      </c>
      <c r="E199" t="str">
        <f>IF(ISNUMBER($K199),INDEX(Сборка!$G$2:$G$501,$K199),"")</f>
        <v/>
      </c>
      <c r="F199" s="6" t="str">
        <f>IF(ISNUMBER($K199),INDEX(Сборка!$J$2:$J$501,$K199),"")</f>
        <v/>
      </c>
      <c r="G199" s="6" t="str">
        <f>IF(ISNUMBER($K199),INDEX(Сборка!$K$2:$K$501,$K199),"")</f>
        <v/>
      </c>
      <c r="H199" s="6" t="str">
        <f t="shared" si="8"/>
        <v/>
      </c>
      <c r="I199" s="6" t="str">
        <f t="shared" si="9"/>
        <v/>
      </c>
      <c r="J199" s="6" t="str">
        <f t="shared" si="10"/>
        <v/>
      </c>
      <c r="K199" t="str">
        <f>IFERROR(MATCH(179,Сборка!$R$2:$R$501,0),"")</f>
        <v/>
      </c>
      <c r="L199" t="str">
        <f>IFERROR(IF(INDEX(Сборка!$Q$2:$Q$501,MATCH(179+1,Сборка!$R$2:$R$501,0))=1,INDEX(Сборка!$P$2:$P$501,MATCH(179+1,Сборка!$R$2:$R$501,0)),""),"")</f>
        <v/>
      </c>
      <c r="M199" t="str">
        <f t="shared" si="11"/>
        <v/>
      </c>
    </row>
    <row r="200" spans="1:13" hidden="1" x14ac:dyDescent="0.3">
      <c r="A200" t="str">
        <f>IF(ISNUMBER($K200),INDEX(Сборка!$O$2:$O$501,$K200),"")</f>
        <v/>
      </c>
      <c r="B200" t="str">
        <f>IF(ISNUMBER($K200),INDEX(Сборка!$C$2:$C$501,$K200),"")</f>
        <v/>
      </c>
      <c r="C200" s="5" t="str">
        <f>IF($L200&lt;&gt;"",INDEX(Сборка!$S$2:$S$501,MATCH($L200,Сборка!$P$2:$P$501,0)),IF(ISNUMBER($K200),INDEX(Сборка!$D$2:$D$501,$K200)&amp;IF(INDEX(Сборка!$I$2:$I$501,$K200)&lt;&gt;""," — "&amp;INDEX(Сборка!$I$2:$I$501,$K200),""),""))</f>
        <v/>
      </c>
      <c r="D200" t="str">
        <f>IF(ISNUMBER($K200),INDEX(Сборка!$E$2:$E$501,$K200),"")</f>
        <v/>
      </c>
      <c r="E200" t="str">
        <f>IF(ISNUMBER($K200),INDEX(Сборка!$G$2:$G$501,$K200),"")</f>
        <v/>
      </c>
      <c r="F200" s="6" t="str">
        <f>IF(ISNUMBER($K200),INDEX(Сборка!$J$2:$J$501,$K200),"")</f>
        <v/>
      </c>
      <c r="G200" s="6" t="str">
        <f>IF(ISNUMBER($K200),INDEX(Сборка!$K$2:$K$501,$K200),"")</f>
        <v/>
      </c>
      <c r="H200" s="6" t="str">
        <f t="shared" si="8"/>
        <v/>
      </c>
      <c r="I200" s="6" t="str">
        <f t="shared" si="9"/>
        <v/>
      </c>
      <c r="J200" s="6" t="str">
        <f t="shared" si="10"/>
        <v/>
      </c>
      <c r="K200" t="str">
        <f>IFERROR(MATCH(180,Сборка!$R$2:$R$501,0),"")</f>
        <v/>
      </c>
      <c r="L200" t="str">
        <f>IFERROR(IF(INDEX(Сборка!$Q$2:$Q$501,MATCH(180+1,Сборка!$R$2:$R$501,0))=1,INDEX(Сборка!$P$2:$P$501,MATCH(180+1,Сборка!$R$2:$R$501,0)),""),"")</f>
        <v/>
      </c>
      <c r="M200" t="str">
        <f t="shared" si="11"/>
        <v/>
      </c>
    </row>
    <row r="201" spans="1:13" hidden="1" x14ac:dyDescent="0.3">
      <c r="A201" t="str">
        <f>IF(ISNUMBER($K201),INDEX(Сборка!$O$2:$O$501,$K201),"")</f>
        <v/>
      </c>
      <c r="B201" t="str">
        <f>IF(ISNUMBER($K201),INDEX(Сборка!$C$2:$C$501,$K201),"")</f>
        <v/>
      </c>
      <c r="C201" s="5" t="str">
        <f>IF($L201&lt;&gt;"",INDEX(Сборка!$S$2:$S$501,MATCH($L201,Сборка!$P$2:$P$501,0)),IF(ISNUMBER($K201),INDEX(Сборка!$D$2:$D$501,$K201)&amp;IF(INDEX(Сборка!$I$2:$I$501,$K201)&lt;&gt;""," — "&amp;INDEX(Сборка!$I$2:$I$501,$K201),""),""))</f>
        <v/>
      </c>
      <c r="D201" t="str">
        <f>IF(ISNUMBER($K201),INDEX(Сборка!$E$2:$E$501,$K201),"")</f>
        <v/>
      </c>
      <c r="E201" t="str">
        <f>IF(ISNUMBER($K201),INDEX(Сборка!$G$2:$G$501,$K201),"")</f>
        <v/>
      </c>
      <c r="F201" s="6" t="str">
        <f>IF(ISNUMBER($K201),INDEX(Сборка!$J$2:$J$501,$K201),"")</f>
        <v/>
      </c>
      <c r="G201" s="6" t="str">
        <f>IF(ISNUMBER($K201),INDEX(Сборка!$K$2:$K$501,$K201),"")</f>
        <v/>
      </c>
      <c r="H201" s="6" t="str">
        <f t="shared" si="8"/>
        <v/>
      </c>
      <c r="I201" s="6" t="str">
        <f t="shared" si="9"/>
        <v/>
      </c>
      <c r="J201" s="6" t="str">
        <f t="shared" si="10"/>
        <v/>
      </c>
      <c r="K201" t="str">
        <f>IFERROR(MATCH(181,Сборка!$R$2:$R$501,0),"")</f>
        <v/>
      </c>
      <c r="L201" t="str">
        <f>IFERROR(IF(INDEX(Сборка!$Q$2:$Q$501,MATCH(181+1,Сборка!$R$2:$R$501,0))=1,INDEX(Сборка!$P$2:$P$501,MATCH(181+1,Сборка!$R$2:$R$501,0)),""),"")</f>
        <v/>
      </c>
      <c r="M201" t="str">
        <f t="shared" si="11"/>
        <v/>
      </c>
    </row>
    <row r="202" spans="1:13" hidden="1" x14ac:dyDescent="0.3">
      <c r="A202" t="str">
        <f>IF(ISNUMBER($K202),INDEX(Сборка!$O$2:$O$501,$K202),"")</f>
        <v/>
      </c>
      <c r="B202" t="str">
        <f>IF(ISNUMBER($K202),INDEX(Сборка!$C$2:$C$501,$K202),"")</f>
        <v/>
      </c>
      <c r="C202" s="5" t="str">
        <f>IF($L202&lt;&gt;"",INDEX(Сборка!$S$2:$S$501,MATCH($L202,Сборка!$P$2:$P$501,0)),IF(ISNUMBER($K202),INDEX(Сборка!$D$2:$D$501,$K202)&amp;IF(INDEX(Сборка!$I$2:$I$501,$K202)&lt;&gt;""," — "&amp;INDEX(Сборка!$I$2:$I$501,$K202),""),""))</f>
        <v/>
      </c>
      <c r="D202" t="str">
        <f>IF(ISNUMBER($K202),INDEX(Сборка!$E$2:$E$501,$K202),"")</f>
        <v/>
      </c>
      <c r="E202" t="str">
        <f>IF(ISNUMBER($K202),INDEX(Сборка!$G$2:$G$501,$K202),"")</f>
        <v/>
      </c>
      <c r="F202" s="6" t="str">
        <f>IF(ISNUMBER($K202),INDEX(Сборка!$J$2:$J$501,$K202),"")</f>
        <v/>
      </c>
      <c r="G202" s="6" t="str">
        <f>IF(ISNUMBER($K202),INDEX(Сборка!$K$2:$K$501,$K202),"")</f>
        <v/>
      </c>
      <c r="H202" s="6" t="str">
        <f t="shared" si="8"/>
        <v/>
      </c>
      <c r="I202" s="6" t="str">
        <f t="shared" si="9"/>
        <v/>
      </c>
      <c r="J202" s="6" t="str">
        <f t="shared" si="10"/>
        <v/>
      </c>
      <c r="K202" t="str">
        <f>IFERROR(MATCH(182,Сборка!$R$2:$R$501,0),"")</f>
        <v/>
      </c>
      <c r="L202" t="str">
        <f>IFERROR(IF(INDEX(Сборка!$Q$2:$Q$501,MATCH(182+1,Сборка!$R$2:$R$501,0))=1,INDEX(Сборка!$P$2:$P$501,MATCH(182+1,Сборка!$R$2:$R$501,0)),""),"")</f>
        <v/>
      </c>
      <c r="M202" t="str">
        <f t="shared" si="11"/>
        <v/>
      </c>
    </row>
    <row r="203" spans="1:13" hidden="1" x14ac:dyDescent="0.3">
      <c r="A203" t="str">
        <f>IF(ISNUMBER($K203),INDEX(Сборка!$O$2:$O$501,$K203),"")</f>
        <v/>
      </c>
      <c r="B203" t="str">
        <f>IF(ISNUMBER($K203),INDEX(Сборка!$C$2:$C$501,$K203),"")</f>
        <v/>
      </c>
      <c r="C203" s="5" t="str">
        <f>IF($L203&lt;&gt;"",INDEX(Сборка!$S$2:$S$501,MATCH($L203,Сборка!$P$2:$P$501,0)),IF(ISNUMBER($K203),INDEX(Сборка!$D$2:$D$501,$K203)&amp;IF(INDEX(Сборка!$I$2:$I$501,$K203)&lt;&gt;""," — "&amp;INDEX(Сборка!$I$2:$I$501,$K203),""),""))</f>
        <v/>
      </c>
      <c r="D203" t="str">
        <f>IF(ISNUMBER($K203),INDEX(Сборка!$E$2:$E$501,$K203),"")</f>
        <v/>
      </c>
      <c r="E203" t="str">
        <f>IF(ISNUMBER($K203),INDEX(Сборка!$G$2:$G$501,$K203),"")</f>
        <v/>
      </c>
      <c r="F203" s="6" t="str">
        <f>IF(ISNUMBER($K203),INDEX(Сборка!$J$2:$J$501,$K203),"")</f>
        <v/>
      </c>
      <c r="G203" s="6" t="str">
        <f>IF(ISNUMBER($K203),INDEX(Сборка!$K$2:$K$501,$K203),"")</f>
        <v/>
      </c>
      <c r="H203" s="6" t="str">
        <f t="shared" si="8"/>
        <v/>
      </c>
      <c r="I203" s="6" t="str">
        <f t="shared" si="9"/>
        <v/>
      </c>
      <c r="J203" s="6" t="str">
        <f t="shared" si="10"/>
        <v/>
      </c>
      <c r="K203" t="str">
        <f>IFERROR(MATCH(183,Сборка!$R$2:$R$501,0),"")</f>
        <v/>
      </c>
      <c r="L203" t="str">
        <f>IFERROR(IF(INDEX(Сборка!$Q$2:$Q$501,MATCH(183+1,Сборка!$R$2:$R$501,0))=1,INDEX(Сборка!$P$2:$P$501,MATCH(183+1,Сборка!$R$2:$R$501,0)),""),"")</f>
        <v/>
      </c>
      <c r="M203" t="str">
        <f t="shared" si="11"/>
        <v/>
      </c>
    </row>
    <row r="204" spans="1:13" hidden="1" x14ac:dyDescent="0.3">
      <c r="A204" t="str">
        <f>IF(ISNUMBER($K204),INDEX(Сборка!$O$2:$O$501,$K204),"")</f>
        <v/>
      </c>
      <c r="B204" t="str">
        <f>IF(ISNUMBER($K204),INDEX(Сборка!$C$2:$C$501,$K204),"")</f>
        <v/>
      </c>
      <c r="C204" s="5" t="str">
        <f>IF($L204&lt;&gt;"",INDEX(Сборка!$S$2:$S$501,MATCH($L204,Сборка!$P$2:$P$501,0)),IF(ISNUMBER($K204),INDEX(Сборка!$D$2:$D$501,$K204)&amp;IF(INDEX(Сборка!$I$2:$I$501,$K204)&lt;&gt;""," — "&amp;INDEX(Сборка!$I$2:$I$501,$K204),""),""))</f>
        <v/>
      </c>
      <c r="D204" t="str">
        <f>IF(ISNUMBER($K204),INDEX(Сборка!$E$2:$E$501,$K204),"")</f>
        <v/>
      </c>
      <c r="E204" t="str">
        <f>IF(ISNUMBER($K204),INDEX(Сборка!$G$2:$G$501,$K204),"")</f>
        <v/>
      </c>
      <c r="F204" s="6" t="str">
        <f>IF(ISNUMBER($K204),INDEX(Сборка!$J$2:$J$501,$K204),"")</f>
        <v/>
      </c>
      <c r="G204" s="6" t="str">
        <f>IF(ISNUMBER($K204),INDEX(Сборка!$K$2:$K$501,$K204),"")</f>
        <v/>
      </c>
      <c r="H204" s="6" t="str">
        <f t="shared" si="8"/>
        <v/>
      </c>
      <c r="I204" s="6" t="str">
        <f t="shared" si="9"/>
        <v/>
      </c>
      <c r="J204" s="6" t="str">
        <f t="shared" si="10"/>
        <v/>
      </c>
      <c r="K204" t="str">
        <f>IFERROR(MATCH(184,Сборка!$R$2:$R$501,0),"")</f>
        <v/>
      </c>
      <c r="L204" t="str">
        <f>IFERROR(IF(INDEX(Сборка!$Q$2:$Q$501,MATCH(184+1,Сборка!$R$2:$R$501,0))=1,INDEX(Сборка!$P$2:$P$501,MATCH(184+1,Сборка!$R$2:$R$501,0)),""),"")</f>
        <v/>
      </c>
      <c r="M204" t="str">
        <f t="shared" si="11"/>
        <v/>
      </c>
    </row>
    <row r="205" spans="1:13" hidden="1" x14ac:dyDescent="0.3">
      <c r="A205" t="str">
        <f>IF(ISNUMBER($K205),INDEX(Сборка!$O$2:$O$501,$K205),"")</f>
        <v/>
      </c>
      <c r="B205" t="str">
        <f>IF(ISNUMBER($K205),INDEX(Сборка!$C$2:$C$501,$K205),"")</f>
        <v/>
      </c>
      <c r="C205" s="5" t="str">
        <f>IF($L205&lt;&gt;"",INDEX(Сборка!$S$2:$S$501,MATCH($L205,Сборка!$P$2:$P$501,0)),IF(ISNUMBER($K205),INDEX(Сборка!$D$2:$D$501,$K205)&amp;IF(INDEX(Сборка!$I$2:$I$501,$K205)&lt;&gt;""," — "&amp;INDEX(Сборка!$I$2:$I$501,$K205),""),""))</f>
        <v/>
      </c>
      <c r="D205" t="str">
        <f>IF(ISNUMBER($K205),INDEX(Сборка!$E$2:$E$501,$K205),"")</f>
        <v/>
      </c>
      <c r="E205" t="str">
        <f>IF(ISNUMBER($K205),INDEX(Сборка!$G$2:$G$501,$K205),"")</f>
        <v/>
      </c>
      <c r="F205" s="6" t="str">
        <f>IF(ISNUMBER($K205),INDEX(Сборка!$J$2:$J$501,$K205),"")</f>
        <v/>
      </c>
      <c r="G205" s="6" t="str">
        <f>IF(ISNUMBER($K205),INDEX(Сборка!$K$2:$K$501,$K205),"")</f>
        <v/>
      </c>
      <c r="H205" s="6" t="str">
        <f t="shared" si="8"/>
        <v/>
      </c>
      <c r="I205" s="6" t="str">
        <f t="shared" si="9"/>
        <v/>
      </c>
      <c r="J205" s="6" t="str">
        <f t="shared" si="10"/>
        <v/>
      </c>
      <c r="K205" t="str">
        <f>IFERROR(MATCH(185,Сборка!$R$2:$R$501,0),"")</f>
        <v/>
      </c>
      <c r="L205" t="str">
        <f>IFERROR(IF(INDEX(Сборка!$Q$2:$Q$501,MATCH(185+1,Сборка!$R$2:$R$501,0))=1,INDEX(Сборка!$P$2:$P$501,MATCH(185+1,Сборка!$R$2:$R$501,0)),""),"")</f>
        <v/>
      </c>
      <c r="M205" t="str">
        <f t="shared" si="11"/>
        <v/>
      </c>
    </row>
    <row r="206" spans="1:13" hidden="1" x14ac:dyDescent="0.3">
      <c r="A206" t="str">
        <f>IF(ISNUMBER($K206),INDEX(Сборка!$O$2:$O$501,$K206),"")</f>
        <v/>
      </c>
      <c r="B206" t="str">
        <f>IF(ISNUMBER($K206),INDEX(Сборка!$C$2:$C$501,$K206),"")</f>
        <v/>
      </c>
      <c r="C206" s="5" t="str">
        <f>IF($L206&lt;&gt;"",INDEX(Сборка!$S$2:$S$501,MATCH($L206,Сборка!$P$2:$P$501,0)),IF(ISNUMBER($K206),INDEX(Сборка!$D$2:$D$501,$K206)&amp;IF(INDEX(Сборка!$I$2:$I$501,$K206)&lt;&gt;""," — "&amp;INDEX(Сборка!$I$2:$I$501,$K206),""),""))</f>
        <v/>
      </c>
      <c r="D206" t="str">
        <f>IF(ISNUMBER($K206),INDEX(Сборка!$E$2:$E$501,$K206),"")</f>
        <v/>
      </c>
      <c r="E206" t="str">
        <f>IF(ISNUMBER($K206),INDEX(Сборка!$G$2:$G$501,$K206),"")</f>
        <v/>
      </c>
      <c r="F206" s="6" t="str">
        <f>IF(ISNUMBER($K206),INDEX(Сборка!$J$2:$J$501,$K206),"")</f>
        <v/>
      </c>
      <c r="G206" s="6" t="str">
        <f>IF(ISNUMBER($K206),INDEX(Сборка!$K$2:$K$501,$K206),"")</f>
        <v/>
      </c>
      <c r="H206" s="6" t="str">
        <f t="shared" si="8"/>
        <v/>
      </c>
      <c r="I206" s="6" t="str">
        <f t="shared" si="9"/>
        <v/>
      </c>
      <c r="J206" s="6" t="str">
        <f t="shared" si="10"/>
        <v/>
      </c>
      <c r="K206" t="str">
        <f>IFERROR(MATCH(186,Сборка!$R$2:$R$501,0),"")</f>
        <v/>
      </c>
      <c r="L206" t="str">
        <f>IFERROR(IF(INDEX(Сборка!$Q$2:$Q$501,MATCH(186+1,Сборка!$R$2:$R$501,0))=1,INDEX(Сборка!$P$2:$P$501,MATCH(186+1,Сборка!$R$2:$R$501,0)),""),"")</f>
        <v/>
      </c>
      <c r="M206" t="str">
        <f t="shared" si="11"/>
        <v/>
      </c>
    </row>
    <row r="207" spans="1:13" hidden="1" x14ac:dyDescent="0.3">
      <c r="A207" t="str">
        <f>IF(ISNUMBER($K207),INDEX(Сборка!$O$2:$O$501,$K207),"")</f>
        <v/>
      </c>
      <c r="B207" t="str">
        <f>IF(ISNUMBER($K207),INDEX(Сборка!$C$2:$C$501,$K207),"")</f>
        <v/>
      </c>
      <c r="C207" s="5" t="str">
        <f>IF($L207&lt;&gt;"",INDEX(Сборка!$S$2:$S$501,MATCH($L207,Сборка!$P$2:$P$501,0)),IF(ISNUMBER($K207),INDEX(Сборка!$D$2:$D$501,$K207)&amp;IF(INDEX(Сборка!$I$2:$I$501,$K207)&lt;&gt;""," — "&amp;INDEX(Сборка!$I$2:$I$501,$K207),""),""))</f>
        <v/>
      </c>
      <c r="D207" t="str">
        <f>IF(ISNUMBER($K207),INDEX(Сборка!$E$2:$E$501,$K207),"")</f>
        <v/>
      </c>
      <c r="E207" t="str">
        <f>IF(ISNUMBER($K207),INDEX(Сборка!$G$2:$G$501,$K207),"")</f>
        <v/>
      </c>
      <c r="F207" s="6" t="str">
        <f>IF(ISNUMBER($K207),INDEX(Сборка!$J$2:$J$501,$K207),"")</f>
        <v/>
      </c>
      <c r="G207" s="6" t="str">
        <f>IF(ISNUMBER($K207),INDEX(Сборка!$K$2:$K$501,$K207),"")</f>
        <v/>
      </c>
      <c r="H207" s="6" t="str">
        <f t="shared" si="8"/>
        <v/>
      </c>
      <c r="I207" s="6" t="str">
        <f t="shared" si="9"/>
        <v/>
      </c>
      <c r="J207" s="6" t="str">
        <f t="shared" si="10"/>
        <v/>
      </c>
      <c r="K207" t="str">
        <f>IFERROR(MATCH(187,Сборка!$R$2:$R$501,0),"")</f>
        <v/>
      </c>
      <c r="L207" t="str">
        <f>IFERROR(IF(INDEX(Сборка!$Q$2:$Q$501,MATCH(187+1,Сборка!$R$2:$R$501,0))=1,INDEX(Сборка!$P$2:$P$501,MATCH(187+1,Сборка!$R$2:$R$501,0)),""),"")</f>
        <v/>
      </c>
      <c r="M207" t="str">
        <f t="shared" si="11"/>
        <v/>
      </c>
    </row>
    <row r="208" spans="1:13" hidden="1" x14ac:dyDescent="0.3">
      <c r="A208" t="str">
        <f>IF(ISNUMBER($K208),INDEX(Сборка!$O$2:$O$501,$K208),"")</f>
        <v/>
      </c>
      <c r="B208" t="str">
        <f>IF(ISNUMBER($K208),INDEX(Сборка!$C$2:$C$501,$K208),"")</f>
        <v/>
      </c>
      <c r="C208" s="5" t="str">
        <f>IF($L208&lt;&gt;"",INDEX(Сборка!$S$2:$S$501,MATCH($L208,Сборка!$P$2:$P$501,0)),IF(ISNUMBER($K208),INDEX(Сборка!$D$2:$D$501,$K208)&amp;IF(INDEX(Сборка!$I$2:$I$501,$K208)&lt;&gt;""," — "&amp;INDEX(Сборка!$I$2:$I$501,$K208),""),""))</f>
        <v/>
      </c>
      <c r="D208" t="str">
        <f>IF(ISNUMBER($K208),INDEX(Сборка!$E$2:$E$501,$K208),"")</f>
        <v/>
      </c>
      <c r="E208" t="str">
        <f>IF(ISNUMBER($K208),INDEX(Сборка!$G$2:$G$501,$K208),"")</f>
        <v/>
      </c>
      <c r="F208" s="6" t="str">
        <f>IF(ISNUMBER($K208),INDEX(Сборка!$J$2:$J$501,$K208),"")</f>
        <v/>
      </c>
      <c r="G208" s="6" t="str">
        <f>IF(ISNUMBER($K208),INDEX(Сборка!$K$2:$K$501,$K208),"")</f>
        <v/>
      </c>
      <c r="H208" s="6" t="str">
        <f t="shared" si="8"/>
        <v/>
      </c>
      <c r="I208" s="6" t="str">
        <f t="shared" si="9"/>
        <v/>
      </c>
      <c r="J208" s="6" t="str">
        <f t="shared" si="10"/>
        <v/>
      </c>
      <c r="K208" t="str">
        <f>IFERROR(MATCH(188,Сборка!$R$2:$R$501,0),"")</f>
        <v/>
      </c>
      <c r="L208" t="str">
        <f>IFERROR(IF(INDEX(Сборка!$Q$2:$Q$501,MATCH(188+1,Сборка!$R$2:$R$501,0))=1,INDEX(Сборка!$P$2:$P$501,MATCH(188+1,Сборка!$R$2:$R$501,0)),""),"")</f>
        <v/>
      </c>
      <c r="M208" t="str">
        <f t="shared" si="11"/>
        <v/>
      </c>
    </row>
    <row r="209" spans="1:13" hidden="1" x14ac:dyDescent="0.3">
      <c r="A209" t="str">
        <f>IF(ISNUMBER($K209),INDEX(Сборка!$O$2:$O$501,$K209),"")</f>
        <v/>
      </c>
      <c r="B209" t="str">
        <f>IF(ISNUMBER($K209),INDEX(Сборка!$C$2:$C$501,$K209),"")</f>
        <v/>
      </c>
      <c r="C209" s="5" t="str">
        <f>IF($L209&lt;&gt;"",INDEX(Сборка!$S$2:$S$501,MATCH($L209,Сборка!$P$2:$P$501,0)),IF(ISNUMBER($K209),INDEX(Сборка!$D$2:$D$501,$K209)&amp;IF(INDEX(Сборка!$I$2:$I$501,$K209)&lt;&gt;""," — "&amp;INDEX(Сборка!$I$2:$I$501,$K209),""),""))</f>
        <v/>
      </c>
      <c r="D209" t="str">
        <f>IF(ISNUMBER($K209),INDEX(Сборка!$E$2:$E$501,$K209),"")</f>
        <v/>
      </c>
      <c r="E209" t="str">
        <f>IF(ISNUMBER($K209),INDEX(Сборка!$G$2:$G$501,$K209),"")</f>
        <v/>
      </c>
      <c r="F209" s="6" t="str">
        <f>IF(ISNUMBER($K209),INDEX(Сборка!$J$2:$J$501,$K209),"")</f>
        <v/>
      </c>
      <c r="G209" s="6" t="str">
        <f>IF(ISNUMBER($K209),INDEX(Сборка!$K$2:$K$501,$K209),"")</f>
        <v/>
      </c>
      <c r="H209" s="6" t="str">
        <f t="shared" si="8"/>
        <v/>
      </c>
      <c r="I209" s="6" t="str">
        <f t="shared" si="9"/>
        <v/>
      </c>
      <c r="J209" s="6" t="str">
        <f t="shared" si="10"/>
        <v/>
      </c>
      <c r="K209" t="str">
        <f>IFERROR(MATCH(189,Сборка!$R$2:$R$501,0),"")</f>
        <v/>
      </c>
      <c r="L209" t="str">
        <f>IFERROR(IF(INDEX(Сборка!$Q$2:$Q$501,MATCH(189+1,Сборка!$R$2:$R$501,0))=1,INDEX(Сборка!$P$2:$P$501,MATCH(189+1,Сборка!$R$2:$R$501,0)),""),"")</f>
        <v/>
      </c>
      <c r="M209" t="str">
        <f t="shared" si="11"/>
        <v/>
      </c>
    </row>
    <row r="210" spans="1:13" hidden="1" x14ac:dyDescent="0.3">
      <c r="A210" t="str">
        <f>IF(ISNUMBER($K210),INDEX(Сборка!$O$2:$O$501,$K210),"")</f>
        <v/>
      </c>
      <c r="B210" t="str">
        <f>IF(ISNUMBER($K210),INDEX(Сборка!$C$2:$C$501,$K210),"")</f>
        <v/>
      </c>
      <c r="C210" s="5" t="str">
        <f>IF($L210&lt;&gt;"",INDEX(Сборка!$S$2:$S$501,MATCH($L210,Сборка!$P$2:$P$501,0)),IF(ISNUMBER($K210),INDEX(Сборка!$D$2:$D$501,$K210)&amp;IF(INDEX(Сборка!$I$2:$I$501,$K210)&lt;&gt;""," — "&amp;INDEX(Сборка!$I$2:$I$501,$K210),""),""))</f>
        <v/>
      </c>
      <c r="D210" t="str">
        <f>IF(ISNUMBER($K210),INDEX(Сборка!$E$2:$E$501,$K210),"")</f>
        <v/>
      </c>
      <c r="E210" t="str">
        <f>IF(ISNUMBER($K210),INDEX(Сборка!$G$2:$G$501,$K210),"")</f>
        <v/>
      </c>
      <c r="F210" s="6" t="str">
        <f>IF(ISNUMBER($K210),INDEX(Сборка!$J$2:$J$501,$K210),"")</f>
        <v/>
      </c>
      <c r="G210" s="6" t="str">
        <f>IF(ISNUMBER($K210),INDEX(Сборка!$K$2:$K$501,$K210),"")</f>
        <v/>
      </c>
      <c r="H210" s="6" t="str">
        <f t="shared" si="8"/>
        <v/>
      </c>
      <c r="I210" s="6" t="str">
        <f t="shared" si="9"/>
        <v/>
      </c>
      <c r="J210" s="6" t="str">
        <f t="shared" si="10"/>
        <v/>
      </c>
      <c r="K210" t="str">
        <f>IFERROR(MATCH(190,Сборка!$R$2:$R$501,0),"")</f>
        <v/>
      </c>
      <c r="L210" t="str">
        <f>IFERROR(IF(INDEX(Сборка!$Q$2:$Q$501,MATCH(190+1,Сборка!$R$2:$R$501,0))=1,INDEX(Сборка!$P$2:$P$501,MATCH(190+1,Сборка!$R$2:$R$501,0)),""),"")</f>
        <v/>
      </c>
      <c r="M210" t="str">
        <f t="shared" si="11"/>
        <v/>
      </c>
    </row>
    <row r="211" spans="1:13" hidden="1" x14ac:dyDescent="0.3">
      <c r="A211" t="str">
        <f>IF(ISNUMBER($K211),INDEX(Сборка!$O$2:$O$501,$K211),"")</f>
        <v/>
      </c>
      <c r="B211" t="str">
        <f>IF(ISNUMBER($K211),INDEX(Сборка!$C$2:$C$501,$K211),"")</f>
        <v/>
      </c>
      <c r="C211" s="5" t="str">
        <f>IF($L211&lt;&gt;"",INDEX(Сборка!$S$2:$S$501,MATCH($L211,Сборка!$P$2:$P$501,0)),IF(ISNUMBER($K211),INDEX(Сборка!$D$2:$D$501,$K211)&amp;IF(INDEX(Сборка!$I$2:$I$501,$K211)&lt;&gt;""," — "&amp;INDEX(Сборка!$I$2:$I$501,$K211),""),""))</f>
        <v/>
      </c>
      <c r="D211" t="str">
        <f>IF(ISNUMBER($K211),INDEX(Сборка!$E$2:$E$501,$K211),"")</f>
        <v/>
      </c>
      <c r="E211" t="str">
        <f>IF(ISNUMBER($K211),INDEX(Сборка!$G$2:$G$501,$K211),"")</f>
        <v/>
      </c>
      <c r="F211" s="6" t="str">
        <f>IF(ISNUMBER($K211),INDEX(Сборка!$J$2:$J$501,$K211),"")</f>
        <v/>
      </c>
      <c r="G211" s="6" t="str">
        <f>IF(ISNUMBER($K211),INDEX(Сборка!$K$2:$K$501,$K211),"")</f>
        <v/>
      </c>
      <c r="H211" s="6" t="str">
        <f t="shared" si="8"/>
        <v/>
      </c>
      <c r="I211" s="6" t="str">
        <f t="shared" si="9"/>
        <v/>
      </c>
      <c r="J211" s="6" t="str">
        <f t="shared" si="10"/>
        <v/>
      </c>
      <c r="K211" t="str">
        <f>IFERROR(MATCH(191,Сборка!$R$2:$R$501,0),"")</f>
        <v/>
      </c>
      <c r="L211" t="str">
        <f>IFERROR(IF(INDEX(Сборка!$Q$2:$Q$501,MATCH(191+1,Сборка!$R$2:$R$501,0))=1,INDEX(Сборка!$P$2:$P$501,MATCH(191+1,Сборка!$R$2:$R$501,0)),""),"")</f>
        <v/>
      </c>
      <c r="M211" t="str">
        <f t="shared" si="11"/>
        <v/>
      </c>
    </row>
    <row r="212" spans="1:13" hidden="1" x14ac:dyDescent="0.3">
      <c r="A212" t="str">
        <f>IF(ISNUMBER($K212),INDEX(Сборка!$O$2:$O$501,$K212),"")</f>
        <v/>
      </c>
      <c r="B212" t="str">
        <f>IF(ISNUMBER($K212),INDEX(Сборка!$C$2:$C$501,$K212),"")</f>
        <v/>
      </c>
      <c r="C212" s="5" t="str">
        <f>IF($L212&lt;&gt;"",INDEX(Сборка!$S$2:$S$501,MATCH($L212,Сборка!$P$2:$P$501,0)),IF(ISNUMBER($K212),INDEX(Сборка!$D$2:$D$501,$K212)&amp;IF(INDEX(Сборка!$I$2:$I$501,$K212)&lt;&gt;""," — "&amp;INDEX(Сборка!$I$2:$I$501,$K212),""),""))</f>
        <v/>
      </c>
      <c r="D212" t="str">
        <f>IF(ISNUMBER($K212),INDEX(Сборка!$E$2:$E$501,$K212),"")</f>
        <v/>
      </c>
      <c r="E212" t="str">
        <f>IF(ISNUMBER($K212),INDEX(Сборка!$G$2:$G$501,$K212),"")</f>
        <v/>
      </c>
      <c r="F212" s="6" t="str">
        <f>IF(ISNUMBER($K212),INDEX(Сборка!$J$2:$J$501,$K212),"")</f>
        <v/>
      </c>
      <c r="G212" s="6" t="str">
        <f>IF(ISNUMBER($K212),INDEX(Сборка!$K$2:$K$501,$K212),"")</f>
        <v/>
      </c>
      <c r="H212" s="6" t="str">
        <f t="shared" si="8"/>
        <v/>
      </c>
      <c r="I212" s="6" t="str">
        <f t="shared" si="9"/>
        <v/>
      </c>
      <c r="J212" s="6" t="str">
        <f t="shared" si="10"/>
        <v/>
      </c>
      <c r="K212" t="str">
        <f>IFERROR(MATCH(192,Сборка!$R$2:$R$501,0),"")</f>
        <v/>
      </c>
      <c r="L212" t="str">
        <f>IFERROR(IF(INDEX(Сборка!$Q$2:$Q$501,MATCH(192+1,Сборка!$R$2:$R$501,0))=1,INDEX(Сборка!$P$2:$P$501,MATCH(192+1,Сборка!$R$2:$R$501,0)),""),"")</f>
        <v/>
      </c>
      <c r="M212" t="str">
        <f t="shared" si="11"/>
        <v/>
      </c>
    </row>
    <row r="213" spans="1:13" hidden="1" x14ac:dyDescent="0.3">
      <c r="A213" t="str">
        <f>IF(ISNUMBER($K213),INDEX(Сборка!$O$2:$O$501,$K213),"")</f>
        <v/>
      </c>
      <c r="B213" t="str">
        <f>IF(ISNUMBER($K213),INDEX(Сборка!$C$2:$C$501,$K213),"")</f>
        <v/>
      </c>
      <c r="C213" s="5" t="str">
        <f>IF($L213&lt;&gt;"",INDEX(Сборка!$S$2:$S$501,MATCH($L213,Сборка!$P$2:$P$501,0)),IF(ISNUMBER($K213),INDEX(Сборка!$D$2:$D$501,$K213)&amp;IF(INDEX(Сборка!$I$2:$I$501,$K213)&lt;&gt;""," — "&amp;INDEX(Сборка!$I$2:$I$501,$K213),""),""))</f>
        <v/>
      </c>
      <c r="D213" t="str">
        <f>IF(ISNUMBER($K213),INDEX(Сборка!$E$2:$E$501,$K213),"")</f>
        <v/>
      </c>
      <c r="E213" t="str">
        <f>IF(ISNUMBER($K213),INDEX(Сборка!$G$2:$G$501,$K213),"")</f>
        <v/>
      </c>
      <c r="F213" s="6" t="str">
        <f>IF(ISNUMBER($K213),INDEX(Сборка!$J$2:$J$501,$K213),"")</f>
        <v/>
      </c>
      <c r="G213" s="6" t="str">
        <f>IF(ISNUMBER($K213),INDEX(Сборка!$K$2:$K$501,$K213),"")</f>
        <v/>
      </c>
      <c r="H213" s="6" t="str">
        <f t="shared" ref="H213:H276" si="12">IF(ISNUMBER($K213),ROUND($E213*$F213,2),"")</f>
        <v/>
      </c>
      <c r="I213" s="6" t="str">
        <f t="shared" ref="I213:I276" si="13">IF(ISNUMBER($K213),ROUND($E213*$G213,2),"")</f>
        <v/>
      </c>
      <c r="J213" s="6" t="str">
        <f t="shared" ref="J213:J276" si="14">IF(ISNUMBER($K213),$H213+$I213,"")</f>
        <v/>
      </c>
      <c r="K213" t="str">
        <f>IFERROR(MATCH(193,Сборка!$R$2:$R$501,0),"")</f>
        <v/>
      </c>
      <c r="L213" t="str">
        <f>IFERROR(IF(INDEX(Сборка!$Q$2:$Q$501,MATCH(193+1,Сборка!$R$2:$R$501,0))=1,INDEX(Сборка!$P$2:$P$501,MATCH(193+1,Сборка!$R$2:$R$501,0)),""),"")</f>
        <v/>
      </c>
      <c r="M213" t="str">
        <f t="shared" ref="M213:M276" si="15">IF(OR(ISNUMBER($K213),$L213&lt;&gt;""),"показать","")</f>
        <v/>
      </c>
    </row>
    <row r="214" spans="1:13" hidden="1" x14ac:dyDescent="0.3">
      <c r="A214" t="str">
        <f>IF(ISNUMBER($K214),INDEX(Сборка!$O$2:$O$501,$K214),"")</f>
        <v/>
      </c>
      <c r="B214" t="str">
        <f>IF(ISNUMBER($K214),INDEX(Сборка!$C$2:$C$501,$K214),"")</f>
        <v/>
      </c>
      <c r="C214" s="5" t="str">
        <f>IF($L214&lt;&gt;"",INDEX(Сборка!$S$2:$S$501,MATCH($L214,Сборка!$P$2:$P$501,0)),IF(ISNUMBER($K214),INDEX(Сборка!$D$2:$D$501,$K214)&amp;IF(INDEX(Сборка!$I$2:$I$501,$K214)&lt;&gt;""," — "&amp;INDEX(Сборка!$I$2:$I$501,$K214),""),""))</f>
        <v/>
      </c>
      <c r="D214" t="str">
        <f>IF(ISNUMBER($K214),INDEX(Сборка!$E$2:$E$501,$K214),"")</f>
        <v/>
      </c>
      <c r="E214" t="str">
        <f>IF(ISNUMBER($K214),INDEX(Сборка!$G$2:$G$501,$K214),"")</f>
        <v/>
      </c>
      <c r="F214" s="6" t="str">
        <f>IF(ISNUMBER($K214),INDEX(Сборка!$J$2:$J$501,$K214),"")</f>
        <v/>
      </c>
      <c r="G214" s="6" t="str">
        <f>IF(ISNUMBER($K214),INDEX(Сборка!$K$2:$K$501,$K214),"")</f>
        <v/>
      </c>
      <c r="H214" s="6" t="str">
        <f t="shared" si="12"/>
        <v/>
      </c>
      <c r="I214" s="6" t="str">
        <f t="shared" si="13"/>
        <v/>
      </c>
      <c r="J214" s="6" t="str">
        <f t="shared" si="14"/>
        <v/>
      </c>
      <c r="K214" t="str">
        <f>IFERROR(MATCH(194,Сборка!$R$2:$R$501,0),"")</f>
        <v/>
      </c>
      <c r="L214" t="str">
        <f>IFERROR(IF(INDEX(Сборка!$Q$2:$Q$501,MATCH(194+1,Сборка!$R$2:$R$501,0))=1,INDEX(Сборка!$P$2:$P$501,MATCH(194+1,Сборка!$R$2:$R$501,0)),""),"")</f>
        <v/>
      </c>
      <c r="M214" t="str">
        <f t="shared" si="15"/>
        <v/>
      </c>
    </row>
    <row r="215" spans="1:13" hidden="1" x14ac:dyDescent="0.3">
      <c r="A215" t="str">
        <f>IF(ISNUMBER($K215),INDEX(Сборка!$O$2:$O$501,$K215),"")</f>
        <v/>
      </c>
      <c r="B215" t="str">
        <f>IF(ISNUMBER($K215),INDEX(Сборка!$C$2:$C$501,$K215),"")</f>
        <v/>
      </c>
      <c r="C215" s="5" t="str">
        <f>IF($L215&lt;&gt;"",INDEX(Сборка!$S$2:$S$501,MATCH($L215,Сборка!$P$2:$P$501,0)),IF(ISNUMBER($K215),INDEX(Сборка!$D$2:$D$501,$K215)&amp;IF(INDEX(Сборка!$I$2:$I$501,$K215)&lt;&gt;""," — "&amp;INDEX(Сборка!$I$2:$I$501,$K215),""),""))</f>
        <v/>
      </c>
      <c r="D215" t="str">
        <f>IF(ISNUMBER($K215),INDEX(Сборка!$E$2:$E$501,$K215),"")</f>
        <v/>
      </c>
      <c r="E215" t="str">
        <f>IF(ISNUMBER($K215),INDEX(Сборка!$G$2:$G$501,$K215),"")</f>
        <v/>
      </c>
      <c r="F215" s="6" t="str">
        <f>IF(ISNUMBER($K215),INDEX(Сборка!$J$2:$J$501,$K215),"")</f>
        <v/>
      </c>
      <c r="G215" s="6" t="str">
        <f>IF(ISNUMBER($K215),INDEX(Сборка!$K$2:$K$501,$K215),"")</f>
        <v/>
      </c>
      <c r="H215" s="6" t="str">
        <f t="shared" si="12"/>
        <v/>
      </c>
      <c r="I215" s="6" t="str">
        <f t="shared" si="13"/>
        <v/>
      </c>
      <c r="J215" s="6" t="str">
        <f t="shared" si="14"/>
        <v/>
      </c>
      <c r="K215" t="str">
        <f>IFERROR(MATCH(195,Сборка!$R$2:$R$501,0),"")</f>
        <v/>
      </c>
      <c r="L215" t="str">
        <f>IFERROR(IF(INDEX(Сборка!$Q$2:$Q$501,MATCH(195+1,Сборка!$R$2:$R$501,0))=1,INDEX(Сборка!$P$2:$P$501,MATCH(195+1,Сборка!$R$2:$R$501,0)),""),"")</f>
        <v/>
      </c>
      <c r="M215" t="str">
        <f t="shared" si="15"/>
        <v/>
      </c>
    </row>
    <row r="216" spans="1:13" hidden="1" x14ac:dyDescent="0.3">
      <c r="A216" t="str">
        <f>IF(ISNUMBER($K216),INDEX(Сборка!$O$2:$O$501,$K216),"")</f>
        <v/>
      </c>
      <c r="B216" t="str">
        <f>IF(ISNUMBER($K216),INDEX(Сборка!$C$2:$C$501,$K216),"")</f>
        <v/>
      </c>
      <c r="C216" s="5" t="str">
        <f>IF($L216&lt;&gt;"",INDEX(Сборка!$S$2:$S$501,MATCH($L216,Сборка!$P$2:$P$501,0)),IF(ISNUMBER($K216),INDEX(Сборка!$D$2:$D$501,$K216)&amp;IF(INDEX(Сборка!$I$2:$I$501,$K216)&lt;&gt;""," — "&amp;INDEX(Сборка!$I$2:$I$501,$K216),""),""))</f>
        <v/>
      </c>
      <c r="D216" t="str">
        <f>IF(ISNUMBER($K216),INDEX(Сборка!$E$2:$E$501,$K216),"")</f>
        <v/>
      </c>
      <c r="E216" t="str">
        <f>IF(ISNUMBER($K216),INDEX(Сборка!$G$2:$G$501,$K216),"")</f>
        <v/>
      </c>
      <c r="F216" s="6" t="str">
        <f>IF(ISNUMBER($K216),INDEX(Сборка!$J$2:$J$501,$K216),"")</f>
        <v/>
      </c>
      <c r="G216" s="6" t="str">
        <f>IF(ISNUMBER($K216),INDEX(Сборка!$K$2:$K$501,$K216),"")</f>
        <v/>
      </c>
      <c r="H216" s="6" t="str">
        <f t="shared" si="12"/>
        <v/>
      </c>
      <c r="I216" s="6" t="str">
        <f t="shared" si="13"/>
        <v/>
      </c>
      <c r="J216" s="6" t="str">
        <f t="shared" si="14"/>
        <v/>
      </c>
      <c r="K216" t="str">
        <f>IFERROR(MATCH(196,Сборка!$R$2:$R$501,0),"")</f>
        <v/>
      </c>
      <c r="L216" t="str">
        <f>IFERROR(IF(INDEX(Сборка!$Q$2:$Q$501,MATCH(196+1,Сборка!$R$2:$R$501,0))=1,INDEX(Сборка!$P$2:$P$501,MATCH(196+1,Сборка!$R$2:$R$501,0)),""),"")</f>
        <v/>
      </c>
      <c r="M216" t="str">
        <f t="shared" si="15"/>
        <v/>
      </c>
    </row>
    <row r="217" spans="1:13" hidden="1" x14ac:dyDescent="0.3">
      <c r="A217" t="str">
        <f>IF(ISNUMBER($K217),INDEX(Сборка!$O$2:$O$501,$K217),"")</f>
        <v/>
      </c>
      <c r="B217" t="str">
        <f>IF(ISNUMBER($K217),INDEX(Сборка!$C$2:$C$501,$K217),"")</f>
        <v/>
      </c>
      <c r="C217" s="5" t="str">
        <f>IF($L217&lt;&gt;"",INDEX(Сборка!$S$2:$S$501,MATCH($L217,Сборка!$P$2:$P$501,0)),IF(ISNUMBER($K217),INDEX(Сборка!$D$2:$D$501,$K217)&amp;IF(INDEX(Сборка!$I$2:$I$501,$K217)&lt;&gt;""," — "&amp;INDEX(Сборка!$I$2:$I$501,$K217),""),""))</f>
        <v/>
      </c>
      <c r="D217" t="str">
        <f>IF(ISNUMBER($K217),INDEX(Сборка!$E$2:$E$501,$K217),"")</f>
        <v/>
      </c>
      <c r="E217" t="str">
        <f>IF(ISNUMBER($K217),INDEX(Сборка!$G$2:$G$501,$K217),"")</f>
        <v/>
      </c>
      <c r="F217" s="6" t="str">
        <f>IF(ISNUMBER($K217),INDEX(Сборка!$J$2:$J$501,$K217),"")</f>
        <v/>
      </c>
      <c r="G217" s="6" t="str">
        <f>IF(ISNUMBER($K217),INDEX(Сборка!$K$2:$K$501,$K217),"")</f>
        <v/>
      </c>
      <c r="H217" s="6" t="str">
        <f t="shared" si="12"/>
        <v/>
      </c>
      <c r="I217" s="6" t="str">
        <f t="shared" si="13"/>
        <v/>
      </c>
      <c r="J217" s="6" t="str">
        <f t="shared" si="14"/>
        <v/>
      </c>
      <c r="K217" t="str">
        <f>IFERROR(MATCH(197,Сборка!$R$2:$R$501,0),"")</f>
        <v/>
      </c>
      <c r="L217" t="str">
        <f>IFERROR(IF(INDEX(Сборка!$Q$2:$Q$501,MATCH(197+1,Сборка!$R$2:$R$501,0))=1,INDEX(Сборка!$P$2:$P$501,MATCH(197+1,Сборка!$R$2:$R$501,0)),""),"")</f>
        <v/>
      </c>
      <c r="M217" t="str">
        <f t="shared" si="15"/>
        <v/>
      </c>
    </row>
    <row r="218" spans="1:13" hidden="1" x14ac:dyDescent="0.3">
      <c r="A218" t="str">
        <f>IF(ISNUMBER($K218),INDEX(Сборка!$O$2:$O$501,$K218),"")</f>
        <v/>
      </c>
      <c r="B218" t="str">
        <f>IF(ISNUMBER($K218),INDEX(Сборка!$C$2:$C$501,$K218),"")</f>
        <v/>
      </c>
      <c r="C218" s="5" t="str">
        <f>IF($L218&lt;&gt;"",INDEX(Сборка!$S$2:$S$501,MATCH($L218,Сборка!$P$2:$P$501,0)),IF(ISNUMBER($K218),INDEX(Сборка!$D$2:$D$501,$K218)&amp;IF(INDEX(Сборка!$I$2:$I$501,$K218)&lt;&gt;""," — "&amp;INDEX(Сборка!$I$2:$I$501,$K218),""),""))</f>
        <v/>
      </c>
      <c r="D218" t="str">
        <f>IF(ISNUMBER($K218),INDEX(Сборка!$E$2:$E$501,$K218),"")</f>
        <v/>
      </c>
      <c r="E218" t="str">
        <f>IF(ISNUMBER($K218),INDEX(Сборка!$G$2:$G$501,$K218),"")</f>
        <v/>
      </c>
      <c r="F218" s="6" t="str">
        <f>IF(ISNUMBER($K218),INDEX(Сборка!$J$2:$J$501,$K218),"")</f>
        <v/>
      </c>
      <c r="G218" s="6" t="str">
        <f>IF(ISNUMBER($K218),INDEX(Сборка!$K$2:$K$501,$K218),"")</f>
        <v/>
      </c>
      <c r="H218" s="6" t="str">
        <f t="shared" si="12"/>
        <v/>
      </c>
      <c r="I218" s="6" t="str">
        <f t="shared" si="13"/>
        <v/>
      </c>
      <c r="J218" s="6" t="str">
        <f t="shared" si="14"/>
        <v/>
      </c>
      <c r="K218" t="str">
        <f>IFERROR(MATCH(198,Сборка!$R$2:$R$501,0),"")</f>
        <v/>
      </c>
      <c r="L218" t="str">
        <f>IFERROR(IF(INDEX(Сборка!$Q$2:$Q$501,MATCH(198+1,Сборка!$R$2:$R$501,0))=1,INDEX(Сборка!$P$2:$P$501,MATCH(198+1,Сборка!$R$2:$R$501,0)),""),"")</f>
        <v/>
      </c>
      <c r="M218" t="str">
        <f t="shared" si="15"/>
        <v/>
      </c>
    </row>
    <row r="219" spans="1:13" hidden="1" x14ac:dyDescent="0.3">
      <c r="A219" t="str">
        <f>IF(ISNUMBER($K219),INDEX(Сборка!$O$2:$O$501,$K219),"")</f>
        <v/>
      </c>
      <c r="B219" t="str">
        <f>IF(ISNUMBER($K219),INDEX(Сборка!$C$2:$C$501,$K219),"")</f>
        <v/>
      </c>
      <c r="C219" s="5" t="str">
        <f>IF($L219&lt;&gt;"",INDEX(Сборка!$S$2:$S$501,MATCH($L219,Сборка!$P$2:$P$501,0)),IF(ISNUMBER($K219),INDEX(Сборка!$D$2:$D$501,$K219)&amp;IF(INDEX(Сборка!$I$2:$I$501,$K219)&lt;&gt;""," — "&amp;INDEX(Сборка!$I$2:$I$501,$K219),""),""))</f>
        <v/>
      </c>
      <c r="D219" t="str">
        <f>IF(ISNUMBER($K219),INDEX(Сборка!$E$2:$E$501,$K219),"")</f>
        <v/>
      </c>
      <c r="E219" t="str">
        <f>IF(ISNUMBER($K219),INDEX(Сборка!$G$2:$G$501,$K219),"")</f>
        <v/>
      </c>
      <c r="F219" s="6" t="str">
        <f>IF(ISNUMBER($K219),INDEX(Сборка!$J$2:$J$501,$K219),"")</f>
        <v/>
      </c>
      <c r="G219" s="6" t="str">
        <f>IF(ISNUMBER($K219),INDEX(Сборка!$K$2:$K$501,$K219),"")</f>
        <v/>
      </c>
      <c r="H219" s="6" t="str">
        <f t="shared" si="12"/>
        <v/>
      </c>
      <c r="I219" s="6" t="str">
        <f t="shared" si="13"/>
        <v/>
      </c>
      <c r="J219" s="6" t="str">
        <f t="shared" si="14"/>
        <v/>
      </c>
      <c r="K219" t="str">
        <f>IFERROR(MATCH(199,Сборка!$R$2:$R$501,0),"")</f>
        <v/>
      </c>
      <c r="L219" t="str">
        <f>IFERROR(IF(INDEX(Сборка!$Q$2:$Q$501,MATCH(199+1,Сборка!$R$2:$R$501,0))=1,INDEX(Сборка!$P$2:$P$501,MATCH(199+1,Сборка!$R$2:$R$501,0)),""),"")</f>
        <v/>
      </c>
      <c r="M219" t="str">
        <f t="shared" si="15"/>
        <v/>
      </c>
    </row>
    <row r="220" spans="1:13" hidden="1" x14ac:dyDescent="0.3">
      <c r="A220" t="str">
        <f>IF(ISNUMBER($K220),INDEX(Сборка!$O$2:$O$501,$K220),"")</f>
        <v/>
      </c>
      <c r="B220" t="str">
        <f>IF(ISNUMBER($K220),INDEX(Сборка!$C$2:$C$501,$K220),"")</f>
        <v/>
      </c>
      <c r="C220" s="5" t="str">
        <f>IF($L220&lt;&gt;"",INDEX(Сборка!$S$2:$S$501,MATCH($L220,Сборка!$P$2:$P$501,0)),IF(ISNUMBER($K220),INDEX(Сборка!$D$2:$D$501,$K220)&amp;IF(INDEX(Сборка!$I$2:$I$501,$K220)&lt;&gt;""," — "&amp;INDEX(Сборка!$I$2:$I$501,$K220),""),""))</f>
        <v/>
      </c>
      <c r="D220" t="str">
        <f>IF(ISNUMBER($K220),INDEX(Сборка!$E$2:$E$501,$K220),"")</f>
        <v/>
      </c>
      <c r="E220" t="str">
        <f>IF(ISNUMBER($K220),INDEX(Сборка!$G$2:$G$501,$K220),"")</f>
        <v/>
      </c>
      <c r="F220" s="6" t="str">
        <f>IF(ISNUMBER($K220),INDEX(Сборка!$J$2:$J$501,$K220),"")</f>
        <v/>
      </c>
      <c r="G220" s="6" t="str">
        <f>IF(ISNUMBER($K220),INDEX(Сборка!$K$2:$K$501,$K220),"")</f>
        <v/>
      </c>
      <c r="H220" s="6" t="str">
        <f t="shared" si="12"/>
        <v/>
      </c>
      <c r="I220" s="6" t="str">
        <f t="shared" si="13"/>
        <v/>
      </c>
      <c r="J220" s="6" t="str">
        <f t="shared" si="14"/>
        <v/>
      </c>
      <c r="K220" t="str">
        <f>IFERROR(MATCH(200,Сборка!$R$2:$R$501,0),"")</f>
        <v/>
      </c>
      <c r="L220" t="str">
        <f>IFERROR(IF(INDEX(Сборка!$Q$2:$Q$501,MATCH(200+1,Сборка!$R$2:$R$501,0))=1,INDEX(Сборка!$P$2:$P$501,MATCH(200+1,Сборка!$R$2:$R$501,0)),""),"")</f>
        <v/>
      </c>
      <c r="M220" t="str">
        <f t="shared" si="15"/>
        <v/>
      </c>
    </row>
    <row r="221" spans="1:13" hidden="1" x14ac:dyDescent="0.3">
      <c r="A221" t="str">
        <f>IF(ISNUMBER($K221),INDEX(Сборка!$O$2:$O$501,$K221),"")</f>
        <v/>
      </c>
      <c r="B221" t="str">
        <f>IF(ISNUMBER($K221),INDEX(Сборка!$C$2:$C$501,$K221),"")</f>
        <v/>
      </c>
      <c r="C221" s="5" t="str">
        <f>IF($L221&lt;&gt;"",INDEX(Сборка!$S$2:$S$501,MATCH($L221,Сборка!$P$2:$P$501,0)),IF(ISNUMBER($K221),INDEX(Сборка!$D$2:$D$501,$K221)&amp;IF(INDEX(Сборка!$I$2:$I$501,$K221)&lt;&gt;""," — "&amp;INDEX(Сборка!$I$2:$I$501,$K221),""),""))</f>
        <v/>
      </c>
      <c r="D221" t="str">
        <f>IF(ISNUMBER($K221),INDEX(Сборка!$E$2:$E$501,$K221),"")</f>
        <v/>
      </c>
      <c r="E221" t="str">
        <f>IF(ISNUMBER($K221),INDEX(Сборка!$G$2:$G$501,$K221),"")</f>
        <v/>
      </c>
      <c r="F221" s="6" t="str">
        <f>IF(ISNUMBER($K221),INDEX(Сборка!$J$2:$J$501,$K221),"")</f>
        <v/>
      </c>
      <c r="G221" s="6" t="str">
        <f>IF(ISNUMBER($K221),INDEX(Сборка!$K$2:$K$501,$K221),"")</f>
        <v/>
      </c>
      <c r="H221" s="6" t="str">
        <f t="shared" si="12"/>
        <v/>
      </c>
      <c r="I221" s="6" t="str">
        <f t="shared" si="13"/>
        <v/>
      </c>
      <c r="J221" s="6" t="str">
        <f t="shared" si="14"/>
        <v/>
      </c>
      <c r="K221" t="str">
        <f>IFERROR(MATCH(201,Сборка!$R$2:$R$501,0),"")</f>
        <v/>
      </c>
      <c r="L221" t="str">
        <f>IFERROR(IF(INDEX(Сборка!$Q$2:$Q$501,MATCH(201+1,Сборка!$R$2:$R$501,0))=1,INDEX(Сборка!$P$2:$P$501,MATCH(201+1,Сборка!$R$2:$R$501,0)),""),"")</f>
        <v/>
      </c>
      <c r="M221" t="str">
        <f t="shared" si="15"/>
        <v/>
      </c>
    </row>
    <row r="222" spans="1:13" hidden="1" x14ac:dyDescent="0.3">
      <c r="A222" t="str">
        <f>IF(ISNUMBER($K222),INDEX(Сборка!$O$2:$O$501,$K222),"")</f>
        <v/>
      </c>
      <c r="B222" t="str">
        <f>IF(ISNUMBER($K222),INDEX(Сборка!$C$2:$C$501,$K222),"")</f>
        <v/>
      </c>
      <c r="C222" s="5" t="str">
        <f>IF($L222&lt;&gt;"",INDEX(Сборка!$S$2:$S$501,MATCH($L222,Сборка!$P$2:$P$501,0)),IF(ISNUMBER($K222),INDEX(Сборка!$D$2:$D$501,$K222)&amp;IF(INDEX(Сборка!$I$2:$I$501,$K222)&lt;&gt;""," — "&amp;INDEX(Сборка!$I$2:$I$501,$K222),""),""))</f>
        <v/>
      </c>
      <c r="D222" t="str">
        <f>IF(ISNUMBER($K222),INDEX(Сборка!$E$2:$E$501,$K222),"")</f>
        <v/>
      </c>
      <c r="E222" t="str">
        <f>IF(ISNUMBER($K222),INDEX(Сборка!$G$2:$G$501,$K222),"")</f>
        <v/>
      </c>
      <c r="F222" s="6" t="str">
        <f>IF(ISNUMBER($K222),INDEX(Сборка!$J$2:$J$501,$K222),"")</f>
        <v/>
      </c>
      <c r="G222" s="6" t="str">
        <f>IF(ISNUMBER($K222),INDEX(Сборка!$K$2:$K$501,$K222),"")</f>
        <v/>
      </c>
      <c r="H222" s="6" t="str">
        <f t="shared" si="12"/>
        <v/>
      </c>
      <c r="I222" s="6" t="str">
        <f t="shared" si="13"/>
        <v/>
      </c>
      <c r="J222" s="6" t="str">
        <f t="shared" si="14"/>
        <v/>
      </c>
      <c r="K222" t="str">
        <f>IFERROR(MATCH(202,Сборка!$R$2:$R$501,0),"")</f>
        <v/>
      </c>
      <c r="L222" t="str">
        <f>IFERROR(IF(INDEX(Сборка!$Q$2:$Q$501,MATCH(202+1,Сборка!$R$2:$R$501,0))=1,INDEX(Сборка!$P$2:$P$501,MATCH(202+1,Сборка!$R$2:$R$501,0)),""),"")</f>
        <v/>
      </c>
      <c r="M222" t="str">
        <f t="shared" si="15"/>
        <v/>
      </c>
    </row>
    <row r="223" spans="1:13" hidden="1" x14ac:dyDescent="0.3">
      <c r="A223" t="str">
        <f>IF(ISNUMBER($K223),INDEX(Сборка!$O$2:$O$501,$K223),"")</f>
        <v/>
      </c>
      <c r="B223" t="str">
        <f>IF(ISNUMBER($K223),INDEX(Сборка!$C$2:$C$501,$K223),"")</f>
        <v/>
      </c>
      <c r="C223" s="5" t="str">
        <f>IF($L223&lt;&gt;"",INDEX(Сборка!$S$2:$S$501,MATCH($L223,Сборка!$P$2:$P$501,0)),IF(ISNUMBER($K223),INDEX(Сборка!$D$2:$D$501,$K223)&amp;IF(INDEX(Сборка!$I$2:$I$501,$K223)&lt;&gt;""," — "&amp;INDEX(Сборка!$I$2:$I$501,$K223),""),""))</f>
        <v/>
      </c>
      <c r="D223" t="str">
        <f>IF(ISNUMBER($K223),INDEX(Сборка!$E$2:$E$501,$K223),"")</f>
        <v/>
      </c>
      <c r="E223" t="str">
        <f>IF(ISNUMBER($K223),INDEX(Сборка!$G$2:$G$501,$K223),"")</f>
        <v/>
      </c>
      <c r="F223" s="6" t="str">
        <f>IF(ISNUMBER($K223),INDEX(Сборка!$J$2:$J$501,$K223),"")</f>
        <v/>
      </c>
      <c r="G223" s="6" t="str">
        <f>IF(ISNUMBER($K223),INDEX(Сборка!$K$2:$K$501,$K223),"")</f>
        <v/>
      </c>
      <c r="H223" s="6" t="str">
        <f t="shared" si="12"/>
        <v/>
      </c>
      <c r="I223" s="6" t="str">
        <f t="shared" si="13"/>
        <v/>
      </c>
      <c r="J223" s="6" t="str">
        <f t="shared" si="14"/>
        <v/>
      </c>
      <c r="K223" t="str">
        <f>IFERROR(MATCH(203,Сборка!$R$2:$R$501,0),"")</f>
        <v/>
      </c>
      <c r="L223" t="str">
        <f>IFERROR(IF(INDEX(Сборка!$Q$2:$Q$501,MATCH(203+1,Сборка!$R$2:$R$501,0))=1,INDEX(Сборка!$P$2:$P$501,MATCH(203+1,Сборка!$R$2:$R$501,0)),""),"")</f>
        <v/>
      </c>
      <c r="M223" t="str">
        <f t="shared" si="15"/>
        <v/>
      </c>
    </row>
    <row r="224" spans="1:13" hidden="1" x14ac:dyDescent="0.3">
      <c r="A224" t="str">
        <f>IF(ISNUMBER($K224),INDEX(Сборка!$O$2:$O$501,$K224),"")</f>
        <v/>
      </c>
      <c r="B224" t="str">
        <f>IF(ISNUMBER($K224),INDEX(Сборка!$C$2:$C$501,$K224),"")</f>
        <v/>
      </c>
      <c r="C224" s="5" t="str">
        <f>IF($L224&lt;&gt;"",INDEX(Сборка!$S$2:$S$501,MATCH($L224,Сборка!$P$2:$P$501,0)),IF(ISNUMBER($K224),INDEX(Сборка!$D$2:$D$501,$K224)&amp;IF(INDEX(Сборка!$I$2:$I$501,$K224)&lt;&gt;""," — "&amp;INDEX(Сборка!$I$2:$I$501,$K224),""),""))</f>
        <v/>
      </c>
      <c r="D224" t="str">
        <f>IF(ISNUMBER($K224),INDEX(Сборка!$E$2:$E$501,$K224),"")</f>
        <v/>
      </c>
      <c r="E224" t="str">
        <f>IF(ISNUMBER($K224),INDEX(Сборка!$G$2:$G$501,$K224),"")</f>
        <v/>
      </c>
      <c r="F224" s="6" t="str">
        <f>IF(ISNUMBER($K224),INDEX(Сборка!$J$2:$J$501,$K224),"")</f>
        <v/>
      </c>
      <c r="G224" s="6" t="str">
        <f>IF(ISNUMBER($K224),INDEX(Сборка!$K$2:$K$501,$K224),"")</f>
        <v/>
      </c>
      <c r="H224" s="6" t="str">
        <f t="shared" si="12"/>
        <v/>
      </c>
      <c r="I224" s="6" t="str">
        <f t="shared" si="13"/>
        <v/>
      </c>
      <c r="J224" s="6" t="str">
        <f t="shared" si="14"/>
        <v/>
      </c>
      <c r="K224" t="str">
        <f>IFERROR(MATCH(204,Сборка!$R$2:$R$501,0),"")</f>
        <v/>
      </c>
      <c r="L224" t="str">
        <f>IFERROR(IF(INDEX(Сборка!$Q$2:$Q$501,MATCH(204+1,Сборка!$R$2:$R$501,0))=1,INDEX(Сборка!$P$2:$P$501,MATCH(204+1,Сборка!$R$2:$R$501,0)),""),"")</f>
        <v/>
      </c>
      <c r="M224" t="str">
        <f t="shared" si="15"/>
        <v/>
      </c>
    </row>
    <row r="225" spans="1:13" hidden="1" x14ac:dyDescent="0.3">
      <c r="A225" t="str">
        <f>IF(ISNUMBER($K225),INDEX(Сборка!$O$2:$O$501,$K225),"")</f>
        <v/>
      </c>
      <c r="B225" t="str">
        <f>IF(ISNUMBER($K225),INDEX(Сборка!$C$2:$C$501,$K225),"")</f>
        <v/>
      </c>
      <c r="C225" s="5" t="str">
        <f>IF($L225&lt;&gt;"",INDEX(Сборка!$S$2:$S$501,MATCH($L225,Сборка!$P$2:$P$501,0)),IF(ISNUMBER($K225),INDEX(Сборка!$D$2:$D$501,$K225)&amp;IF(INDEX(Сборка!$I$2:$I$501,$K225)&lt;&gt;""," — "&amp;INDEX(Сборка!$I$2:$I$501,$K225),""),""))</f>
        <v/>
      </c>
      <c r="D225" t="str">
        <f>IF(ISNUMBER($K225),INDEX(Сборка!$E$2:$E$501,$K225),"")</f>
        <v/>
      </c>
      <c r="E225" t="str">
        <f>IF(ISNUMBER($K225),INDEX(Сборка!$G$2:$G$501,$K225),"")</f>
        <v/>
      </c>
      <c r="F225" s="6" t="str">
        <f>IF(ISNUMBER($K225),INDEX(Сборка!$J$2:$J$501,$K225),"")</f>
        <v/>
      </c>
      <c r="G225" s="6" t="str">
        <f>IF(ISNUMBER($K225),INDEX(Сборка!$K$2:$K$501,$K225),"")</f>
        <v/>
      </c>
      <c r="H225" s="6" t="str">
        <f t="shared" si="12"/>
        <v/>
      </c>
      <c r="I225" s="6" t="str">
        <f t="shared" si="13"/>
        <v/>
      </c>
      <c r="J225" s="6" t="str">
        <f t="shared" si="14"/>
        <v/>
      </c>
      <c r="K225" t="str">
        <f>IFERROR(MATCH(205,Сборка!$R$2:$R$501,0),"")</f>
        <v/>
      </c>
      <c r="L225" t="str">
        <f>IFERROR(IF(INDEX(Сборка!$Q$2:$Q$501,MATCH(205+1,Сборка!$R$2:$R$501,0))=1,INDEX(Сборка!$P$2:$P$501,MATCH(205+1,Сборка!$R$2:$R$501,0)),""),"")</f>
        <v/>
      </c>
      <c r="M225" t="str">
        <f t="shared" si="15"/>
        <v/>
      </c>
    </row>
    <row r="226" spans="1:13" hidden="1" x14ac:dyDescent="0.3">
      <c r="A226" t="str">
        <f>IF(ISNUMBER($K226),INDEX(Сборка!$O$2:$O$501,$K226),"")</f>
        <v/>
      </c>
      <c r="B226" t="str">
        <f>IF(ISNUMBER($K226),INDEX(Сборка!$C$2:$C$501,$K226),"")</f>
        <v/>
      </c>
      <c r="C226" s="5" t="str">
        <f>IF($L226&lt;&gt;"",INDEX(Сборка!$S$2:$S$501,MATCH($L226,Сборка!$P$2:$P$501,0)),IF(ISNUMBER($K226),INDEX(Сборка!$D$2:$D$501,$K226)&amp;IF(INDEX(Сборка!$I$2:$I$501,$K226)&lt;&gt;""," — "&amp;INDEX(Сборка!$I$2:$I$501,$K226),""),""))</f>
        <v/>
      </c>
      <c r="D226" t="str">
        <f>IF(ISNUMBER($K226),INDEX(Сборка!$E$2:$E$501,$K226),"")</f>
        <v/>
      </c>
      <c r="E226" t="str">
        <f>IF(ISNUMBER($K226),INDEX(Сборка!$G$2:$G$501,$K226),"")</f>
        <v/>
      </c>
      <c r="F226" s="6" t="str">
        <f>IF(ISNUMBER($K226),INDEX(Сборка!$J$2:$J$501,$K226),"")</f>
        <v/>
      </c>
      <c r="G226" s="6" t="str">
        <f>IF(ISNUMBER($K226),INDEX(Сборка!$K$2:$K$501,$K226),"")</f>
        <v/>
      </c>
      <c r="H226" s="6" t="str">
        <f t="shared" si="12"/>
        <v/>
      </c>
      <c r="I226" s="6" t="str">
        <f t="shared" si="13"/>
        <v/>
      </c>
      <c r="J226" s="6" t="str">
        <f t="shared" si="14"/>
        <v/>
      </c>
      <c r="K226" t="str">
        <f>IFERROR(MATCH(206,Сборка!$R$2:$R$501,0),"")</f>
        <v/>
      </c>
      <c r="L226" t="str">
        <f>IFERROR(IF(INDEX(Сборка!$Q$2:$Q$501,MATCH(206+1,Сборка!$R$2:$R$501,0))=1,INDEX(Сборка!$P$2:$P$501,MATCH(206+1,Сборка!$R$2:$R$501,0)),""),"")</f>
        <v/>
      </c>
      <c r="M226" t="str">
        <f t="shared" si="15"/>
        <v/>
      </c>
    </row>
    <row r="227" spans="1:13" hidden="1" x14ac:dyDescent="0.3">
      <c r="A227" t="str">
        <f>IF(ISNUMBER($K227),INDEX(Сборка!$O$2:$O$501,$K227),"")</f>
        <v/>
      </c>
      <c r="B227" t="str">
        <f>IF(ISNUMBER($K227),INDEX(Сборка!$C$2:$C$501,$K227),"")</f>
        <v/>
      </c>
      <c r="C227" s="5" t="str">
        <f>IF($L227&lt;&gt;"",INDEX(Сборка!$S$2:$S$501,MATCH($L227,Сборка!$P$2:$P$501,0)),IF(ISNUMBER($K227),INDEX(Сборка!$D$2:$D$501,$K227)&amp;IF(INDEX(Сборка!$I$2:$I$501,$K227)&lt;&gt;""," — "&amp;INDEX(Сборка!$I$2:$I$501,$K227),""),""))</f>
        <v/>
      </c>
      <c r="D227" t="str">
        <f>IF(ISNUMBER($K227),INDEX(Сборка!$E$2:$E$501,$K227),"")</f>
        <v/>
      </c>
      <c r="E227" t="str">
        <f>IF(ISNUMBER($K227),INDEX(Сборка!$G$2:$G$501,$K227),"")</f>
        <v/>
      </c>
      <c r="F227" s="6" t="str">
        <f>IF(ISNUMBER($K227),INDEX(Сборка!$J$2:$J$501,$K227),"")</f>
        <v/>
      </c>
      <c r="G227" s="6" t="str">
        <f>IF(ISNUMBER($K227),INDEX(Сборка!$K$2:$K$501,$K227),"")</f>
        <v/>
      </c>
      <c r="H227" s="6" t="str">
        <f t="shared" si="12"/>
        <v/>
      </c>
      <c r="I227" s="6" t="str">
        <f t="shared" si="13"/>
        <v/>
      </c>
      <c r="J227" s="6" t="str">
        <f t="shared" si="14"/>
        <v/>
      </c>
      <c r="K227" t="str">
        <f>IFERROR(MATCH(207,Сборка!$R$2:$R$501,0),"")</f>
        <v/>
      </c>
      <c r="L227" t="str">
        <f>IFERROR(IF(INDEX(Сборка!$Q$2:$Q$501,MATCH(207+1,Сборка!$R$2:$R$501,0))=1,INDEX(Сборка!$P$2:$P$501,MATCH(207+1,Сборка!$R$2:$R$501,0)),""),"")</f>
        <v/>
      </c>
      <c r="M227" t="str">
        <f t="shared" si="15"/>
        <v/>
      </c>
    </row>
    <row r="228" spans="1:13" hidden="1" x14ac:dyDescent="0.3">
      <c r="A228" t="str">
        <f>IF(ISNUMBER($K228),INDEX(Сборка!$O$2:$O$501,$K228),"")</f>
        <v/>
      </c>
      <c r="B228" t="str">
        <f>IF(ISNUMBER($K228),INDEX(Сборка!$C$2:$C$501,$K228),"")</f>
        <v/>
      </c>
      <c r="C228" s="5" t="str">
        <f>IF($L228&lt;&gt;"",INDEX(Сборка!$S$2:$S$501,MATCH($L228,Сборка!$P$2:$P$501,0)),IF(ISNUMBER($K228),INDEX(Сборка!$D$2:$D$501,$K228)&amp;IF(INDEX(Сборка!$I$2:$I$501,$K228)&lt;&gt;""," — "&amp;INDEX(Сборка!$I$2:$I$501,$K228),""),""))</f>
        <v/>
      </c>
      <c r="D228" t="str">
        <f>IF(ISNUMBER($K228),INDEX(Сборка!$E$2:$E$501,$K228),"")</f>
        <v/>
      </c>
      <c r="E228" t="str">
        <f>IF(ISNUMBER($K228),INDEX(Сборка!$G$2:$G$501,$K228),"")</f>
        <v/>
      </c>
      <c r="F228" s="6" t="str">
        <f>IF(ISNUMBER($K228),INDEX(Сборка!$J$2:$J$501,$K228),"")</f>
        <v/>
      </c>
      <c r="G228" s="6" t="str">
        <f>IF(ISNUMBER($K228),INDEX(Сборка!$K$2:$K$501,$K228),"")</f>
        <v/>
      </c>
      <c r="H228" s="6" t="str">
        <f t="shared" si="12"/>
        <v/>
      </c>
      <c r="I228" s="6" t="str">
        <f t="shared" si="13"/>
        <v/>
      </c>
      <c r="J228" s="6" t="str">
        <f t="shared" si="14"/>
        <v/>
      </c>
      <c r="K228" t="str">
        <f>IFERROR(MATCH(208,Сборка!$R$2:$R$501,0),"")</f>
        <v/>
      </c>
      <c r="L228" t="str">
        <f>IFERROR(IF(INDEX(Сборка!$Q$2:$Q$501,MATCH(208+1,Сборка!$R$2:$R$501,0))=1,INDEX(Сборка!$P$2:$P$501,MATCH(208+1,Сборка!$R$2:$R$501,0)),""),"")</f>
        <v/>
      </c>
      <c r="M228" t="str">
        <f t="shared" si="15"/>
        <v/>
      </c>
    </row>
    <row r="229" spans="1:13" hidden="1" x14ac:dyDescent="0.3">
      <c r="A229" t="str">
        <f>IF(ISNUMBER($K229),INDEX(Сборка!$O$2:$O$501,$K229),"")</f>
        <v/>
      </c>
      <c r="B229" t="str">
        <f>IF(ISNUMBER($K229),INDEX(Сборка!$C$2:$C$501,$K229),"")</f>
        <v/>
      </c>
      <c r="C229" s="5" t="str">
        <f>IF($L229&lt;&gt;"",INDEX(Сборка!$S$2:$S$501,MATCH($L229,Сборка!$P$2:$P$501,0)),IF(ISNUMBER($K229),INDEX(Сборка!$D$2:$D$501,$K229)&amp;IF(INDEX(Сборка!$I$2:$I$501,$K229)&lt;&gt;""," — "&amp;INDEX(Сборка!$I$2:$I$501,$K229),""),""))</f>
        <v/>
      </c>
      <c r="D229" t="str">
        <f>IF(ISNUMBER($K229),INDEX(Сборка!$E$2:$E$501,$K229),"")</f>
        <v/>
      </c>
      <c r="E229" t="str">
        <f>IF(ISNUMBER($K229),INDEX(Сборка!$G$2:$G$501,$K229),"")</f>
        <v/>
      </c>
      <c r="F229" s="6" t="str">
        <f>IF(ISNUMBER($K229),INDEX(Сборка!$J$2:$J$501,$K229),"")</f>
        <v/>
      </c>
      <c r="G229" s="6" t="str">
        <f>IF(ISNUMBER($K229),INDEX(Сборка!$K$2:$K$501,$K229),"")</f>
        <v/>
      </c>
      <c r="H229" s="6" t="str">
        <f t="shared" si="12"/>
        <v/>
      </c>
      <c r="I229" s="6" t="str">
        <f t="shared" si="13"/>
        <v/>
      </c>
      <c r="J229" s="6" t="str">
        <f t="shared" si="14"/>
        <v/>
      </c>
      <c r="K229" t="str">
        <f>IFERROR(MATCH(209,Сборка!$R$2:$R$501,0),"")</f>
        <v/>
      </c>
      <c r="L229" t="str">
        <f>IFERROR(IF(INDEX(Сборка!$Q$2:$Q$501,MATCH(209+1,Сборка!$R$2:$R$501,0))=1,INDEX(Сборка!$P$2:$P$501,MATCH(209+1,Сборка!$R$2:$R$501,0)),""),"")</f>
        <v/>
      </c>
      <c r="M229" t="str">
        <f t="shared" si="15"/>
        <v/>
      </c>
    </row>
    <row r="230" spans="1:13" hidden="1" x14ac:dyDescent="0.3">
      <c r="A230" t="str">
        <f>IF(ISNUMBER($K230),INDEX(Сборка!$O$2:$O$501,$K230),"")</f>
        <v/>
      </c>
      <c r="B230" t="str">
        <f>IF(ISNUMBER($K230),INDEX(Сборка!$C$2:$C$501,$K230),"")</f>
        <v/>
      </c>
      <c r="C230" s="5" t="str">
        <f>IF($L230&lt;&gt;"",INDEX(Сборка!$S$2:$S$501,MATCH($L230,Сборка!$P$2:$P$501,0)),IF(ISNUMBER($K230),INDEX(Сборка!$D$2:$D$501,$K230)&amp;IF(INDEX(Сборка!$I$2:$I$501,$K230)&lt;&gt;""," — "&amp;INDEX(Сборка!$I$2:$I$501,$K230),""),""))</f>
        <v/>
      </c>
      <c r="D230" t="str">
        <f>IF(ISNUMBER($K230),INDEX(Сборка!$E$2:$E$501,$K230),"")</f>
        <v/>
      </c>
      <c r="E230" t="str">
        <f>IF(ISNUMBER($K230),INDEX(Сборка!$G$2:$G$501,$K230),"")</f>
        <v/>
      </c>
      <c r="F230" s="6" t="str">
        <f>IF(ISNUMBER($K230),INDEX(Сборка!$J$2:$J$501,$K230),"")</f>
        <v/>
      </c>
      <c r="G230" s="6" t="str">
        <f>IF(ISNUMBER($K230),INDEX(Сборка!$K$2:$K$501,$K230),"")</f>
        <v/>
      </c>
      <c r="H230" s="6" t="str">
        <f t="shared" si="12"/>
        <v/>
      </c>
      <c r="I230" s="6" t="str">
        <f t="shared" si="13"/>
        <v/>
      </c>
      <c r="J230" s="6" t="str">
        <f t="shared" si="14"/>
        <v/>
      </c>
      <c r="K230" t="str">
        <f>IFERROR(MATCH(210,Сборка!$R$2:$R$501,0),"")</f>
        <v/>
      </c>
      <c r="L230" t="str">
        <f>IFERROR(IF(INDEX(Сборка!$Q$2:$Q$501,MATCH(210+1,Сборка!$R$2:$R$501,0))=1,INDEX(Сборка!$P$2:$P$501,MATCH(210+1,Сборка!$R$2:$R$501,0)),""),"")</f>
        <v/>
      </c>
      <c r="M230" t="str">
        <f t="shared" si="15"/>
        <v/>
      </c>
    </row>
    <row r="231" spans="1:13" hidden="1" x14ac:dyDescent="0.3">
      <c r="A231" t="str">
        <f>IF(ISNUMBER($K231),INDEX(Сборка!$O$2:$O$501,$K231),"")</f>
        <v/>
      </c>
      <c r="B231" t="str">
        <f>IF(ISNUMBER($K231),INDEX(Сборка!$C$2:$C$501,$K231),"")</f>
        <v/>
      </c>
      <c r="C231" s="5" t="str">
        <f>IF($L231&lt;&gt;"",INDEX(Сборка!$S$2:$S$501,MATCH($L231,Сборка!$P$2:$P$501,0)),IF(ISNUMBER($K231),INDEX(Сборка!$D$2:$D$501,$K231)&amp;IF(INDEX(Сборка!$I$2:$I$501,$K231)&lt;&gt;""," — "&amp;INDEX(Сборка!$I$2:$I$501,$K231),""),""))</f>
        <v/>
      </c>
      <c r="D231" t="str">
        <f>IF(ISNUMBER($K231),INDEX(Сборка!$E$2:$E$501,$K231),"")</f>
        <v/>
      </c>
      <c r="E231" t="str">
        <f>IF(ISNUMBER($K231),INDEX(Сборка!$G$2:$G$501,$K231),"")</f>
        <v/>
      </c>
      <c r="F231" s="6" t="str">
        <f>IF(ISNUMBER($K231),INDEX(Сборка!$J$2:$J$501,$K231),"")</f>
        <v/>
      </c>
      <c r="G231" s="6" t="str">
        <f>IF(ISNUMBER($K231),INDEX(Сборка!$K$2:$K$501,$K231),"")</f>
        <v/>
      </c>
      <c r="H231" s="6" t="str">
        <f t="shared" si="12"/>
        <v/>
      </c>
      <c r="I231" s="6" t="str">
        <f t="shared" si="13"/>
        <v/>
      </c>
      <c r="J231" s="6" t="str">
        <f t="shared" si="14"/>
        <v/>
      </c>
      <c r="K231" t="str">
        <f>IFERROR(MATCH(211,Сборка!$R$2:$R$501,0),"")</f>
        <v/>
      </c>
      <c r="L231" t="str">
        <f>IFERROR(IF(INDEX(Сборка!$Q$2:$Q$501,MATCH(211+1,Сборка!$R$2:$R$501,0))=1,INDEX(Сборка!$P$2:$P$501,MATCH(211+1,Сборка!$R$2:$R$501,0)),""),"")</f>
        <v/>
      </c>
      <c r="M231" t="str">
        <f t="shared" si="15"/>
        <v/>
      </c>
    </row>
    <row r="232" spans="1:13" hidden="1" x14ac:dyDescent="0.3">
      <c r="A232" t="str">
        <f>IF(ISNUMBER($K232),INDEX(Сборка!$O$2:$O$501,$K232),"")</f>
        <v/>
      </c>
      <c r="B232" t="str">
        <f>IF(ISNUMBER($K232),INDEX(Сборка!$C$2:$C$501,$K232),"")</f>
        <v/>
      </c>
      <c r="C232" s="5" t="str">
        <f>IF($L232&lt;&gt;"",INDEX(Сборка!$S$2:$S$501,MATCH($L232,Сборка!$P$2:$P$501,0)),IF(ISNUMBER($K232),INDEX(Сборка!$D$2:$D$501,$K232)&amp;IF(INDEX(Сборка!$I$2:$I$501,$K232)&lt;&gt;""," — "&amp;INDEX(Сборка!$I$2:$I$501,$K232),""),""))</f>
        <v/>
      </c>
      <c r="D232" t="str">
        <f>IF(ISNUMBER($K232),INDEX(Сборка!$E$2:$E$501,$K232),"")</f>
        <v/>
      </c>
      <c r="E232" t="str">
        <f>IF(ISNUMBER($K232),INDEX(Сборка!$G$2:$G$501,$K232),"")</f>
        <v/>
      </c>
      <c r="F232" s="6" t="str">
        <f>IF(ISNUMBER($K232),INDEX(Сборка!$J$2:$J$501,$K232),"")</f>
        <v/>
      </c>
      <c r="G232" s="6" t="str">
        <f>IF(ISNUMBER($K232),INDEX(Сборка!$K$2:$K$501,$K232),"")</f>
        <v/>
      </c>
      <c r="H232" s="6" t="str">
        <f t="shared" si="12"/>
        <v/>
      </c>
      <c r="I232" s="6" t="str">
        <f t="shared" si="13"/>
        <v/>
      </c>
      <c r="J232" s="6" t="str">
        <f t="shared" si="14"/>
        <v/>
      </c>
      <c r="K232" t="str">
        <f>IFERROR(MATCH(212,Сборка!$R$2:$R$501,0),"")</f>
        <v/>
      </c>
      <c r="L232" t="str">
        <f>IFERROR(IF(INDEX(Сборка!$Q$2:$Q$501,MATCH(212+1,Сборка!$R$2:$R$501,0))=1,INDEX(Сборка!$P$2:$P$501,MATCH(212+1,Сборка!$R$2:$R$501,0)),""),"")</f>
        <v/>
      </c>
      <c r="M232" t="str">
        <f t="shared" si="15"/>
        <v/>
      </c>
    </row>
    <row r="233" spans="1:13" hidden="1" x14ac:dyDescent="0.3">
      <c r="A233" t="str">
        <f>IF(ISNUMBER($K233),INDEX(Сборка!$O$2:$O$501,$K233),"")</f>
        <v/>
      </c>
      <c r="B233" t="str">
        <f>IF(ISNUMBER($K233),INDEX(Сборка!$C$2:$C$501,$K233),"")</f>
        <v/>
      </c>
      <c r="C233" s="5" t="str">
        <f>IF($L233&lt;&gt;"",INDEX(Сборка!$S$2:$S$501,MATCH($L233,Сборка!$P$2:$P$501,0)),IF(ISNUMBER($K233),INDEX(Сборка!$D$2:$D$501,$K233)&amp;IF(INDEX(Сборка!$I$2:$I$501,$K233)&lt;&gt;""," — "&amp;INDEX(Сборка!$I$2:$I$501,$K233),""),""))</f>
        <v/>
      </c>
      <c r="D233" t="str">
        <f>IF(ISNUMBER($K233),INDEX(Сборка!$E$2:$E$501,$K233),"")</f>
        <v/>
      </c>
      <c r="E233" t="str">
        <f>IF(ISNUMBER($K233),INDEX(Сборка!$G$2:$G$501,$K233),"")</f>
        <v/>
      </c>
      <c r="F233" s="6" t="str">
        <f>IF(ISNUMBER($K233),INDEX(Сборка!$J$2:$J$501,$K233),"")</f>
        <v/>
      </c>
      <c r="G233" s="6" t="str">
        <f>IF(ISNUMBER($K233),INDEX(Сборка!$K$2:$K$501,$K233),"")</f>
        <v/>
      </c>
      <c r="H233" s="6" t="str">
        <f t="shared" si="12"/>
        <v/>
      </c>
      <c r="I233" s="6" t="str">
        <f t="shared" si="13"/>
        <v/>
      </c>
      <c r="J233" s="6" t="str">
        <f t="shared" si="14"/>
        <v/>
      </c>
      <c r="K233" t="str">
        <f>IFERROR(MATCH(213,Сборка!$R$2:$R$501,0),"")</f>
        <v/>
      </c>
      <c r="L233" t="str">
        <f>IFERROR(IF(INDEX(Сборка!$Q$2:$Q$501,MATCH(213+1,Сборка!$R$2:$R$501,0))=1,INDEX(Сборка!$P$2:$P$501,MATCH(213+1,Сборка!$R$2:$R$501,0)),""),"")</f>
        <v/>
      </c>
      <c r="M233" t="str">
        <f t="shared" si="15"/>
        <v/>
      </c>
    </row>
    <row r="234" spans="1:13" hidden="1" x14ac:dyDescent="0.3">
      <c r="A234" t="str">
        <f>IF(ISNUMBER($K234),INDEX(Сборка!$O$2:$O$501,$K234),"")</f>
        <v/>
      </c>
      <c r="B234" t="str">
        <f>IF(ISNUMBER($K234),INDEX(Сборка!$C$2:$C$501,$K234),"")</f>
        <v/>
      </c>
      <c r="C234" s="5" t="str">
        <f>IF($L234&lt;&gt;"",INDEX(Сборка!$S$2:$S$501,MATCH($L234,Сборка!$P$2:$P$501,0)),IF(ISNUMBER($K234),INDEX(Сборка!$D$2:$D$501,$K234)&amp;IF(INDEX(Сборка!$I$2:$I$501,$K234)&lt;&gt;""," — "&amp;INDEX(Сборка!$I$2:$I$501,$K234),""),""))</f>
        <v/>
      </c>
      <c r="D234" t="str">
        <f>IF(ISNUMBER($K234),INDEX(Сборка!$E$2:$E$501,$K234),"")</f>
        <v/>
      </c>
      <c r="E234" t="str">
        <f>IF(ISNUMBER($K234),INDEX(Сборка!$G$2:$G$501,$K234),"")</f>
        <v/>
      </c>
      <c r="F234" s="6" t="str">
        <f>IF(ISNUMBER($K234),INDEX(Сборка!$J$2:$J$501,$K234),"")</f>
        <v/>
      </c>
      <c r="G234" s="6" t="str">
        <f>IF(ISNUMBER($K234),INDEX(Сборка!$K$2:$K$501,$K234),"")</f>
        <v/>
      </c>
      <c r="H234" s="6" t="str">
        <f t="shared" si="12"/>
        <v/>
      </c>
      <c r="I234" s="6" t="str">
        <f t="shared" si="13"/>
        <v/>
      </c>
      <c r="J234" s="6" t="str">
        <f t="shared" si="14"/>
        <v/>
      </c>
      <c r="K234" t="str">
        <f>IFERROR(MATCH(214,Сборка!$R$2:$R$501,0),"")</f>
        <v/>
      </c>
      <c r="L234" t="str">
        <f>IFERROR(IF(INDEX(Сборка!$Q$2:$Q$501,MATCH(214+1,Сборка!$R$2:$R$501,0))=1,INDEX(Сборка!$P$2:$P$501,MATCH(214+1,Сборка!$R$2:$R$501,0)),""),"")</f>
        <v/>
      </c>
      <c r="M234" t="str">
        <f t="shared" si="15"/>
        <v/>
      </c>
    </row>
    <row r="235" spans="1:13" hidden="1" x14ac:dyDescent="0.3">
      <c r="A235" t="str">
        <f>IF(ISNUMBER($K235),INDEX(Сборка!$O$2:$O$501,$K235),"")</f>
        <v/>
      </c>
      <c r="B235" t="str">
        <f>IF(ISNUMBER($K235),INDEX(Сборка!$C$2:$C$501,$K235),"")</f>
        <v/>
      </c>
      <c r="C235" s="5" t="str">
        <f>IF($L235&lt;&gt;"",INDEX(Сборка!$S$2:$S$501,MATCH($L235,Сборка!$P$2:$P$501,0)),IF(ISNUMBER($K235),INDEX(Сборка!$D$2:$D$501,$K235)&amp;IF(INDEX(Сборка!$I$2:$I$501,$K235)&lt;&gt;""," — "&amp;INDEX(Сборка!$I$2:$I$501,$K235),""),""))</f>
        <v/>
      </c>
      <c r="D235" t="str">
        <f>IF(ISNUMBER($K235),INDEX(Сборка!$E$2:$E$501,$K235),"")</f>
        <v/>
      </c>
      <c r="E235" t="str">
        <f>IF(ISNUMBER($K235),INDEX(Сборка!$G$2:$G$501,$K235),"")</f>
        <v/>
      </c>
      <c r="F235" s="6" t="str">
        <f>IF(ISNUMBER($K235),INDEX(Сборка!$J$2:$J$501,$K235),"")</f>
        <v/>
      </c>
      <c r="G235" s="6" t="str">
        <f>IF(ISNUMBER($K235),INDEX(Сборка!$K$2:$K$501,$K235),"")</f>
        <v/>
      </c>
      <c r="H235" s="6" t="str">
        <f t="shared" si="12"/>
        <v/>
      </c>
      <c r="I235" s="6" t="str">
        <f t="shared" si="13"/>
        <v/>
      </c>
      <c r="J235" s="6" t="str">
        <f t="shared" si="14"/>
        <v/>
      </c>
      <c r="K235" t="str">
        <f>IFERROR(MATCH(215,Сборка!$R$2:$R$501,0),"")</f>
        <v/>
      </c>
      <c r="L235" t="str">
        <f>IFERROR(IF(INDEX(Сборка!$Q$2:$Q$501,MATCH(215+1,Сборка!$R$2:$R$501,0))=1,INDEX(Сборка!$P$2:$P$501,MATCH(215+1,Сборка!$R$2:$R$501,0)),""),"")</f>
        <v/>
      </c>
      <c r="M235" t="str">
        <f t="shared" si="15"/>
        <v/>
      </c>
    </row>
    <row r="236" spans="1:13" hidden="1" x14ac:dyDescent="0.3">
      <c r="A236" t="str">
        <f>IF(ISNUMBER($K236),INDEX(Сборка!$O$2:$O$501,$K236),"")</f>
        <v/>
      </c>
      <c r="B236" t="str">
        <f>IF(ISNUMBER($K236),INDEX(Сборка!$C$2:$C$501,$K236),"")</f>
        <v/>
      </c>
      <c r="C236" s="5" t="str">
        <f>IF($L236&lt;&gt;"",INDEX(Сборка!$S$2:$S$501,MATCH($L236,Сборка!$P$2:$P$501,0)),IF(ISNUMBER($K236),INDEX(Сборка!$D$2:$D$501,$K236)&amp;IF(INDEX(Сборка!$I$2:$I$501,$K236)&lt;&gt;""," — "&amp;INDEX(Сборка!$I$2:$I$501,$K236),""),""))</f>
        <v/>
      </c>
      <c r="D236" t="str">
        <f>IF(ISNUMBER($K236),INDEX(Сборка!$E$2:$E$501,$K236),"")</f>
        <v/>
      </c>
      <c r="E236" t="str">
        <f>IF(ISNUMBER($K236),INDEX(Сборка!$G$2:$G$501,$K236),"")</f>
        <v/>
      </c>
      <c r="F236" s="6" t="str">
        <f>IF(ISNUMBER($K236),INDEX(Сборка!$J$2:$J$501,$K236),"")</f>
        <v/>
      </c>
      <c r="G236" s="6" t="str">
        <f>IF(ISNUMBER($K236),INDEX(Сборка!$K$2:$K$501,$K236),"")</f>
        <v/>
      </c>
      <c r="H236" s="6" t="str">
        <f t="shared" si="12"/>
        <v/>
      </c>
      <c r="I236" s="6" t="str">
        <f t="shared" si="13"/>
        <v/>
      </c>
      <c r="J236" s="6" t="str">
        <f t="shared" si="14"/>
        <v/>
      </c>
      <c r="K236" t="str">
        <f>IFERROR(MATCH(216,Сборка!$R$2:$R$501,0),"")</f>
        <v/>
      </c>
      <c r="L236" t="str">
        <f>IFERROR(IF(INDEX(Сборка!$Q$2:$Q$501,MATCH(216+1,Сборка!$R$2:$R$501,0))=1,INDEX(Сборка!$P$2:$P$501,MATCH(216+1,Сборка!$R$2:$R$501,0)),""),"")</f>
        <v/>
      </c>
      <c r="M236" t="str">
        <f t="shared" si="15"/>
        <v/>
      </c>
    </row>
    <row r="237" spans="1:13" hidden="1" x14ac:dyDescent="0.3">
      <c r="A237" t="str">
        <f>IF(ISNUMBER($K237),INDEX(Сборка!$O$2:$O$501,$K237),"")</f>
        <v/>
      </c>
      <c r="B237" t="str">
        <f>IF(ISNUMBER($K237),INDEX(Сборка!$C$2:$C$501,$K237),"")</f>
        <v/>
      </c>
      <c r="C237" s="5" t="str">
        <f>IF($L237&lt;&gt;"",INDEX(Сборка!$S$2:$S$501,MATCH($L237,Сборка!$P$2:$P$501,0)),IF(ISNUMBER($K237),INDEX(Сборка!$D$2:$D$501,$K237)&amp;IF(INDEX(Сборка!$I$2:$I$501,$K237)&lt;&gt;""," — "&amp;INDEX(Сборка!$I$2:$I$501,$K237),""),""))</f>
        <v/>
      </c>
      <c r="D237" t="str">
        <f>IF(ISNUMBER($K237),INDEX(Сборка!$E$2:$E$501,$K237),"")</f>
        <v/>
      </c>
      <c r="E237" t="str">
        <f>IF(ISNUMBER($K237),INDEX(Сборка!$G$2:$G$501,$K237),"")</f>
        <v/>
      </c>
      <c r="F237" s="6" t="str">
        <f>IF(ISNUMBER($K237),INDEX(Сборка!$J$2:$J$501,$K237),"")</f>
        <v/>
      </c>
      <c r="G237" s="6" t="str">
        <f>IF(ISNUMBER($K237),INDEX(Сборка!$K$2:$K$501,$K237),"")</f>
        <v/>
      </c>
      <c r="H237" s="6" t="str">
        <f t="shared" si="12"/>
        <v/>
      </c>
      <c r="I237" s="6" t="str">
        <f t="shared" si="13"/>
        <v/>
      </c>
      <c r="J237" s="6" t="str">
        <f t="shared" si="14"/>
        <v/>
      </c>
      <c r="K237" t="str">
        <f>IFERROR(MATCH(217,Сборка!$R$2:$R$501,0),"")</f>
        <v/>
      </c>
      <c r="L237" t="str">
        <f>IFERROR(IF(INDEX(Сборка!$Q$2:$Q$501,MATCH(217+1,Сборка!$R$2:$R$501,0))=1,INDEX(Сборка!$P$2:$P$501,MATCH(217+1,Сборка!$R$2:$R$501,0)),""),"")</f>
        <v/>
      </c>
      <c r="M237" t="str">
        <f t="shared" si="15"/>
        <v/>
      </c>
    </row>
    <row r="238" spans="1:13" hidden="1" x14ac:dyDescent="0.3">
      <c r="A238" t="str">
        <f>IF(ISNUMBER($K238),INDEX(Сборка!$O$2:$O$501,$K238),"")</f>
        <v/>
      </c>
      <c r="B238" t="str">
        <f>IF(ISNUMBER($K238),INDEX(Сборка!$C$2:$C$501,$K238),"")</f>
        <v/>
      </c>
      <c r="C238" s="5" t="str">
        <f>IF($L238&lt;&gt;"",INDEX(Сборка!$S$2:$S$501,MATCH($L238,Сборка!$P$2:$P$501,0)),IF(ISNUMBER($K238),INDEX(Сборка!$D$2:$D$501,$K238)&amp;IF(INDEX(Сборка!$I$2:$I$501,$K238)&lt;&gt;""," — "&amp;INDEX(Сборка!$I$2:$I$501,$K238),""),""))</f>
        <v/>
      </c>
      <c r="D238" t="str">
        <f>IF(ISNUMBER($K238),INDEX(Сборка!$E$2:$E$501,$K238),"")</f>
        <v/>
      </c>
      <c r="E238" t="str">
        <f>IF(ISNUMBER($K238),INDEX(Сборка!$G$2:$G$501,$K238),"")</f>
        <v/>
      </c>
      <c r="F238" s="6" t="str">
        <f>IF(ISNUMBER($K238),INDEX(Сборка!$J$2:$J$501,$K238),"")</f>
        <v/>
      </c>
      <c r="G238" s="6" t="str">
        <f>IF(ISNUMBER($K238),INDEX(Сборка!$K$2:$K$501,$K238),"")</f>
        <v/>
      </c>
      <c r="H238" s="6" t="str">
        <f t="shared" si="12"/>
        <v/>
      </c>
      <c r="I238" s="6" t="str">
        <f t="shared" si="13"/>
        <v/>
      </c>
      <c r="J238" s="6" t="str">
        <f t="shared" si="14"/>
        <v/>
      </c>
      <c r="K238" t="str">
        <f>IFERROR(MATCH(218,Сборка!$R$2:$R$501,0),"")</f>
        <v/>
      </c>
      <c r="L238" t="str">
        <f>IFERROR(IF(INDEX(Сборка!$Q$2:$Q$501,MATCH(218+1,Сборка!$R$2:$R$501,0))=1,INDEX(Сборка!$P$2:$P$501,MATCH(218+1,Сборка!$R$2:$R$501,0)),""),"")</f>
        <v/>
      </c>
      <c r="M238" t="str">
        <f t="shared" si="15"/>
        <v/>
      </c>
    </row>
    <row r="239" spans="1:13" hidden="1" x14ac:dyDescent="0.3">
      <c r="A239" t="str">
        <f>IF(ISNUMBER($K239),INDEX(Сборка!$O$2:$O$501,$K239),"")</f>
        <v/>
      </c>
      <c r="B239" t="str">
        <f>IF(ISNUMBER($K239),INDEX(Сборка!$C$2:$C$501,$K239),"")</f>
        <v/>
      </c>
      <c r="C239" s="5" t="str">
        <f>IF($L239&lt;&gt;"",INDEX(Сборка!$S$2:$S$501,MATCH($L239,Сборка!$P$2:$P$501,0)),IF(ISNUMBER($K239),INDEX(Сборка!$D$2:$D$501,$K239)&amp;IF(INDEX(Сборка!$I$2:$I$501,$K239)&lt;&gt;""," — "&amp;INDEX(Сборка!$I$2:$I$501,$K239),""),""))</f>
        <v/>
      </c>
      <c r="D239" t="str">
        <f>IF(ISNUMBER($K239),INDEX(Сборка!$E$2:$E$501,$K239),"")</f>
        <v/>
      </c>
      <c r="E239" t="str">
        <f>IF(ISNUMBER($K239),INDEX(Сборка!$G$2:$G$501,$K239),"")</f>
        <v/>
      </c>
      <c r="F239" s="6" t="str">
        <f>IF(ISNUMBER($K239),INDEX(Сборка!$J$2:$J$501,$K239),"")</f>
        <v/>
      </c>
      <c r="G239" s="6" t="str">
        <f>IF(ISNUMBER($K239),INDEX(Сборка!$K$2:$K$501,$K239),"")</f>
        <v/>
      </c>
      <c r="H239" s="6" t="str">
        <f t="shared" si="12"/>
        <v/>
      </c>
      <c r="I239" s="6" t="str">
        <f t="shared" si="13"/>
        <v/>
      </c>
      <c r="J239" s="6" t="str">
        <f t="shared" si="14"/>
        <v/>
      </c>
      <c r="K239" t="str">
        <f>IFERROR(MATCH(219,Сборка!$R$2:$R$501,0),"")</f>
        <v/>
      </c>
      <c r="L239" t="str">
        <f>IFERROR(IF(INDEX(Сборка!$Q$2:$Q$501,MATCH(219+1,Сборка!$R$2:$R$501,0))=1,INDEX(Сборка!$P$2:$P$501,MATCH(219+1,Сборка!$R$2:$R$501,0)),""),"")</f>
        <v/>
      </c>
      <c r="M239" t="str">
        <f t="shared" si="15"/>
        <v/>
      </c>
    </row>
    <row r="240" spans="1:13" hidden="1" x14ac:dyDescent="0.3">
      <c r="A240" t="str">
        <f>IF(ISNUMBER($K240),INDEX(Сборка!$O$2:$O$501,$K240),"")</f>
        <v/>
      </c>
      <c r="B240" t="str">
        <f>IF(ISNUMBER($K240),INDEX(Сборка!$C$2:$C$501,$K240),"")</f>
        <v/>
      </c>
      <c r="C240" s="5" t="str">
        <f>IF($L240&lt;&gt;"",INDEX(Сборка!$S$2:$S$501,MATCH($L240,Сборка!$P$2:$P$501,0)),IF(ISNUMBER($K240),INDEX(Сборка!$D$2:$D$501,$K240)&amp;IF(INDEX(Сборка!$I$2:$I$501,$K240)&lt;&gt;""," — "&amp;INDEX(Сборка!$I$2:$I$501,$K240),""),""))</f>
        <v/>
      </c>
      <c r="D240" t="str">
        <f>IF(ISNUMBER($K240),INDEX(Сборка!$E$2:$E$501,$K240),"")</f>
        <v/>
      </c>
      <c r="E240" t="str">
        <f>IF(ISNUMBER($K240),INDEX(Сборка!$G$2:$G$501,$K240),"")</f>
        <v/>
      </c>
      <c r="F240" s="6" t="str">
        <f>IF(ISNUMBER($K240),INDEX(Сборка!$J$2:$J$501,$K240),"")</f>
        <v/>
      </c>
      <c r="G240" s="6" t="str">
        <f>IF(ISNUMBER($K240),INDEX(Сборка!$K$2:$K$501,$K240),"")</f>
        <v/>
      </c>
      <c r="H240" s="6" t="str">
        <f t="shared" si="12"/>
        <v/>
      </c>
      <c r="I240" s="6" t="str">
        <f t="shared" si="13"/>
        <v/>
      </c>
      <c r="J240" s="6" t="str">
        <f t="shared" si="14"/>
        <v/>
      </c>
      <c r="K240" t="str">
        <f>IFERROR(MATCH(220,Сборка!$R$2:$R$501,0),"")</f>
        <v/>
      </c>
      <c r="L240" t="str">
        <f>IFERROR(IF(INDEX(Сборка!$Q$2:$Q$501,MATCH(220+1,Сборка!$R$2:$R$501,0))=1,INDEX(Сборка!$P$2:$P$501,MATCH(220+1,Сборка!$R$2:$R$501,0)),""),"")</f>
        <v/>
      </c>
      <c r="M240" t="str">
        <f t="shared" si="15"/>
        <v/>
      </c>
    </row>
    <row r="241" spans="1:13" hidden="1" x14ac:dyDescent="0.3">
      <c r="A241" t="str">
        <f>IF(ISNUMBER($K241),INDEX(Сборка!$O$2:$O$501,$K241),"")</f>
        <v/>
      </c>
      <c r="B241" t="str">
        <f>IF(ISNUMBER($K241),INDEX(Сборка!$C$2:$C$501,$K241),"")</f>
        <v/>
      </c>
      <c r="C241" s="5" t="str">
        <f>IF($L241&lt;&gt;"",INDEX(Сборка!$S$2:$S$501,MATCH($L241,Сборка!$P$2:$P$501,0)),IF(ISNUMBER($K241),INDEX(Сборка!$D$2:$D$501,$K241)&amp;IF(INDEX(Сборка!$I$2:$I$501,$K241)&lt;&gt;""," — "&amp;INDEX(Сборка!$I$2:$I$501,$K241),""),""))</f>
        <v/>
      </c>
      <c r="D241" t="str">
        <f>IF(ISNUMBER($K241),INDEX(Сборка!$E$2:$E$501,$K241),"")</f>
        <v/>
      </c>
      <c r="E241" t="str">
        <f>IF(ISNUMBER($K241),INDEX(Сборка!$G$2:$G$501,$K241),"")</f>
        <v/>
      </c>
      <c r="F241" s="6" t="str">
        <f>IF(ISNUMBER($K241),INDEX(Сборка!$J$2:$J$501,$K241),"")</f>
        <v/>
      </c>
      <c r="G241" s="6" t="str">
        <f>IF(ISNUMBER($K241),INDEX(Сборка!$K$2:$K$501,$K241),"")</f>
        <v/>
      </c>
      <c r="H241" s="6" t="str">
        <f t="shared" si="12"/>
        <v/>
      </c>
      <c r="I241" s="6" t="str">
        <f t="shared" si="13"/>
        <v/>
      </c>
      <c r="J241" s="6" t="str">
        <f t="shared" si="14"/>
        <v/>
      </c>
      <c r="K241" t="str">
        <f>IFERROR(MATCH(221,Сборка!$R$2:$R$501,0),"")</f>
        <v/>
      </c>
      <c r="L241" t="str">
        <f>IFERROR(IF(INDEX(Сборка!$Q$2:$Q$501,MATCH(221+1,Сборка!$R$2:$R$501,0))=1,INDEX(Сборка!$P$2:$P$501,MATCH(221+1,Сборка!$R$2:$R$501,0)),""),"")</f>
        <v/>
      </c>
      <c r="M241" t="str">
        <f t="shared" si="15"/>
        <v/>
      </c>
    </row>
    <row r="242" spans="1:13" hidden="1" x14ac:dyDescent="0.3">
      <c r="A242" t="str">
        <f>IF(ISNUMBER($K242),INDEX(Сборка!$O$2:$O$501,$K242),"")</f>
        <v/>
      </c>
      <c r="B242" t="str">
        <f>IF(ISNUMBER($K242),INDEX(Сборка!$C$2:$C$501,$K242),"")</f>
        <v/>
      </c>
      <c r="C242" s="5" t="str">
        <f>IF($L242&lt;&gt;"",INDEX(Сборка!$S$2:$S$501,MATCH($L242,Сборка!$P$2:$P$501,0)),IF(ISNUMBER($K242),INDEX(Сборка!$D$2:$D$501,$K242)&amp;IF(INDEX(Сборка!$I$2:$I$501,$K242)&lt;&gt;""," — "&amp;INDEX(Сборка!$I$2:$I$501,$K242),""),""))</f>
        <v/>
      </c>
      <c r="D242" t="str">
        <f>IF(ISNUMBER($K242),INDEX(Сборка!$E$2:$E$501,$K242),"")</f>
        <v/>
      </c>
      <c r="E242" t="str">
        <f>IF(ISNUMBER($K242),INDEX(Сборка!$G$2:$G$501,$K242),"")</f>
        <v/>
      </c>
      <c r="F242" s="6" t="str">
        <f>IF(ISNUMBER($K242),INDEX(Сборка!$J$2:$J$501,$K242),"")</f>
        <v/>
      </c>
      <c r="G242" s="6" t="str">
        <f>IF(ISNUMBER($K242),INDEX(Сборка!$K$2:$K$501,$K242),"")</f>
        <v/>
      </c>
      <c r="H242" s="6" t="str">
        <f t="shared" si="12"/>
        <v/>
      </c>
      <c r="I242" s="6" t="str">
        <f t="shared" si="13"/>
        <v/>
      </c>
      <c r="J242" s="6" t="str">
        <f t="shared" si="14"/>
        <v/>
      </c>
      <c r="K242" t="str">
        <f>IFERROR(MATCH(222,Сборка!$R$2:$R$501,0),"")</f>
        <v/>
      </c>
      <c r="L242" t="str">
        <f>IFERROR(IF(INDEX(Сборка!$Q$2:$Q$501,MATCH(222+1,Сборка!$R$2:$R$501,0))=1,INDEX(Сборка!$P$2:$P$501,MATCH(222+1,Сборка!$R$2:$R$501,0)),""),"")</f>
        <v/>
      </c>
      <c r="M242" t="str">
        <f t="shared" si="15"/>
        <v/>
      </c>
    </row>
    <row r="243" spans="1:13" hidden="1" x14ac:dyDescent="0.3">
      <c r="A243" t="str">
        <f>IF(ISNUMBER($K243),INDEX(Сборка!$O$2:$O$501,$K243),"")</f>
        <v/>
      </c>
      <c r="B243" t="str">
        <f>IF(ISNUMBER($K243),INDEX(Сборка!$C$2:$C$501,$K243),"")</f>
        <v/>
      </c>
      <c r="C243" s="5" t="str">
        <f>IF($L243&lt;&gt;"",INDEX(Сборка!$S$2:$S$501,MATCH($L243,Сборка!$P$2:$P$501,0)),IF(ISNUMBER($K243),INDEX(Сборка!$D$2:$D$501,$K243)&amp;IF(INDEX(Сборка!$I$2:$I$501,$K243)&lt;&gt;""," — "&amp;INDEX(Сборка!$I$2:$I$501,$K243),""),""))</f>
        <v/>
      </c>
      <c r="D243" t="str">
        <f>IF(ISNUMBER($K243),INDEX(Сборка!$E$2:$E$501,$K243),"")</f>
        <v/>
      </c>
      <c r="E243" t="str">
        <f>IF(ISNUMBER($K243),INDEX(Сборка!$G$2:$G$501,$K243),"")</f>
        <v/>
      </c>
      <c r="F243" s="6" t="str">
        <f>IF(ISNUMBER($K243),INDEX(Сборка!$J$2:$J$501,$K243),"")</f>
        <v/>
      </c>
      <c r="G243" s="6" t="str">
        <f>IF(ISNUMBER($K243),INDEX(Сборка!$K$2:$K$501,$K243),"")</f>
        <v/>
      </c>
      <c r="H243" s="6" t="str">
        <f t="shared" si="12"/>
        <v/>
      </c>
      <c r="I243" s="6" t="str">
        <f t="shared" si="13"/>
        <v/>
      </c>
      <c r="J243" s="6" t="str">
        <f t="shared" si="14"/>
        <v/>
      </c>
      <c r="K243" t="str">
        <f>IFERROR(MATCH(223,Сборка!$R$2:$R$501,0),"")</f>
        <v/>
      </c>
      <c r="L243" t="str">
        <f>IFERROR(IF(INDEX(Сборка!$Q$2:$Q$501,MATCH(223+1,Сборка!$R$2:$R$501,0))=1,INDEX(Сборка!$P$2:$P$501,MATCH(223+1,Сборка!$R$2:$R$501,0)),""),"")</f>
        <v/>
      </c>
      <c r="M243" t="str">
        <f t="shared" si="15"/>
        <v/>
      </c>
    </row>
    <row r="244" spans="1:13" hidden="1" x14ac:dyDescent="0.3">
      <c r="A244" t="str">
        <f>IF(ISNUMBER($K244),INDEX(Сборка!$O$2:$O$501,$K244),"")</f>
        <v/>
      </c>
      <c r="B244" t="str">
        <f>IF(ISNUMBER($K244),INDEX(Сборка!$C$2:$C$501,$K244),"")</f>
        <v/>
      </c>
      <c r="C244" s="5" t="str">
        <f>IF($L244&lt;&gt;"",INDEX(Сборка!$S$2:$S$501,MATCH($L244,Сборка!$P$2:$P$501,0)),IF(ISNUMBER($K244),INDEX(Сборка!$D$2:$D$501,$K244)&amp;IF(INDEX(Сборка!$I$2:$I$501,$K244)&lt;&gt;""," — "&amp;INDEX(Сборка!$I$2:$I$501,$K244),""),""))</f>
        <v/>
      </c>
      <c r="D244" t="str">
        <f>IF(ISNUMBER($K244),INDEX(Сборка!$E$2:$E$501,$K244),"")</f>
        <v/>
      </c>
      <c r="E244" t="str">
        <f>IF(ISNUMBER($K244),INDEX(Сборка!$G$2:$G$501,$K244),"")</f>
        <v/>
      </c>
      <c r="F244" s="6" t="str">
        <f>IF(ISNUMBER($K244),INDEX(Сборка!$J$2:$J$501,$K244),"")</f>
        <v/>
      </c>
      <c r="G244" s="6" t="str">
        <f>IF(ISNUMBER($K244),INDEX(Сборка!$K$2:$K$501,$K244),"")</f>
        <v/>
      </c>
      <c r="H244" s="6" t="str">
        <f t="shared" si="12"/>
        <v/>
      </c>
      <c r="I244" s="6" t="str">
        <f t="shared" si="13"/>
        <v/>
      </c>
      <c r="J244" s="6" t="str">
        <f t="shared" si="14"/>
        <v/>
      </c>
      <c r="K244" t="str">
        <f>IFERROR(MATCH(224,Сборка!$R$2:$R$501,0),"")</f>
        <v/>
      </c>
      <c r="L244" t="str">
        <f>IFERROR(IF(INDEX(Сборка!$Q$2:$Q$501,MATCH(224+1,Сборка!$R$2:$R$501,0))=1,INDEX(Сборка!$P$2:$P$501,MATCH(224+1,Сборка!$R$2:$R$501,0)),""),"")</f>
        <v/>
      </c>
      <c r="M244" t="str">
        <f t="shared" si="15"/>
        <v/>
      </c>
    </row>
    <row r="245" spans="1:13" hidden="1" x14ac:dyDescent="0.3">
      <c r="A245" t="str">
        <f>IF(ISNUMBER($K245),INDEX(Сборка!$O$2:$O$501,$K245),"")</f>
        <v/>
      </c>
      <c r="B245" t="str">
        <f>IF(ISNUMBER($K245),INDEX(Сборка!$C$2:$C$501,$K245),"")</f>
        <v/>
      </c>
      <c r="C245" s="5" t="str">
        <f>IF($L245&lt;&gt;"",INDEX(Сборка!$S$2:$S$501,MATCH($L245,Сборка!$P$2:$P$501,0)),IF(ISNUMBER($K245),INDEX(Сборка!$D$2:$D$501,$K245)&amp;IF(INDEX(Сборка!$I$2:$I$501,$K245)&lt;&gt;""," — "&amp;INDEX(Сборка!$I$2:$I$501,$K245),""),""))</f>
        <v/>
      </c>
      <c r="D245" t="str">
        <f>IF(ISNUMBER($K245),INDEX(Сборка!$E$2:$E$501,$K245),"")</f>
        <v/>
      </c>
      <c r="E245" t="str">
        <f>IF(ISNUMBER($K245),INDEX(Сборка!$G$2:$G$501,$K245),"")</f>
        <v/>
      </c>
      <c r="F245" s="6" t="str">
        <f>IF(ISNUMBER($K245),INDEX(Сборка!$J$2:$J$501,$K245),"")</f>
        <v/>
      </c>
      <c r="G245" s="6" t="str">
        <f>IF(ISNUMBER($K245),INDEX(Сборка!$K$2:$K$501,$K245),"")</f>
        <v/>
      </c>
      <c r="H245" s="6" t="str">
        <f t="shared" si="12"/>
        <v/>
      </c>
      <c r="I245" s="6" t="str">
        <f t="shared" si="13"/>
        <v/>
      </c>
      <c r="J245" s="6" t="str">
        <f t="shared" si="14"/>
        <v/>
      </c>
      <c r="K245" t="str">
        <f>IFERROR(MATCH(225,Сборка!$R$2:$R$501,0),"")</f>
        <v/>
      </c>
      <c r="L245" t="str">
        <f>IFERROR(IF(INDEX(Сборка!$Q$2:$Q$501,MATCH(225+1,Сборка!$R$2:$R$501,0))=1,INDEX(Сборка!$P$2:$P$501,MATCH(225+1,Сборка!$R$2:$R$501,0)),""),"")</f>
        <v/>
      </c>
      <c r="M245" t="str">
        <f t="shared" si="15"/>
        <v/>
      </c>
    </row>
    <row r="246" spans="1:13" hidden="1" x14ac:dyDescent="0.3">
      <c r="A246" t="str">
        <f>IF(ISNUMBER($K246),INDEX(Сборка!$O$2:$O$501,$K246),"")</f>
        <v/>
      </c>
      <c r="B246" t="str">
        <f>IF(ISNUMBER($K246),INDEX(Сборка!$C$2:$C$501,$K246),"")</f>
        <v/>
      </c>
      <c r="C246" s="5" t="str">
        <f>IF($L246&lt;&gt;"",INDEX(Сборка!$S$2:$S$501,MATCH($L246,Сборка!$P$2:$P$501,0)),IF(ISNUMBER($K246),INDEX(Сборка!$D$2:$D$501,$K246)&amp;IF(INDEX(Сборка!$I$2:$I$501,$K246)&lt;&gt;""," — "&amp;INDEX(Сборка!$I$2:$I$501,$K246),""),""))</f>
        <v/>
      </c>
      <c r="D246" t="str">
        <f>IF(ISNUMBER($K246),INDEX(Сборка!$E$2:$E$501,$K246),"")</f>
        <v/>
      </c>
      <c r="E246" t="str">
        <f>IF(ISNUMBER($K246),INDEX(Сборка!$G$2:$G$501,$K246),"")</f>
        <v/>
      </c>
      <c r="F246" s="6" t="str">
        <f>IF(ISNUMBER($K246),INDEX(Сборка!$J$2:$J$501,$K246),"")</f>
        <v/>
      </c>
      <c r="G246" s="6" t="str">
        <f>IF(ISNUMBER($K246),INDEX(Сборка!$K$2:$K$501,$K246),"")</f>
        <v/>
      </c>
      <c r="H246" s="6" t="str">
        <f t="shared" si="12"/>
        <v/>
      </c>
      <c r="I246" s="6" t="str">
        <f t="shared" si="13"/>
        <v/>
      </c>
      <c r="J246" s="6" t="str">
        <f t="shared" si="14"/>
        <v/>
      </c>
      <c r="K246" t="str">
        <f>IFERROR(MATCH(226,Сборка!$R$2:$R$501,0),"")</f>
        <v/>
      </c>
      <c r="L246" t="str">
        <f>IFERROR(IF(INDEX(Сборка!$Q$2:$Q$501,MATCH(226+1,Сборка!$R$2:$R$501,0))=1,INDEX(Сборка!$P$2:$P$501,MATCH(226+1,Сборка!$R$2:$R$501,0)),""),"")</f>
        <v/>
      </c>
      <c r="M246" t="str">
        <f t="shared" si="15"/>
        <v/>
      </c>
    </row>
    <row r="247" spans="1:13" hidden="1" x14ac:dyDescent="0.3">
      <c r="A247" t="str">
        <f>IF(ISNUMBER($K247),INDEX(Сборка!$O$2:$O$501,$K247),"")</f>
        <v/>
      </c>
      <c r="B247" t="str">
        <f>IF(ISNUMBER($K247),INDEX(Сборка!$C$2:$C$501,$K247),"")</f>
        <v/>
      </c>
      <c r="C247" s="5" t="str">
        <f>IF($L247&lt;&gt;"",INDEX(Сборка!$S$2:$S$501,MATCH($L247,Сборка!$P$2:$P$501,0)),IF(ISNUMBER($K247),INDEX(Сборка!$D$2:$D$501,$K247)&amp;IF(INDEX(Сборка!$I$2:$I$501,$K247)&lt;&gt;""," — "&amp;INDEX(Сборка!$I$2:$I$501,$K247),""),""))</f>
        <v/>
      </c>
      <c r="D247" t="str">
        <f>IF(ISNUMBER($K247),INDEX(Сборка!$E$2:$E$501,$K247),"")</f>
        <v/>
      </c>
      <c r="E247" t="str">
        <f>IF(ISNUMBER($K247),INDEX(Сборка!$G$2:$G$501,$K247),"")</f>
        <v/>
      </c>
      <c r="F247" s="6" t="str">
        <f>IF(ISNUMBER($K247),INDEX(Сборка!$J$2:$J$501,$K247),"")</f>
        <v/>
      </c>
      <c r="G247" s="6" t="str">
        <f>IF(ISNUMBER($K247),INDEX(Сборка!$K$2:$K$501,$K247),"")</f>
        <v/>
      </c>
      <c r="H247" s="6" t="str">
        <f t="shared" si="12"/>
        <v/>
      </c>
      <c r="I247" s="6" t="str">
        <f t="shared" si="13"/>
        <v/>
      </c>
      <c r="J247" s="6" t="str">
        <f t="shared" si="14"/>
        <v/>
      </c>
      <c r="K247" t="str">
        <f>IFERROR(MATCH(227,Сборка!$R$2:$R$501,0),"")</f>
        <v/>
      </c>
      <c r="L247" t="str">
        <f>IFERROR(IF(INDEX(Сборка!$Q$2:$Q$501,MATCH(227+1,Сборка!$R$2:$R$501,0))=1,INDEX(Сборка!$P$2:$P$501,MATCH(227+1,Сборка!$R$2:$R$501,0)),""),"")</f>
        <v/>
      </c>
      <c r="M247" t="str">
        <f t="shared" si="15"/>
        <v/>
      </c>
    </row>
    <row r="248" spans="1:13" hidden="1" x14ac:dyDescent="0.3">
      <c r="A248" t="str">
        <f>IF(ISNUMBER($K248),INDEX(Сборка!$O$2:$O$501,$K248),"")</f>
        <v/>
      </c>
      <c r="B248" t="str">
        <f>IF(ISNUMBER($K248),INDEX(Сборка!$C$2:$C$501,$K248),"")</f>
        <v/>
      </c>
      <c r="C248" s="5" t="str">
        <f>IF($L248&lt;&gt;"",INDEX(Сборка!$S$2:$S$501,MATCH($L248,Сборка!$P$2:$P$501,0)),IF(ISNUMBER($K248),INDEX(Сборка!$D$2:$D$501,$K248)&amp;IF(INDEX(Сборка!$I$2:$I$501,$K248)&lt;&gt;""," — "&amp;INDEX(Сборка!$I$2:$I$501,$K248),""),""))</f>
        <v/>
      </c>
      <c r="D248" t="str">
        <f>IF(ISNUMBER($K248),INDEX(Сборка!$E$2:$E$501,$K248),"")</f>
        <v/>
      </c>
      <c r="E248" t="str">
        <f>IF(ISNUMBER($K248),INDEX(Сборка!$G$2:$G$501,$K248),"")</f>
        <v/>
      </c>
      <c r="F248" s="6" t="str">
        <f>IF(ISNUMBER($K248),INDEX(Сборка!$J$2:$J$501,$K248),"")</f>
        <v/>
      </c>
      <c r="G248" s="6" t="str">
        <f>IF(ISNUMBER($K248),INDEX(Сборка!$K$2:$K$501,$K248),"")</f>
        <v/>
      </c>
      <c r="H248" s="6" t="str">
        <f t="shared" si="12"/>
        <v/>
      </c>
      <c r="I248" s="6" t="str">
        <f t="shared" si="13"/>
        <v/>
      </c>
      <c r="J248" s="6" t="str">
        <f t="shared" si="14"/>
        <v/>
      </c>
      <c r="K248" t="str">
        <f>IFERROR(MATCH(228,Сборка!$R$2:$R$501,0),"")</f>
        <v/>
      </c>
      <c r="L248" t="str">
        <f>IFERROR(IF(INDEX(Сборка!$Q$2:$Q$501,MATCH(228+1,Сборка!$R$2:$R$501,0))=1,INDEX(Сборка!$P$2:$P$501,MATCH(228+1,Сборка!$R$2:$R$501,0)),""),"")</f>
        <v/>
      </c>
      <c r="M248" t="str">
        <f t="shared" si="15"/>
        <v/>
      </c>
    </row>
    <row r="249" spans="1:13" hidden="1" x14ac:dyDescent="0.3">
      <c r="A249" t="str">
        <f>IF(ISNUMBER($K249),INDEX(Сборка!$O$2:$O$501,$K249),"")</f>
        <v/>
      </c>
      <c r="B249" t="str">
        <f>IF(ISNUMBER($K249),INDEX(Сборка!$C$2:$C$501,$K249),"")</f>
        <v/>
      </c>
      <c r="C249" s="5" t="str">
        <f>IF($L249&lt;&gt;"",INDEX(Сборка!$S$2:$S$501,MATCH($L249,Сборка!$P$2:$P$501,0)),IF(ISNUMBER($K249),INDEX(Сборка!$D$2:$D$501,$K249)&amp;IF(INDEX(Сборка!$I$2:$I$501,$K249)&lt;&gt;""," — "&amp;INDEX(Сборка!$I$2:$I$501,$K249),""),""))</f>
        <v/>
      </c>
      <c r="D249" t="str">
        <f>IF(ISNUMBER($K249),INDEX(Сборка!$E$2:$E$501,$K249),"")</f>
        <v/>
      </c>
      <c r="E249" t="str">
        <f>IF(ISNUMBER($K249),INDEX(Сборка!$G$2:$G$501,$K249),"")</f>
        <v/>
      </c>
      <c r="F249" s="6" t="str">
        <f>IF(ISNUMBER($K249),INDEX(Сборка!$J$2:$J$501,$K249),"")</f>
        <v/>
      </c>
      <c r="G249" s="6" t="str">
        <f>IF(ISNUMBER($K249),INDEX(Сборка!$K$2:$K$501,$K249),"")</f>
        <v/>
      </c>
      <c r="H249" s="6" t="str">
        <f t="shared" si="12"/>
        <v/>
      </c>
      <c r="I249" s="6" t="str">
        <f t="shared" si="13"/>
        <v/>
      </c>
      <c r="J249" s="6" t="str">
        <f t="shared" si="14"/>
        <v/>
      </c>
      <c r="K249" t="str">
        <f>IFERROR(MATCH(229,Сборка!$R$2:$R$501,0),"")</f>
        <v/>
      </c>
      <c r="L249" t="str">
        <f>IFERROR(IF(INDEX(Сборка!$Q$2:$Q$501,MATCH(229+1,Сборка!$R$2:$R$501,0))=1,INDEX(Сборка!$P$2:$P$501,MATCH(229+1,Сборка!$R$2:$R$501,0)),""),"")</f>
        <v/>
      </c>
      <c r="M249" t="str">
        <f t="shared" si="15"/>
        <v/>
      </c>
    </row>
    <row r="250" spans="1:13" hidden="1" x14ac:dyDescent="0.3">
      <c r="A250" t="str">
        <f>IF(ISNUMBER($K250),INDEX(Сборка!$O$2:$O$501,$K250),"")</f>
        <v/>
      </c>
      <c r="B250" t="str">
        <f>IF(ISNUMBER($K250),INDEX(Сборка!$C$2:$C$501,$K250),"")</f>
        <v/>
      </c>
      <c r="C250" s="5" t="str">
        <f>IF($L250&lt;&gt;"",INDEX(Сборка!$S$2:$S$501,MATCH($L250,Сборка!$P$2:$P$501,0)),IF(ISNUMBER($K250),INDEX(Сборка!$D$2:$D$501,$K250)&amp;IF(INDEX(Сборка!$I$2:$I$501,$K250)&lt;&gt;""," — "&amp;INDEX(Сборка!$I$2:$I$501,$K250),""),""))</f>
        <v/>
      </c>
      <c r="D250" t="str">
        <f>IF(ISNUMBER($K250),INDEX(Сборка!$E$2:$E$501,$K250),"")</f>
        <v/>
      </c>
      <c r="E250" t="str">
        <f>IF(ISNUMBER($K250),INDEX(Сборка!$G$2:$G$501,$K250),"")</f>
        <v/>
      </c>
      <c r="F250" s="6" t="str">
        <f>IF(ISNUMBER($K250),INDEX(Сборка!$J$2:$J$501,$K250),"")</f>
        <v/>
      </c>
      <c r="G250" s="6" t="str">
        <f>IF(ISNUMBER($K250),INDEX(Сборка!$K$2:$K$501,$K250),"")</f>
        <v/>
      </c>
      <c r="H250" s="6" t="str">
        <f t="shared" si="12"/>
        <v/>
      </c>
      <c r="I250" s="6" t="str">
        <f t="shared" si="13"/>
        <v/>
      </c>
      <c r="J250" s="6" t="str">
        <f t="shared" si="14"/>
        <v/>
      </c>
      <c r="K250" t="str">
        <f>IFERROR(MATCH(230,Сборка!$R$2:$R$501,0),"")</f>
        <v/>
      </c>
      <c r="L250" t="str">
        <f>IFERROR(IF(INDEX(Сборка!$Q$2:$Q$501,MATCH(230+1,Сборка!$R$2:$R$501,0))=1,INDEX(Сборка!$P$2:$P$501,MATCH(230+1,Сборка!$R$2:$R$501,0)),""),"")</f>
        <v/>
      </c>
      <c r="M250" t="str">
        <f t="shared" si="15"/>
        <v/>
      </c>
    </row>
    <row r="251" spans="1:13" hidden="1" x14ac:dyDescent="0.3">
      <c r="A251" t="str">
        <f>IF(ISNUMBER($K251),INDEX(Сборка!$O$2:$O$501,$K251),"")</f>
        <v/>
      </c>
      <c r="B251" t="str">
        <f>IF(ISNUMBER($K251),INDEX(Сборка!$C$2:$C$501,$K251),"")</f>
        <v/>
      </c>
      <c r="C251" s="5" t="str">
        <f>IF($L251&lt;&gt;"",INDEX(Сборка!$S$2:$S$501,MATCH($L251,Сборка!$P$2:$P$501,0)),IF(ISNUMBER($K251),INDEX(Сборка!$D$2:$D$501,$K251)&amp;IF(INDEX(Сборка!$I$2:$I$501,$K251)&lt;&gt;""," — "&amp;INDEX(Сборка!$I$2:$I$501,$K251),""),""))</f>
        <v/>
      </c>
      <c r="D251" t="str">
        <f>IF(ISNUMBER($K251),INDEX(Сборка!$E$2:$E$501,$K251),"")</f>
        <v/>
      </c>
      <c r="E251" t="str">
        <f>IF(ISNUMBER($K251),INDEX(Сборка!$G$2:$G$501,$K251),"")</f>
        <v/>
      </c>
      <c r="F251" s="6" t="str">
        <f>IF(ISNUMBER($K251),INDEX(Сборка!$J$2:$J$501,$K251),"")</f>
        <v/>
      </c>
      <c r="G251" s="6" t="str">
        <f>IF(ISNUMBER($K251),INDEX(Сборка!$K$2:$K$501,$K251),"")</f>
        <v/>
      </c>
      <c r="H251" s="6" t="str">
        <f t="shared" si="12"/>
        <v/>
      </c>
      <c r="I251" s="6" t="str">
        <f t="shared" si="13"/>
        <v/>
      </c>
      <c r="J251" s="6" t="str">
        <f t="shared" si="14"/>
        <v/>
      </c>
      <c r="K251" t="str">
        <f>IFERROR(MATCH(231,Сборка!$R$2:$R$501,0),"")</f>
        <v/>
      </c>
      <c r="L251" t="str">
        <f>IFERROR(IF(INDEX(Сборка!$Q$2:$Q$501,MATCH(231+1,Сборка!$R$2:$R$501,0))=1,INDEX(Сборка!$P$2:$P$501,MATCH(231+1,Сборка!$R$2:$R$501,0)),""),"")</f>
        <v/>
      </c>
      <c r="M251" t="str">
        <f t="shared" si="15"/>
        <v/>
      </c>
    </row>
    <row r="252" spans="1:13" hidden="1" x14ac:dyDescent="0.3">
      <c r="A252" t="str">
        <f>IF(ISNUMBER($K252),INDEX(Сборка!$O$2:$O$501,$K252),"")</f>
        <v/>
      </c>
      <c r="B252" t="str">
        <f>IF(ISNUMBER($K252),INDEX(Сборка!$C$2:$C$501,$K252),"")</f>
        <v/>
      </c>
      <c r="C252" s="5" t="str">
        <f>IF($L252&lt;&gt;"",INDEX(Сборка!$S$2:$S$501,MATCH($L252,Сборка!$P$2:$P$501,0)),IF(ISNUMBER($K252),INDEX(Сборка!$D$2:$D$501,$K252)&amp;IF(INDEX(Сборка!$I$2:$I$501,$K252)&lt;&gt;""," — "&amp;INDEX(Сборка!$I$2:$I$501,$K252),""),""))</f>
        <v/>
      </c>
      <c r="D252" t="str">
        <f>IF(ISNUMBER($K252),INDEX(Сборка!$E$2:$E$501,$K252),"")</f>
        <v/>
      </c>
      <c r="E252" t="str">
        <f>IF(ISNUMBER($K252),INDEX(Сборка!$G$2:$G$501,$K252),"")</f>
        <v/>
      </c>
      <c r="F252" s="6" t="str">
        <f>IF(ISNUMBER($K252),INDEX(Сборка!$J$2:$J$501,$K252),"")</f>
        <v/>
      </c>
      <c r="G252" s="6" t="str">
        <f>IF(ISNUMBER($K252),INDEX(Сборка!$K$2:$K$501,$K252),"")</f>
        <v/>
      </c>
      <c r="H252" s="6" t="str">
        <f t="shared" si="12"/>
        <v/>
      </c>
      <c r="I252" s="6" t="str">
        <f t="shared" si="13"/>
        <v/>
      </c>
      <c r="J252" s="6" t="str">
        <f t="shared" si="14"/>
        <v/>
      </c>
      <c r="K252" t="str">
        <f>IFERROR(MATCH(232,Сборка!$R$2:$R$501,0),"")</f>
        <v/>
      </c>
      <c r="L252" t="str">
        <f>IFERROR(IF(INDEX(Сборка!$Q$2:$Q$501,MATCH(232+1,Сборка!$R$2:$R$501,0))=1,INDEX(Сборка!$P$2:$P$501,MATCH(232+1,Сборка!$R$2:$R$501,0)),""),"")</f>
        <v/>
      </c>
      <c r="M252" t="str">
        <f t="shared" si="15"/>
        <v/>
      </c>
    </row>
    <row r="253" spans="1:13" hidden="1" x14ac:dyDescent="0.3">
      <c r="A253" t="str">
        <f>IF(ISNUMBER($K253),INDEX(Сборка!$O$2:$O$501,$K253),"")</f>
        <v/>
      </c>
      <c r="B253" t="str">
        <f>IF(ISNUMBER($K253),INDEX(Сборка!$C$2:$C$501,$K253),"")</f>
        <v/>
      </c>
      <c r="C253" s="5" t="str">
        <f>IF($L253&lt;&gt;"",INDEX(Сборка!$S$2:$S$501,MATCH($L253,Сборка!$P$2:$P$501,0)),IF(ISNUMBER($K253),INDEX(Сборка!$D$2:$D$501,$K253)&amp;IF(INDEX(Сборка!$I$2:$I$501,$K253)&lt;&gt;""," — "&amp;INDEX(Сборка!$I$2:$I$501,$K253),""),""))</f>
        <v/>
      </c>
      <c r="D253" t="str">
        <f>IF(ISNUMBER($K253),INDEX(Сборка!$E$2:$E$501,$K253),"")</f>
        <v/>
      </c>
      <c r="E253" t="str">
        <f>IF(ISNUMBER($K253),INDEX(Сборка!$G$2:$G$501,$K253),"")</f>
        <v/>
      </c>
      <c r="F253" s="6" t="str">
        <f>IF(ISNUMBER($K253),INDEX(Сборка!$J$2:$J$501,$K253),"")</f>
        <v/>
      </c>
      <c r="G253" s="6" t="str">
        <f>IF(ISNUMBER($K253),INDEX(Сборка!$K$2:$K$501,$K253),"")</f>
        <v/>
      </c>
      <c r="H253" s="6" t="str">
        <f t="shared" si="12"/>
        <v/>
      </c>
      <c r="I253" s="6" t="str">
        <f t="shared" si="13"/>
        <v/>
      </c>
      <c r="J253" s="6" t="str">
        <f t="shared" si="14"/>
        <v/>
      </c>
      <c r="K253" t="str">
        <f>IFERROR(MATCH(233,Сборка!$R$2:$R$501,0),"")</f>
        <v/>
      </c>
      <c r="L253" t="str">
        <f>IFERROR(IF(INDEX(Сборка!$Q$2:$Q$501,MATCH(233+1,Сборка!$R$2:$R$501,0))=1,INDEX(Сборка!$P$2:$P$501,MATCH(233+1,Сборка!$R$2:$R$501,0)),""),"")</f>
        <v/>
      </c>
      <c r="M253" t="str">
        <f t="shared" si="15"/>
        <v/>
      </c>
    </row>
    <row r="254" spans="1:13" hidden="1" x14ac:dyDescent="0.3">
      <c r="A254" t="str">
        <f>IF(ISNUMBER($K254),INDEX(Сборка!$O$2:$O$501,$K254),"")</f>
        <v/>
      </c>
      <c r="B254" t="str">
        <f>IF(ISNUMBER($K254),INDEX(Сборка!$C$2:$C$501,$K254),"")</f>
        <v/>
      </c>
      <c r="C254" s="5" t="str">
        <f>IF($L254&lt;&gt;"",INDEX(Сборка!$S$2:$S$501,MATCH($L254,Сборка!$P$2:$P$501,0)),IF(ISNUMBER($K254),INDEX(Сборка!$D$2:$D$501,$K254)&amp;IF(INDEX(Сборка!$I$2:$I$501,$K254)&lt;&gt;""," — "&amp;INDEX(Сборка!$I$2:$I$501,$K254),""),""))</f>
        <v/>
      </c>
      <c r="D254" t="str">
        <f>IF(ISNUMBER($K254),INDEX(Сборка!$E$2:$E$501,$K254),"")</f>
        <v/>
      </c>
      <c r="E254" t="str">
        <f>IF(ISNUMBER($K254),INDEX(Сборка!$G$2:$G$501,$K254),"")</f>
        <v/>
      </c>
      <c r="F254" s="6" t="str">
        <f>IF(ISNUMBER($K254),INDEX(Сборка!$J$2:$J$501,$K254),"")</f>
        <v/>
      </c>
      <c r="G254" s="6" t="str">
        <f>IF(ISNUMBER($K254),INDEX(Сборка!$K$2:$K$501,$K254),"")</f>
        <v/>
      </c>
      <c r="H254" s="6" t="str">
        <f t="shared" si="12"/>
        <v/>
      </c>
      <c r="I254" s="6" t="str">
        <f t="shared" si="13"/>
        <v/>
      </c>
      <c r="J254" s="6" t="str">
        <f t="shared" si="14"/>
        <v/>
      </c>
      <c r="K254" t="str">
        <f>IFERROR(MATCH(234,Сборка!$R$2:$R$501,0),"")</f>
        <v/>
      </c>
      <c r="L254" t="str">
        <f>IFERROR(IF(INDEX(Сборка!$Q$2:$Q$501,MATCH(234+1,Сборка!$R$2:$R$501,0))=1,INDEX(Сборка!$P$2:$P$501,MATCH(234+1,Сборка!$R$2:$R$501,0)),""),"")</f>
        <v/>
      </c>
      <c r="M254" t="str">
        <f t="shared" si="15"/>
        <v/>
      </c>
    </row>
    <row r="255" spans="1:13" hidden="1" x14ac:dyDescent="0.3">
      <c r="A255" t="str">
        <f>IF(ISNUMBER($K255),INDEX(Сборка!$O$2:$O$501,$K255),"")</f>
        <v/>
      </c>
      <c r="B255" t="str">
        <f>IF(ISNUMBER($K255),INDEX(Сборка!$C$2:$C$501,$K255),"")</f>
        <v/>
      </c>
      <c r="C255" s="5" t="str">
        <f>IF($L255&lt;&gt;"",INDEX(Сборка!$S$2:$S$501,MATCH($L255,Сборка!$P$2:$P$501,0)),IF(ISNUMBER($K255),INDEX(Сборка!$D$2:$D$501,$K255)&amp;IF(INDEX(Сборка!$I$2:$I$501,$K255)&lt;&gt;""," — "&amp;INDEX(Сборка!$I$2:$I$501,$K255),""),""))</f>
        <v/>
      </c>
      <c r="D255" t="str">
        <f>IF(ISNUMBER($K255),INDEX(Сборка!$E$2:$E$501,$K255),"")</f>
        <v/>
      </c>
      <c r="E255" t="str">
        <f>IF(ISNUMBER($K255),INDEX(Сборка!$G$2:$G$501,$K255),"")</f>
        <v/>
      </c>
      <c r="F255" s="6" t="str">
        <f>IF(ISNUMBER($K255),INDEX(Сборка!$J$2:$J$501,$K255),"")</f>
        <v/>
      </c>
      <c r="G255" s="6" t="str">
        <f>IF(ISNUMBER($K255),INDEX(Сборка!$K$2:$K$501,$K255),"")</f>
        <v/>
      </c>
      <c r="H255" s="6" t="str">
        <f t="shared" si="12"/>
        <v/>
      </c>
      <c r="I255" s="6" t="str">
        <f t="shared" si="13"/>
        <v/>
      </c>
      <c r="J255" s="6" t="str">
        <f t="shared" si="14"/>
        <v/>
      </c>
      <c r="K255" t="str">
        <f>IFERROR(MATCH(235,Сборка!$R$2:$R$501,0),"")</f>
        <v/>
      </c>
      <c r="L255" t="str">
        <f>IFERROR(IF(INDEX(Сборка!$Q$2:$Q$501,MATCH(235+1,Сборка!$R$2:$R$501,0))=1,INDEX(Сборка!$P$2:$P$501,MATCH(235+1,Сборка!$R$2:$R$501,0)),""),"")</f>
        <v/>
      </c>
      <c r="M255" t="str">
        <f t="shared" si="15"/>
        <v/>
      </c>
    </row>
    <row r="256" spans="1:13" hidden="1" x14ac:dyDescent="0.3">
      <c r="A256" t="str">
        <f>IF(ISNUMBER($K256),INDEX(Сборка!$O$2:$O$501,$K256),"")</f>
        <v/>
      </c>
      <c r="B256" t="str">
        <f>IF(ISNUMBER($K256),INDEX(Сборка!$C$2:$C$501,$K256),"")</f>
        <v/>
      </c>
      <c r="C256" s="5" t="str">
        <f>IF($L256&lt;&gt;"",INDEX(Сборка!$S$2:$S$501,MATCH($L256,Сборка!$P$2:$P$501,0)),IF(ISNUMBER($K256),INDEX(Сборка!$D$2:$D$501,$K256)&amp;IF(INDEX(Сборка!$I$2:$I$501,$K256)&lt;&gt;""," — "&amp;INDEX(Сборка!$I$2:$I$501,$K256),""),""))</f>
        <v/>
      </c>
      <c r="D256" t="str">
        <f>IF(ISNUMBER($K256),INDEX(Сборка!$E$2:$E$501,$K256),"")</f>
        <v/>
      </c>
      <c r="E256" t="str">
        <f>IF(ISNUMBER($K256),INDEX(Сборка!$G$2:$G$501,$K256),"")</f>
        <v/>
      </c>
      <c r="F256" s="6" t="str">
        <f>IF(ISNUMBER($K256),INDEX(Сборка!$J$2:$J$501,$K256),"")</f>
        <v/>
      </c>
      <c r="G256" s="6" t="str">
        <f>IF(ISNUMBER($K256),INDEX(Сборка!$K$2:$K$501,$K256),"")</f>
        <v/>
      </c>
      <c r="H256" s="6" t="str">
        <f t="shared" si="12"/>
        <v/>
      </c>
      <c r="I256" s="6" t="str">
        <f t="shared" si="13"/>
        <v/>
      </c>
      <c r="J256" s="6" t="str">
        <f t="shared" si="14"/>
        <v/>
      </c>
      <c r="K256" t="str">
        <f>IFERROR(MATCH(236,Сборка!$R$2:$R$501,0),"")</f>
        <v/>
      </c>
      <c r="L256" t="str">
        <f>IFERROR(IF(INDEX(Сборка!$Q$2:$Q$501,MATCH(236+1,Сборка!$R$2:$R$501,0))=1,INDEX(Сборка!$P$2:$P$501,MATCH(236+1,Сборка!$R$2:$R$501,0)),""),"")</f>
        <v/>
      </c>
      <c r="M256" t="str">
        <f t="shared" si="15"/>
        <v/>
      </c>
    </row>
    <row r="257" spans="1:13" hidden="1" x14ac:dyDescent="0.3">
      <c r="A257" t="str">
        <f>IF(ISNUMBER($K257),INDEX(Сборка!$O$2:$O$501,$K257),"")</f>
        <v/>
      </c>
      <c r="B257" t="str">
        <f>IF(ISNUMBER($K257),INDEX(Сборка!$C$2:$C$501,$K257),"")</f>
        <v/>
      </c>
      <c r="C257" s="5" t="str">
        <f>IF($L257&lt;&gt;"",INDEX(Сборка!$S$2:$S$501,MATCH($L257,Сборка!$P$2:$P$501,0)),IF(ISNUMBER($K257),INDEX(Сборка!$D$2:$D$501,$K257)&amp;IF(INDEX(Сборка!$I$2:$I$501,$K257)&lt;&gt;""," — "&amp;INDEX(Сборка!$I$2:$I$501,$K257),""),""))</f>
        <v/>
      </c>
      <c r="D257" t="str">
        <f>IF(ISNUMBER($K257),INDEX(Сборка!$E$2:$E$501,$K257),"")</f>
        <v/>
      </c>
      <c r="E257" t="str">
        <f>IF(ISNUMBER($K257),INDEX(Сборка!$G$2:$G$501,$K257),"")</f>
        <v/>
      </c>
      <c r="F257" s="6" t="str">
        <f>IF(ISNUMBER($K257),INDEX(Сборка!$J$2:$J$501,$K257),"")</f>
        <v/>
      </c>
      <c r="G257" s="6" t="str">
        <f>IF(ISNUMBER($K257),INDEX(Сборка!$K$2:$K$501,$K257),"")</f>
        <v/>
      </c>
      <c r="H257" s="6" t="str">
        <f t="shared" si="12"/>
        <v/>
      </c>
      <c r="I257" s="6" t="str">
        <f t="shared" si="13"/>
        <v/>
      </c>
      <c r="J257" s="6" t="str">
        <f t="shared" si="14"/>
        <v/>
      </c>
      <c r="K257" t="str">
        <f>IFERROR(MATCH(237,Сборка!$R$2:$R$501,0),"")</f>
        <v/>
      </c>
      <c r="L257" t="str">
        <f>IFERROR(IF(INDEX(Сборка!$Q$2:$Q$501,MATCH(237+1,Сборка!$R$2:$R$501,0))=1,INDEX(Сборка!$P$2:$P$501,MATCH(237+1,Сборка!$R$2:$R$501,0)),""),"")</f>
        <v/>
      </c>
      <c r="M257" t="str">
        <f t="shared" si="15"/>
        <v/>
      </c>
    </row>
    <row r="258" spans="1:13" hidden="1" x14ac:dyDescent="0.3">
      <c r="A258" t="str">
        <f>IF(ISNUMBER($K258),INDEX(Сборка!$O$2:$O$501,$K258),"")</f>
        <v/>
      </c>
      <c r="B258" t="str">
        <f>IF(ISNUMBER($K258),INDEX(Сборка!$C$2:$C$501,$K258),"")</f>
        <v/>
      </c>
      <c r="C258" s="5" t="str">
        <f>IF($L258&lt;&gt;"",INDEX(Сборка!$S$2:$S$501,MATCH($L258,Сборка!$P$2:$P$501,0)),IF(ISNUMBER($K258),INDEX(Сборка!$D$2:$D$501,$K258)&amp;IF(INDEX(Сборка!$I$2:$I$501,$K258)&lt;&gt;""," — "&amp;INDEX(Сборка!$I$2:$I$501,$K258),""),""))</f>
        <v/>
      </c>
      <c r="D258" t="str">
        <f>IF(ISNUMBER($K258),INDEX(Сборка!$E$2:$E$501,$K258),"")</f>
        <v/>
      </c>
      <c r="E258" t="str">
        <f>IF(ISNUMBER($K258),INDEX(Сборка!$G$2:$G$501,$K258),"")</f>
        <v/>
      </c>
      <c r="F258" s="6" t="str">
        <f>IF(ISNUMBER($K258),INDEX(Сборка!$J$2:$J$501,$K258),"")</f>
        <v/>
      </c>
      <c r="G258" s="6" t="str">
        <f>IF(ISNUMBER($K258),INDEX(Сборка!$K$2:$K$501,$K258),"")</f>
        <v/>
      </c>
      <c r="H258" s="6" t="str">
        <f t="shared" si="12"/>
        <v/>
      </c>
      <c r="I258" s="6" t="str">
        <f t="shared" si="13"/>
        <v/>
      </c>
      <c r="J258" s="6" t="str">
        <f t="shared" si="14"/>
        <v/>
      </c>
      <c r="K258" t="str">
        <f>IFERROR(MATCH(238,Сборка!$R$2:$R$501,0),"")</f>
        <v/>
      </c>
      <c r="L258" t="str">
        <f>IFERROR(IF(INDEX(Сборка!$Q$2:$Q$501,MATCH(238+1,Сборка!$R$2:$R$501,0))=1,INDEX(Сборка!$P$2:$P$501,MATCH(238+1,Сборка!$R$2:$R$501,0)),""),"")</f>
        <v/>
      </c>
      <c r="M258" t="str">
        <f t="shared" si="15"/>
        <v/>
      </c>
    </row>
    <row r="259" spans="1:13" hidden="1" x14ac:dyDescent="0.3">
      <c r="A259" t="str">
        <f>IF(ISNUMBER($K259),INDEX(Сборка!$O$2:$O$501,$K259),"")</f>
        <v/>
      </c>
      <c r="B259" t="str">
        <f>IF(ISNUMBER($K259),INDEX(Сборка!$C$2:$C$501,$K259),"")</f>
        <v/>
      </c>
      <c r="C259" s="5" t="str">
        <f>IF($L259&lt;&gt;"",INDEX(Сборка!$S$2:$S$501,MATCH($L259,Сборка!$P$2:$P$501,0)),IF(ISNUMBER($K259),INDEX(Сборка!$D$2:$D$501,$K259)&amp;IF(INDEX(Сборка!$I$2:$I$501,$K259)&lt;&gt;""," — "&amp;INDEX(Сборка!$I$2:$I$501,$K259),""),""))</f>
        <v/>
      </c>
      <c r="D259" t="str">
        <f>IF(ISNUMBER($K259),INDEX(Сборка!$E$2:$E$501,$K259),"")</f>
        <v/>
      </c>
      <c r="E259" t="str">
        <f>IF(ISNUMBER($K259),INDEX(Сборка!$G$2:$G$501,$K259),"")</f>
        <v/>
      </c>
      <c r="F259" s="6" t="str">
        <f>IF(ISNUMBER($K259),INDEX(Сборка!$J$2:$J$501,$K259),"")</f>
        <v/>
      </c>
      <c r="G259" s="6" t="str">
        <f>IF(ISNUMBER($K259),INDEX(Сборка!$K$2:$K$501,$K259),"")</f>
        <v/>
      </c>
      <c r="H259" s="6" t="str">
        <f t="shared" si="12"/>
        <v/>
      </c>
      <c r="I259" s="6" t="str">
        <f t="shared" si="13"/>
        <v/>
      </c>
      <c r="J259" s="6" t="str">
        <f t="shared" si="14"/>
        <v/>
      </c>
      <c r="K259" t="str">
        <f>IFERROR(MATCH(239,Сборка!$R$2:$R$501,0),"")</f>
        <v/>
      </c>
      <c r="L259" t="str">
        <f>IFERROR(IF(INDEX(Сборка!$Q$2:$Q$501,MATCH(239+1,Сборка!$R$2:$R$501,0))=1,INDEX(Сборка!$P$2:$P$501,MATCH(239+1,Сборка!$R$2:$R$501,0)),""),"")</f>
        <v/>
      </c>
      <c r="M259" t="str">
        <f t="shared" si="15"/>
        <v/>
      </c>
    </row>
    <row r="260" spans="1:13" hidden="1" x14ac:dyDescent="0.3">
      <c r="A260" t="str">
        <f>IF(ISNUMBER($K260),INDEX(Сборка!$O$2:$O$501,$K260),"")</f>
        <v/>
      </c>
      <c r="B260" t="str">
        <f>IF(ISNUMBER($K260),INDEX(Сборка!$C$2:$C$501,$K260),"")</f>
        <v/>
      </c>
      <c r="C260" s="5" t="str">
        <f>IF($L260&lt;&gt;"",INDEX(Сборка!$S$2:$S$501,MATCH($L260,Сборка!$P$2:$P$501,0)),IF(ISNUMBER($K260),INDEX(Сборка!$D$2:$D$501,$K260)&amp;IF(INDEX(Сборка!$I$2:$I$501,$K260)&lt;&gt;""," — "&amp;INDEX(Сборка!$I$2:$I$501,$K260),""),""))</f>
        <v/>
      </c>
      <c r="D260" t="str">
        <f>IF(ISNUMBER($K260),INDEX(Сборка!$E$2:$E$501,$K260),"")</f>
        <v/>
      </c>
      <c r="E260" t="str">
        <f>IF(ISNUMBER($K260),INDEX(Сборка!$G$2:$G$501,$K260),"")</f>
        <v/>
      </c>
      <c r="F260" s="6" t="str">
        <f>IF(ISNUMBER($K260),INDEX(Сборка!$J$2:$J$501,$K260),"")</f>
        <v/>
      </c>
      <c r="G260" s="6" t="str">
        <f>IF(ISNUMBER($K260),INDEX(Сборка!$K$2:$K$501,$K260),"")</f>
        <v/>
      </c>
      <c r="H260" s="6" t="str">
        <f t="shared" si="12"/>
        <v/>
      </c>
      <c r="I260" s="6" t="str">
        <f t="shared" si="13"/>
        <v/>
      </c>
      <c r="J260" s="6" t="str">
        <f t="shared" si="14"/>
        <v/>
      </c>
      <c r="K260" t="str">
        <f>IFERROR(MATCH(240,Сборка!$R$2:$R$501,0),"")</f>
        <v/>
      </c>
      <c r="L260" t="str">
        <f>IFERROR(IF(INDEX(Сборка!$Q$2:$Q$501,MATCH(240+1,Сборка!$R$2:$R$501,0))=1,INDEX(Сборка!$P$2:$P$501,MATCH(240+1,Сборка!$R$2:$R$501,0)),""),"")</f>
        <v/>
      </c>
      <c r="M260" t="str">
        <f t="shared" si="15"/>
        <v/>
      </c>
    </row>
    <row r="261" spans="1:13" hidden="1" x14ac:dyDescent="0.3">
      <c r="A261" t="str">
        <f>IF(ISNUMBER($K261),INDEX(Сборка!$O$2:$O$501,$K261),"")</f>
        <v/>
      </c>
      <c r="B261" t="str">
        <f>IF(ISNUMBER($K261),INDEX(Сборка!$C$2:$C$501,$K261),"")</f>
        <v/>
      </c>
      <c r="C261" s="5" t="str">
        <f>IF($L261&lt;&gt;"",INDEX(Сборка!$S$2:$S$501,MATCH($L261,Сборка!$P$2:$P$501,0)),IF(ISNUMBER($K261),INDEX(Сборка!$D$2:$D$501,$K261)&amp;IF(INDEX(Сборка!$I$2:$I$501,$K261)&lt;&gt;""," — "&amp;INDEX(Сборка!$I$2:$I$501,$K261),""),""))</f>
        <v/>
      </c>
      <c r="D261" t="str">
        <f>IF(ISNUMBER($K261),INDEX(Сборка!$E$2:$E$501,$K261),"")</f>
        <v/>
      </c>
      <c r="E261" t="str">
        <f>IF(ISNUMBER($K261),INDEX(Сборка!$G$2:$G$501,$K261),"")</f>
        <v/>
      </c>
      <c r="F261" s="6" t="str">
        <f>IF(ISNUMBER($K261),INDEX(Сборка!$J$2:$J$501,$K261),"")</f>
        <v/>
      </c>
      <c r="G261" s="6" t="str">
        <f>IF(ISNUMBER($K261),INDEX(Сборка!$K$2:$K$501,$K261),"")</f>
        <v/>
      </c>
      <c r="H261" s="6" t="str">
        <f t="shared" si="12"/>
        <v/>
      </c>
      <c r="I261" s="6" t="str">
        <f t="shared" si="13"/>
        <v/>
      </c>
      <c r="J261" s="6" t="str">
        <f t="shared" si="14"/>
        <v/>
      </c>
      <c r="K261" t="str">
        <f>IFERROR(MATCH(241,Сборка!$R$2:$R$501,0),"")</f>
        <v/>
      </c>
      <c r="L261" t="str">
        <f>IFERROR(IF(INDEX(Сборка!$Q$2:$Q$501,MATCH(241+1,Сборка!$R$2:$R$501,0))=1,INDEX(Сборка!$P$2:$P$501,MATCH(241+1,Сборка!$R$2:$R$501,0)),""),"")</f>
        <v/>
      </c>
      <c r="M261" t="str">
        <f t="shared" si="15"/>
        <v/>
      </c>
    </row>
    <row r="262" spans="1:13" hidden="1" x14ac:dyDescent="0.3">
      <c r="A262" t="str">
        <f>IF(ISNUMBER($K262),INDEX(Сборка!$O$2:$O$501,$K262),"")</f>
        <v/>
      </c>
      <c r="B262" t="str">
        <f>IF(ISNUMBER($K262),INDEX(Сборка!$C$2:$C$501,$K262),"")</f>
        <v/>
      </c>
      <c r="C262" s="5" t="str">
        <f>IF($L262&lt;&gt;"",INDEX(Сборка!$S$2:$S$501,MATCH($L262,Сборка!$P$2:$P$501,0)),IF(ISNUMBER($K262),INDEX(Сборка!$D$2:$D$501,$K262)&amp;IF(INDEX(Сборка!$I$2:$I$501,$K262)&lt;&gt;""," — "&amp;INDEX(Сборка!$I$2:$I$501,$K262),""),""))</f>
        <v/>
      </c>
      <c r="D262" t="str">
        <f>IF(ISNUMBER($K262),INDEX(Сборка!$E$2:$E$501,$K262),"")</f>
        <v/>
      </c>
      <c r="E262" t="str">
        <f>IF(ISNUMBER($K262),INDEX(Сборка!$G$2:$G$501,$K262),"")</f>
        <v/>
      </c>
      <c r="F262" s="6" t="str">
        <f>IF(ISNUMBER($K262),INDEX(Сборка!$J$2:$J$501,$K262),"")</f>
        <v/>
      </c>
      <c r="G262" s="6" t="str">
        <f>IF(ISNUMBER($K262),INDEX(Сборка!$K$2:$K$501,$K262),"")</f>
        <v/>
      </c>
      <c r="H262" s="6" t="str">
        <f t="shared" si="12"/>
        <v/>
      </c>
      <c r="I262" s="6" t="str">
        <f t="shared" si="13"/>
        <v/>
      </c>
      <c r="J262" s="6" t="str">
        <f t="shared" si="14"/>
        <v/>
      </c>
      <c r="K262" t="str">
        <f>IFERROR(MATCH(242,Сборка!$R$2:$R$501,0),"")</f>
        <v/>
      </c>
      <c r="L262" t="str">
        <f>IFERROR(IF(INDEX(Сборка!$Q$2:$Q$501,MATCH(242+1,Сборка!$R$2:$R$501,0))=1,INDEX(Сборка!$P$2:$P$501,MATCH(242+1,Сборка!$R$2:$R$501,0)),""),"")</f>
        <v/>
      </c>
      <c r="M262" t="str">
        <f t="shared" si="15"/>
        <v/>
      </c>
    </row>
    <row r="263" spans="1:13" hidden="1" x14ac:dyDescent="0.3">
      <c r="A263" t="str">
        <f>IF(ISNUMBER($K263),INDEX(Сборка!$O$2:$O$501,$K263),"")</f>
        <v/>
      </c>
      <c r="B263" t="str">
        <f>IF(ISNUMBER($K263),INDEX(Сборка!$C$2:$C$501,$K263),"")</f>
        <v/>
      </c>
      <c r="C263" s="5" t="str">
        <f>IF($L263&lt;&gt;"",INDEX(Сборка!$S$2:$S$501,MATCH($L263,Сборка!$P$2:$P$501,0)),IF(ISNUMBER($K263),INDEX(Сборка!$D$2:$D$501,$K263)&amp;IF(INDEX(Сборка!$I$2:$I$501,$K263)&lt;&gt;""," — "&amp;INDEX(Сборка!$I$2:$I$501,$K263),""),""))</f>
        <v/>
      </c>
      <c r="D263" t="str">
        <f>IF(ISNUMBER($K263),INDEX(Сборка!$E$2:$E$501,$K263),"")</f>
        <v/>
      </c>
      <c r="E263" t="str">
        <f>IF(ISNUMBER($K263),INDEX(Сборка!$G$2:$G$501,$K263),"")</f>
        <v/>
      </c>
      <c r="F263" s="6" t="str">
        <f>IF(ISNUMBER($K263),INDEX(Сборка!$J$2:$J$501,$K263),"")</f>
        <v/>
      </c>
      <c r="G263" s="6" t="str">
        <f>IF(ISNUMBER($K263),INDEX(Сборка!$K$2:$K$501,$K263),"")</f>
        <v/>
      </c>
      <c r="H263" s="6" t="str">
        <f t="shared" si="12"/>
        <v/>
      </c>
      <c r="I263" s="6" t="str">
        <f t="shared" si="13"/>
        <v/>
      </c>
      <c r="J263" s="6" t="str">
        <f t="shared" si="14"/>
        <v/>
      </c>
      <c r="K263" t="str">
        <f>IFERROR(MATCH(243,Сборка!$R$2:$R$501,0),"")</f>
        <v/>
      </c>
      <c r="L263" t="str">
        <f>IFERROR(IF(INDEX(Сборка!$Q$2:$Q$501,MATCH(243+1,Сборка!$R$2:$R$501,0))=1,INDEX(Сборка!$P$2:$P$501,MATCH(243+1,Сборка!$R$2:$R$501,0)),""),"")</f>
        <v/>
      </c>
      <c r="M263" t="str">
        <f t="shared" si="15"/>
        <v/>
      </c>
    </row>
    <row r="264" spans="1:13" hidden="1" x14ac:dyDescent="0.3">
      <c r="A264" t="str">
        <f>IF(ISNUMBER($K264),INDEX(Сборка!$O$2:$O$501,$K264),"")</f>
        <v/>
      </c>
      <c r="B264" t="str">
        <f>IF(ISNUMBER($K264),INDEX(Сборка!$C$2:$C$501,$K264),"")</f>
        <v/>
      </c>
      <c r="C264" s="5" t="str">
        <f>IF($L264&lt;&gt;"",INDEX(Сборка!$S$2:$S$501,MATCH($L264,Сборка!$P$2:$P$501,0)),IF(ISNUMBER($K264),INDEX(Сборка!$D$2:$D$501,$K264)&amp;IF(INDEX(Сборка!$I$2:$I$501,$K264)&lt;&gt;""," — "&amp;INDEX(Сборка!$I$2:$I$501,$K264),""),""))</f>
        <v/>
      </c>
      <c r="D264" t="str">
        <f>IF(ISNUMBER($K264),INDEX(Сборка!$E$2:$E$501,$K264),"")</f>
        <v/>
      </c>
      <c r="E264" t="str">
        <f>IF(ISNUMBER($K264),INDEX(Сборка!$G$2:$G$501,$K264),"")</f>
        <v/>
      </c>
      <c r="F264" s="6" t="str">
        <f>IF(ISNUMBER($K264),INDEX(Сборка!$J$2:$J$501,$K264),"")</f>
        <v/>
      </c>
      <c r="G264" s="6" t="str">
        <f>IF(ISNUMBER($K264),INDEX(Сборка!$K$2:$K$501,$K264),"")</f>
        <v/>
      </c>
      <c r="H264" s="6" t="str">
        <f t="shared" si="12"/>
        <v/>
      </c>
      <c r="I264" s="6" t="str">
        <f t="shared" si="13"/>
        <v/>
      </c>
      <c r="J264" s="6" t="str">
        <f t="shared" si="14"/>
        <v/>
      </c>
      <c r="K264" t="str">
        <f>IFERROR(MATCH(244,Сборка!$R$2:$R$501,0),"")</f>
        <v/>
      </c>
      <c r="L264" t="str">
        <f>IFERROR(IF(INDEX(Сборка!$Q$2:$Q$501,MATCH(244+1,Сборка!$R$2:$R$501,0))=1,INDEX(Сборка!$P$2:$P$501,MATCH(244+1,Сборка!$R$2:$R$501,0)),""),"")</f>
        <v/>
      </c>
      <c r="M264" t="str">
        <f t="shared" si="15"/>
        <v/>
      </c>
    </row>
    <row r="265" spans="1:13" hidden="1" x14ac:dyDescent="0.3">
      <c r="A265" t="str">
        <f>IF(ISNUMBER($K265),INDEX(Сборка!$O$2:$O$501,$K265),"")</f>
        <v/>
      </c>
      <c r="B265" t="str">
        <f>IF(ISNUMBER($K265),INDEX(Сборка!$C$2:$C$501,$K265),"")</f>
        <v/>
      </c>
      <c r="C265" s="5" t="str">
        <f>IF($L265&lt;&gt;"",INDEX(Сборка!$S$2:$S$501,MATCH($L265,Сборка!$P$2:$P$501,0)),IF(ISNUMBER($K265),INDEX(Сборка!$D$2:$D$501,$K265)&amp;IF(INDEX(Сборка!$I$2:$I$501,$K265)&lt;&gt;""," — "&amp;INDEX(Сборка!$I$2:$I$501,$K265),""),""))</f>
        <v/>
      </c>
      <c r="D265" t="str">
        <f>IF(ISNUMBER($K265),INDEX(Сборка!$E$2:$E$501,$K265),"")</f>
        <v/>
      </c>
      <c r="E265" t="str">
        <f>IF(ISNUMBER($K265),INDEX(Сборка!$G$2:$G$501,$K265),"")</f>
        <v/>
      </c>
      <c r="F265" s="6" t="str">
        <f>IF(ISNUMBER($K265),INDEX(Сборка!$J$2:$J$501,$K265),"")</f>
        <v/>
      </c>
      <c r="G265" s="6" t="str">
        <f>IF(ISNUMBER($K265),INDEX(Сборка!$K$2:$K$501,$K265),"")</f>
        <v/>
      </c>
      <c r="H265" s="6" t="str">
        <f t="shared" si="12"/>
        <v/>
      </c>
      <c r="I265" s="6" t="str">
        <f t="shared" si="13"/>
        <v/>
      </c>
      <c r="J265" s="6" t="str">
        <f t="shared" si="14"/>
        <v/>
      </c>
      <c r="K265" t="str">
        <f>IFERROR(MATCH(245,Сборка!$R$2:$R$501,0),"")</f>
        <v/>
      </c>
      <c r="L265" t="str">
        <f>IFERROR(IF(INDEX(Сборка!$Q$2:$Q$501,MATCH(245+1,Сборка!$R$2:$R$501,0))=1,INDEX(Сборка!$P$2:$P$501,MATCH(245+1,Сборка!$R$2:$R$501,0)),""),"")</f>
        <v/>
      </c>
      <c r="M265" t="str">
        <f t="shared" si="15"/>
        <v/>
      </c>
    </row>
    <row r="266" spans="1:13" hidden="1" x14ac:dyDescent="0.3">
      <c r="A266" t="str">
        <f>IF(ISNUMBER($K266),INDEX(Сборка!$O$2:$O$501,$K266),"")</f>
        <v/>
      </c>
      <c r="B266" t="str">
        <f>IF(ISNUMBER($K266),INDEX(Сборка!$C$2:$C$501,$K266),"")</f>
        <v/>
      </c>
      <c r="C266" s="5" t="str">
        <f>IF($L266&lt;&gt;"",INDEX(Сборка!$S$2:$S$501,MATCH($L266,Сборка!$P$2:$P$501,0)),IF(ISNUMBER($K266),INDEX(Сборка!$D$2:$D$501,$K266)&amp;IF(INDEX(Сборка!$I$2:$I$501,$K266)&lt;&gt;""," — "&amp;INDEX(Сборка!$I$2:$I$501,$K266),""),""))</f>
        <v/>
      </c>
      <c r="D266" t="str">
        <f>IF(ISNUMBER($K266),INDEX(Сборка!$E$2:$E$501,$K266),"")</f>
        <v/>
      </c>
      <c r="E266" t="str">
        <f>IF(ISNUMBER($K266),INDEX(Сборка!$G$2:$G$501,$K266),"")</f>
        <v/>
      </c>
      <c r="F266" s="6" t="str">
        <f>IF(ISNUMBER($K266),INDEX(Сборка!$J$2:$J$501,$K266),"")</f>
        <v/>
      </c>
      <c r="G266" s="6" t="str">
        <f>IF(ISNUMBER($K266),INDEX(Сборка!$K$2:$K$501,$K266),"")</f>
        <v/>
      </c>
      <c r="H266" s="6" t="str">
        <f t="shared" si="12"/>
        <v/>
      </c>
      <c r="I266" s="6" t="str">
        <f t="shared" si="13"/>
        <v/>
      </c>
      <c r="J266" s="6" t="str">
        <f t="shared" si="14"/>
        <v/>
      </c>
      <c r="K266" t="str">
        <f>IFERROR(MATCH(246,Сборка!$R$2:$R$501,0),"")</f>
        <v/>
      </c>
      <c r="L266" t="str">
        <f>IFERROR(IF(INDEX(Сборка!$Q$2:$Q$501,MATCH(246+1,Сборка!$R$2:$R$501,0))=1,INDEX(Сборка!$P$2:$P$501,MATCH(246+1,Сборка!$R$2:$R$501,0)),""),"")</f>
        <v/>
      </c>
      <c r="M266" t="str">
        <f t="shared" si="15"/>
        <v/>
      </c>
    </row>
    <row r="267" spans="1:13" hidden="1" x14ac:dyDescent="0.3">
      <c r="A267" t="str">
        <f>IF(ISNUMBER($K267),INDEX(Сборка!$O$2:$O$501,$K267),"")</f>
        <v/>
      </c>
      <c r="B267" t="str">
        <f>IF(ISNUMBER($K267),INDEX(Сборка!$C$2:$C$501,$K267),"")</f>
        <v/>
      </c>
      <c r="C267" s="5" t="str">
        <f>IF($L267&lt;&gt;"",INDEX(Сборка!$S$2:$S$501,MATCH($L267,Сборка!$P$2:$P$501,0)),IF(ISNUMBER($K267),INDEX(Сборка!$D$2:$D$501,$K267)&amp;IF(INDEX(Сборка!$I$2:$I$501,$K267)&lt;&gt;""," — "&amp;INDEX(Сборка!$I$2:$I$501,$K267),""),""))</f>
        <v/>
      </c>
      <c r="D267" t="str">
        <f>IF(ISNUMBER($K267),INDEX(Сборка!$E$2:$E$501,$K267),"")</f>
        <v/>
      </c>
      <c r="E267" t="str">
        <f>IF(ISNUMBER($K267),INDEX(Сборка!$G$2:$G$501,$K267),"")</f>
        <v/>
      </c>
      <c r="F267" s="6" t="str">
        <f>IF(ISNUMBER($K267),INDEX(Сборка!$J$2:$J$501,$K267),"")</f>
        <v/>
      </c>
      <c r="G267" s="6" t="str">
        <f>IF(ISNUMBER($K267),INDEX(Сборка!$K$2:$K$501,$K267),"")</f>
        <v/>
      </c>
      <c r="H267" s="6" t="str">
        <f t="shared" si="12"/>
        <v/>
      </c>
      <c r="I267" s="6" t="str">
        <f t="shared" si="13"/>
        <v/>
      </c>
      <c r="J267" s="6" t="str">
        <f t="shared" si="14"/>
        <v/>
      </c>
      <c r="K267" t="str">
        <f>IFERROR(MATCH(247,Сборка!$R$2:$R$501,0),"")</f>
        <v/>
      </c>
      <c r="L267" t="str">
        <f>IFERROR(IF(INDEX(Сборка!$Q$2:$Q$501,MATCH(247+1,Сборка!$R$2:$R$501,0))=1,INDEX(Сборка!$P$2:$P$501,MATCH(247+1,Сборка!$R$2:$R$501,0)),""),"")</f>
        <v/>
      </c>
      <c r="M267" t="str">
        <f t="shared" si="15"/>
        <v/>
      </c>
    </row>
    <row r="268" spans="1:13" hidden="1" x14ac:dyDescent="0.3">
      <c r="A268" t="str">
        <f>IF(ISNUMBER($K268),INDEX(Сборка!$O$2:$O$501,$K268),"")</f>
        <v/>
      </c>
      <c r="B268" t="str">
        <f>IF(ISNUMBER($K268),INDEX(Сборка!$C$2:$C$501,$K268),"")</f>
        <v/>
      </c>
      <c r="C268" s="5" t="str">
        <f>IF($L268&lt;&gt;"",INDEX(Сборка!$S$2:$S$501,MATCH($L268,Сборка!$P$2:$P$501,0)),IF(ISNUMBER($K268),INDEX(Сборка!$D$2:$D$501,$K268)&amp;IF(INDEX(Сборка!$I$2:$I$501,$K268)&lt;&gt;""," — "&amp;INDEX(Сборка!$I$2:$I$501,$K268),""),""))</f>
        <v/>
      </c>
      <c r="D268" t="str">
        <f>IF(ISNUMBER($K268),INDEX(Сборка!$E$2:$E$501,$K268),"")</f>
        <v/>
      </c>
      <c r="E268" t="str">
        <f>IF(ISNUMBER($K268),INDEX(Сборка!$G$2:$G$501,$K268),"")</f>
        <v/>
      </c>
      <c r="F268" s="6" t="str">
        <f>IF(ISNUMBER($K268),INDEX(Сборка!$J$2:$J$501,$K268),"")</f>
        <v/>
      </c>
      <c r="G268" s="6" t="str">
        <f>IF(ISNUMBER($K268),INDEX(Сборка!$K$2:$K$501,$K268),"")</f>
        <v/>
      </c>
      <c r="H268" s="6" t="str">
        <f t="shared" si="12"/>
        <v/>
      </c>
      <c r="I268" s="6" t="str">
        <f t="shared" si="13"/>
        <v/>
      </c>
      <c r="J268" s="6" t="str">
        <f t="shared" si="14"/>
        <v/>
      </c>
      <c r="K268" t="str">
        <f>IFERROR(MATCH(248,Сборка!$R$2:$R$501,0),"")</f>
        <v/>
      </c>
      <c r="L268" t="str">
        <f>IFERROR(IF(INDEX(Сборка!$Q$2:$Q$501,MATCH(248+1,Сборка!$R$2:$R$501,0))=1,INDEX(Сборка!$P$2:$P$501,MATCH(248+1,Сборка!$R$2:$R$501,0)),""),"")</f>
        <v/>
      </c>
      <c r="M268" t="str">
        <f t="shared" si="15"/>
        <v/>
      </c>
    </row>
    <row r="269" spans="1:13" hidden="1" x14ac:dyDescent="0.3">
      <c r="A269" t="str">
        <f>IF(ISNUMBER($K269),INDEX(Сборка!$O$2:$O$501,$K269),"")</f>
        <v/>
      </c>
      <c r="B269" t="str">
        <f>IF(ISNUMBER($K269),INDEX(Сборка!$C$2:$C$501,$K269),"")</f>
        <v/>
      </c>
      <c r="C269" s="5" t="str">
        <f>IF($L269&lt;&gt;"",INDEX(Сборка!$S$2:$S$501,MATCH($L269,Сборка!$P$2:$P$501,0)),IF(ISNUMBER($K269),INDEX(Сборка!$D$2:$D$501,$K269)&amp;IF(INDEX(Сборка!$I$2:$I$501,$K269)&lt;&gt;""," — "&amp;INDEX(Сборка!$I$2:$I$501,$K269),""),""))</f>
        <v/>
      </c>
      <c r="D269" t="str">
        <f>IF(ISNUMBER($K269),INDEX(Сборка!$E$2:$E$501,$K269),"")</f>
        <v/>
      </c>
      <c r="E269" t="str">
        <f>IF(ISNUMBER($K269),INDEX(Сборка!$G$2:$G$501,$K269),"")</f>
        <v/>
      </c>
      <c r="F269" s="6" t="str">
        <f>IF(ISNUMBER($K269),INDEX(Сборка!$J$2:$J$501,$K269),"")</f>
        <v/>
      </c>
      <c r="G269" s="6" t="str">
        <f>IF(ISNUMBER($K269),INDEX(Сборка!$K$2:$K$501,$K269),"")</f>
        <v/>
      </c>
      <c r="H269" s="6" t="str">
        <f t="shared" si="12"/>
        <v/>
      </c>
      <c r="I269" s="6" t="str">
        <f t="shared" si="13"/>
        <v/>
      </c>
      <c r="J269" s="6" t="str">
        <f t="shared" si="14"/>
        <v/>
      </c>
      <c r="K269" t="str">
        <f>IFERROR(MATCH(249,Сборка!$R$2:$R$501,0),"")</f>
        <v/>
      </c>
      <c r="L269" t="str">
        <f>IFERROR(IF(INDEX(Сборка!$Q$2:$Q$501,MATCH(249+1,Сборка!$R$2:$R$501,0))=1,INDEX(Сборка!$P$2:$P$501,MATCH(249+1,Сборка!$R$2:$R$501,0)),""),"")</f>
        <v/>
      </c>
      <c r="M269" t="str">
        <f t="shared" si="15"/>
        <v/>
      </c>
    </row>
    <row r="270" spans="1:13" hidden="1" x14ac:dyDescent="0.3">
      <c r="A270" t="str">
        <f>IF(ISNUMBER($K270),INDEX(Сборка!$O$2:$O$501,$K270),"")</f>
        <v/>
      </c>
      <c r="B270" t="str">
        <f>IF(ISNUMBER($K270),INDEX(Сборка!$C$2:$C$501,$K270),"")</f>
        <v/>
      </c>
      <c r="C270" s="5" t="str">
        <f>IF($L270&lt;&gt;"",INDEX(Сборка!$S$2:$S$501,MATCH($L270,Сборка!$P$2:$P$501,0)),IF(ISNUMBER($K270),INDEX(Сборка!$D$2:$D$501,$K270)&amp;IF(INDEX(Сборка!$I$2:$I$501,$K270)&lt;&gt;""," — "&amp;INDEX(Сборка!$I$2:$I$501,$K270),""),""))</f>
        <v/>
      </c>
      <c r="D270" t="str">
        <f>IF(ISNUMBER($K270),INDEX(Сборка!$E$2:$E$501,$K270),"")</f>
        <v/>
      </c>
      <c r="E270" t="str">
        <f>IF(ISNUMBER($K270),INDEX(Сборка!$G$2:$G$501,$K270),"")</f>
        <v/>
      </c>
      <c r="F270" s="6" t="str">
        <f>IF(ISNUMBER($K270),INDEX(Сборка!$J$2:$J$501,$K270),"")</f>
        <v/>
      </c>
      <c r="G270" s="6" t="str">
        <f>IF(ISNUMBER($K270),INDEX(Сборка!$K$2:$K$501,$K270),"")</f>
        <v/>
      </c>
      <c r="H270" s="6" t="str">
        <f t="shared" si="12"/>
        <v/>
      </c>
      <c r="I270" s="6" t="str">
        <f t="shared" si="13"/>
        <v/>
      </c>
      <c r="J270" s="6" t="str">
        <f t="shared" si="14"/>
        <v/>
      </c>
      <c r="K270" t="str">
        <f>IFERROR(MATCH(250,Сборка!$R$2:$R$501,0),"")</f>
        <v/>
      </c>
      <c r="L270" t="str">
        <f>IFERROR(IF(INDEX(Сборка!$Q$2:$Q$501,MATCH(250+1,Сборка!$R$2:$R$501,0))=1,INDEX(Сборка!$P$2:$P$501,MATCH(250+1,Сборка!$R$2:$R$501,0)),""),"")</f>
        <v/>
      </c>
      <c r="M270" t="str">
        <f t="shared" si="15"/>
        <v/>
      </c>
    </row>
    <row r="271" spans="1:13" hidden="1" x14ac:dyDescent="0.3">
      <c r="A271" t="str">
        <f>IF(ISNUMBER($K271),INDEX(Сборка!$O$2:$O$501,$K271),"")</f>
        <v/>
      </c>
      <c r="B271" t="str">
        <f>IF(ISNUMBER($K271),INDEX(Сборка!$C$2:$C$501,$K271),"")</f>
        <v/>
      </c>
      <c r="C271" s="5" t="str">
        <f>IF($L271&lt;&gt;"",INDEX(Сборка!$S$2:$S$501,MATCH($L271,Сборка!$P$2:$P$501,0)),IF(ISNUMBER($K271),INDEX(Сборка!$D$2:$D$501,$K271)&amp;IF(INDEX(Сборка!$I$2:$I$501,$K271)&lt;&gt;""," — "&amp;INDEX(Сборка!$I$2:$I$501,$K271),""),""))</f>
        <v/>
      </c>
      <c r="D271" t="str">
        <f>IF(ISNUMBER($K271),INDEX(Сборка!$E$2:$E$501,$K271),"")</f>
        <v/>
      </c>
      <c r="E271" t="str">
        <f>IF(ISNUMBER($K271),INDEX(Сборка!$G$2:$G$501,$K271),"")</f>
        <v/>
      </c>
      <c r="F271" s="6" t="str">
        <f>IF(ISNUMBER($K271),INDEX(Сборка!$J$2:$J$501,$K271),"")</f>
        <v/>
      </c>
      <c r="G271" s="6" t="str">
        <f>IF(ISNUMBER($K271),INDEX(Сборка!$K$2:$K$501,$K271),"")</f>
        <v/>
      </c>
      <c r="H271" s="6" t="str">
        <f t="shared" si="12"/>
        <v/>
      </c>
      <c r="I271" s="6" t="str">
        <f t="shared" si="13"/>
        <v/>
      </c>
      <c r="J271" s="6" t="str">
        <f t="shared" si="14"/>
        <v/>
      </c>
      <c r="K271" t="str">
        <f>IFERROR(MATCH(251,Сборка!$R$2:$R$501,0),"")</f>
        <v/>
      </c>
      <c r="L271" t="str">
        <f>IFERROR(IF(INDEX(Сборка!$Q$2:$Q$501,MATCH(251+1,Сборка!$R$2:$R$501,0))=1,INDEX(Сборка!$P$2:$P$501,MATCH(251+1,Сборка!$R$2:$R$501,0)),""),"")</f>
        <v/>
      </c>
      <c r="M271" t="str">
        <f t="shared" si="15"/>
        <v/>
      </c>
    </row>
    <row r="272" spans="1:13" hidden="1" x14ac:dyDescent="0.3">
      <c r="A272" t="str">
        <f>IF(ISNUMBER($K272),INDEX(Сборка!$O$2:$O$501,$K272),"")</f>
        <v/>
      </c>
      <c r="B272" t="str">
        <f>IF(ISNUMBER($K272),INDEX(Сборка!$C$2:$C$501,$K272),"")</f>
        <v/>
      </c>
      <c r="C272" s="5" t="str">
        <f>IF($L272&lt;&gt;"",INDEX(Сборка!$S$2:$S$501,MATCH($L272,Сборка!$P$2:$P$501,0)),IF(ISNUMBER($K272),INDEX(Сборка!$D$2:$D$501,$K272)&amp;IF(INDEX(Сборка!$I$2:$I$501,$K272)&lt;&gt;""," — "&amp;INDEX(Сборка!$I$2:$I$501,$K272),""),""))</f>
        <v/>
      </c>
      <c r="D272" t="str">
        <f>IF(ISNUMBER($K272),INDEX(Сборка!$E$2:$E$501,$K272),"")</f>
        <v/>
      </c>
      <c r="E272" t="str">
        <f>IF(ISNUMBER($K272),INDEX(Сборка!$G$2:$G$501,$K272),"")</f>
        <v/>
      </c>
      <c r="F272" s="6" t="str">
        <f>IF(ISNUMBER($K272),INDEX(Сборка!$J$2:$J$501,$K272),"")</f>
        <v/>
      </c>
      <c r="G272" s="6" t="str">
        <f>IF(ISNUMBER($K272),INDEX(Сборка!$K$2:$K$501,$K272),"")</f>
        <v/>
      </c>
      <c r="H272" s="6" t="str">
        <f t="shared" si="12"/>
        <v/>
      </c>
      <c r="I272" s="6" t="str">
        <f t="shared" si="13"/>
        <v/>
      </c>
      <c r="J272" s="6" t="str">
        <f t="shared" si="14"/>
        <v/>
      </c>
      <c r="K272" t="str">
        <f>IFERROR(MATCH(252,Сборка!$R$2:$R$501,0),"")</f>
        <v/>
      </c>
      <c r="L272" t="str">
        <f>IFERROR(IF(INDEX(Сборка!$Q$2:$Q$501,MATCH(252+1,Сборка!$R$2:$R$501,0))=1,INDEX(Сборка!$P$2:$P$501,MATCH(252+1,Сборка!$R$2:$R$501,0)),""),"")</f>
        <v/>
      </c>
      <c r="M272" t="str">
        <f t="shared" si="15"/>
        <v/>
      </c>
    </row>
    <row r="273" spans="1:13" hidden="1" x14ac:dyDescent="0.3">
      <c r="A273" t="str">
        <f>IF(ISNUMBER($K273),INDEX(Сборка!$O$2:$O$501,$K273),"")</f>
        <v/>
      </c>
      <c r="B273" t="str">
        <f>IF(ISNUMBER($K273),INDEX(Сборка!$C$2:$C$501,$K273),"")</f>
        <v/>
      </c>
      <c r="C273" s="5" t="str">
        <f>IF($L273&lt;&gt;"",INDEX(Сборка!$S$2:$S$501,MATCH($L273,Сборка!$P$2:$P$501,0)),IF(ISNUMBER($K273),INDEX(Сборка!$D$2:$D$501,$K273)&amp;IF(INDEX(Сборка!$I$2:$I$501,$K273)&lt;&gt;""," — "&amp;INDEX(Сборка!$I$2:$I$501,$K273),""),""))</f>
        <v/>
      </c>
      <c r="D273" t="str">
        <f>IF(ISNUMBER($K273),INDEX(Сборка!$E$2:$E$501,$K273),"")</f>
        <v/>
      </c>
      <c r="E273" t="str">
        <f>IF(ISNUMBER($K273),INDEX(Сборка!$G$2:$G$501,$K273),"")</f>
        <v/>
      </c>
      <c r="F273" s="6" t="str">
        <f>IF(ISNUMBER($K273),INDEX(Сборка!$J$2:$J$501,$K273),"")</f>
        <v/>
      </c>
      <c r="G273" s="6" t="str">
        <f>IF(ISNUMBER($K273),INDEX(Сборка!$K$2:$K$501,$K273),"")</f>
        <v/>
      </c>
      <c r="H273" s="6" t="str">
        <f t="shared" si="12"/>
        <v/>
      </c>
      <c r="I273" s="6" t="str">
        <f t="shared" si="13"/>
        <v/>
      </c>
      <c r="J273" s="6" t="str">
        <f t="shared" si="14"/>
        <v/>
      </c>
      <c r="K273" t="str">
        <f>IFERROR(MATCH(253,Сборка!$R$2:$R$501,0),"")</f>
        <v/>
      </c>
      <c r="L273" t="str">
        <f>IFERROR(IF(INDEX(Сборка!$Q$2:$Q$501,MATCH(253+1,Сборка!$R$2:$R$501,0))=1,INDEX(Сборка!$P$2:$P$501,MATCH(253+1,Сборка!$R$2:$R$501,0)),""),"")</f>
        <v/>
      </c>
      <c r="M273" t="str">
        <f t="shared" si="15"/>
        <v/>
      </c>
    </row>
    <row r="274" spans="1:13" hidden="1" x14ac:dyDescent="0.3">
      <c r="A274" t="str">
        <f>IF(ISNUMBER($K274),INDEX(Сборка!$O$2:$O$501,$K274),"")</f>
        <v/>
      </c>
      <c r="B274" t="str">
        <f>IF(ISNUMBER($K274),INDEX(Сборка!$C$2:$C$501,$K274),"")</f>
        <v/>
      </c>
      <c r="C274" s="5" t="str">
        <f>IF($L274&lt;&gt;"",INDEX(Сборка!$S$2:$S$501,MATCH($L274,Сборка!$P$2:$P$501,0)),IF(ISNUMBER($K274),INDEX(Сборка!$D$2:$D$501,$K274)&amp;IF(INDEX(Сборка!$I$2:$I$501,$K274)&lt;&gt;""," — "&amp;INDEX(Сборка!$I$2:$I$501,$K274),""),""))</f>
        <v/>
      </c>
      <c r="D274" t="str">
        <f>IF(ISNUMBER($K274),INDEX(Сборка!$E$2:$E$501,$K274),"")</f>
        <v/>
      </c>
      <c r="E274" t="str">
        <f>IF(ISNUMBER($K274),INDEX(Сборка!$G$2:$G$501,$K274),"")</f>
        <v/>
      </c>
      <c r="F274" s="6" t="str">
        <f>IF(ISNUMBER($K274),INDEX(Сборка!$J$2:$J$501,$K274),"")</f>
        <v/>
      </c>
      <c r="G274" s="6" t="str">
        <f>IF(ISNUMBER($K274),INDEX(Сборка!$K$2:$K$501,$K274),"")</f>
        <v/>
      </c>
      <c r="H274" s="6" t="str">
        <f t="shared" si="12"/>
        <v/>
      </c>
      <c r="I274" s="6" t="str">
        <f t="shared" si="13"/>
        <v/>
      </c>
      <c r="J274" s="6" t="str">
        <f t="shared" si="14"/>
        <v/>
      </c>
      <c r="K274" t="str">
        <f>IFERROR(MATCH(254,Сборка!$R$2:$R$501,0),"")</f>
        <v/>
      </c>
      <c r="L274" t="str">
        <f>IFERROR(IF(INDEX(Сборка!$Q$2:$Q$501,MATCH(254+1,Сборка!$R$2:$R$501,0))=1,INDEX(Сборка!$P$2:$P$501,MATCH(254+1,Сборка!$R$2:$R$501,0)),""),"")</f>
        <v/>
      </c>
      <c r="M274" t="str">
        <f t="shared" si="15"/>
        <v/>
      </c>
    </row>
    <row r="275" spans="1:13" hidden="1" x14ac:dyDescent="0.3">
      <c r="A275" t="str">
        <f>IF(ISNUMBER($K275),INDEX(Сборка!$O$2:$O$501,$K275),"")</f>
        <v/>
      </c>
      <c r="B275" t="str">
        <f>IF(ISNUMBER($K275),INDEX(Сборка!$C$2:$C$501,$K275),"")</f>
        <v/>
      </c>
      <c r="C275" s="5" t="str">
        <f>IF($L275&lt;&gt;"",INDEX(Сборка!$S$2:$S$501,MATCH($L275,Сборка!$P$2:$P$501,0)),IF(ISNUMBER($K275),INDEX(Сборка!$D$2:$D$501,$K275)&amp;IF(INDEX(Сборка!$I$2:$I$501,$K275)&lt;&gt;""," — "&amp;INDEX(Сборка!$I$2:$I$501,$K275),""),""))</f>
        <v/>
      </c>
      <c r="D275" t="str">
        <f>IF(ISNUMBER($K275),INDEX(Сборка!$E$2:$E$501,$K275),"")</f>
        <v/>
      </c>
      <c r="E275" t="str">
        <f>IF(ISNUMBER($K275),INDEX(Сборка!$G$2:$G$501,$K275),"")</f>
        <v/>
      </c>
      <c r="F275" s="6" t="str">
        <f>IF(ISNUMBER($K275),INDEX(Сборка!$J$2:$J$501,$K275),"")</f>
        <v/>
      </c>
      <c r="G275" s="6" t="str">
        <f>IF(ISNUMBER($K275),INDEX(Сборка!$K$2:$K$501,$K275),"")</f>
        <v/>
      </c>
      <c r="H275" s="6" t="str">
        <f t="shared" si="12"/>
        <v/>
      </c>
      <c r="I275" s="6" t="str">
        <f t="shared" si="13"/>
        <v/>
      </c>
      <c r="J275" s="6" t="str">
        <f t="shared" si="14"/>
        <v/>
      </c>
      <c r="K275" t="str">
        <f>IFERROR(MATCH(255,Сборка!$R$2:$R$501,0),"")</f>
        <v/>
      </c>
      <c r="L275" t="str">
        <f>IFERROR(IF(INDEX(Сборка!$Q$2:$Q$501,MATCH(255+1,Сборка!$R$2:$R$501,0))=1,INDEX(Сборка!$P$2:$P$501,MATCH(255+1,Сборка!$R$2:$R$501,0)),""),"")</f>
        <v/>
      </c>
      <c r="M275" t="str">
        <f t="shared" si="15"/>
        <v/>
      </c>
    </row>
    <row r="276" spans="1:13" hidden="1" x14ac:dyDescent="0.3">
      <c r="A276" t="str">
        <f>IF(ISNUMBER($K276),INDEX(Сборка!$O$2:$O$501,$K276),"")</f>
        <v/>
      </c>
      <c r="B276" t="str">
        <f>IF(ISNUMBER($K276),INDEX(Сборка!$C$2:$C$501,$K276),"")</f>
        <v/>
      </c>
      <c r="C276" s="5" t="str">
        <f>IF($L276&lt;&gt;"",INDEX(Сборка!$S$2:$S$501,MATCH($L276,Сборка!$P$2:$P$501,0)),IF(ISNUMBER($K276),INDEX(Сборка!$D$2:$D$501,$K276)&amp;IF(INDEX(Сборка!$I$2:$I$501,$K276)&lt;&gt;""," — "&amp;INDEX(Сборка!$I$2:$I$501,$K276),""),""))</f>
        <v/>
      </c>
      <c r="D276" t="str">
        <f>IF(ISNUMBER($K276),INDEX(Сборка!$E$2:$E$501,$K276),"")</f>
        <v/>
      </c>
      <c r="E276" t="str">
        <f>IF(ISNUMBER($K276),INDEX(Сборка!$G$2:$G$501,$K276),"")</f>
        <v/>
      </c>
      <c r="F276" s="6" t="str">
        <f>IF(ISNUMBER($K276),INDEX(Сборка!$J$2:$J$501,$K276),"")</f>
        <v/>
      </c>
      <c r="G276" s="6" t="str">
        <f>IF(ISNUMBER($K276),INDEX(Сборка!$K$2:$K$501,$K276),"")</f>
        <v/>
      </c>
      <c r="H276" s="6" t="str">
        <f t="shared" si="12"/>
        <v/>
      </c>
      <c r="I276" s="6" t="str">
        <f t="shared" si="13"/>
        <v/>
      </c>
      <c r="J276" s="6" t="str">
        <f t="shared" si="14"/>
        <v/>
      </c>
      <c r="K276" t="str">
        <f>IFERROR(MATCH(256,Сборка!$R$2:$R$501,0),"")</f>
        <v/>
      </c>
      <c r="L276" t="str">
        <f>IFERROR(IF(INDEX(Сборка!$Q$2:$Q$501,MATCH(256+1,Сборка!$R$2:$R$501,0))=1,INDEX(Сборка!$P$2:$P$501,MATCH(256+1,Сборка!$R$2:$R$501,0)),""),"")</f>
        <v/>
      </c>
      <c r="M276" t="str">
        <f t="shared" si="15"/>
        <v/>
      </c>
    </row>
    <row r="277" spans="1:13" hidden="1" x14ac:dyDescent="0.3">
      <c r="A277" t="str">
        <f>IF(ISNUMBER($K277),INDEX(Сборка!$O$2:$O$501,$K277),"")</f>
        <v/>
      </c>
      <c r="B277" t="str">
        <f>IF(ISNUMBER($K277),INDEX(Сборка!$C$2:$C$501,$K277),"")</f>
        <v/>
      </c>
      <c r="C277" s="5" t="str">
        <f>IF($L277&lt;&gt;"",INDEX(Сборка!$S$2:$S$501,MATCH($L277,Сборка!$P$2:$P$501,0)),IF(ISNUMBER($K277),INDEX(Сборка!$D$2:$D$501,$K277)&amp;IF(INDEX(Сборка!$I$2:$I$501,$K277)&lt;&gt;""," — "&amp;INDEX(Сборка!$I$2:$I$501,$K277),""),""))</f>
        <v/>
      </c>
      <c r="D277" t="str">
        <f>IF(ISNUMBER($K277),INDEX(Сборка!$E$2:$E$501,$K277),"")</f>
        <v/>
      </c>
      <c r="E277" t="str">
        <f>IF(ISNUMBER($K277),INDEX(Сборка!$G$2:$G$501,$K277),"")</f>
        <v/>
      </c>
      <c r="F277" s="6" t="str">
        <f>IF(ISNUMBER($K277),INDEX(Сборка!$J$2:$J$501,$K277),"")</f>
        <v/>
      </c>
      <c r="G277" s="6" t="str">
        <f>IF(ISNUMBER($K277),INDEX(Сборка!$K$2:$K$501,$K277),"")</f>
        <v/>
      </c>
      <c r="H277" s="6" t="str">
        <f t="shared" ref="H277:H340" si="16">IF(ISNUMBER($K277),ROUND($E277*$F277,2),"")</f>
        <v/>
      </c>
      <c r="I277" s="6" t="str">
        <f t="shared" ref="I277:I340" si="17">IF(ISNUMBER($K277),ROUND($E277*$G277,2),"")</f>
        <v/>
      </c>
      <c r="J277" s="6" t="str">
        <f t="shared" ref="J277:J340" si="18">IF(ISNUMBER($K277),$H277+$I277,"")</f>
        <v/>
      </c>
      <c r="K277" t="str">
        <f>IFERROR(MATCH(257,Сборка!$R$2:$R$501,0),"")</f>
        <v/>
      </c>
      <c r="L277" t="str">
        <f>IFERROR(IF(INDEX(Сборка!$Q$2:$Q$501,MATCH(257+1,Сборка!$R$2:$R$501,0))=1,INDEX(Сборка!$P$2:$P$501,MATCH(257+1,Сборка!$R$2:$R$501,0)),""),"")</f>
        <v/>
      </c>
      <c r="M277" t="str">
        <f t="shared" ref="M277:M340" si="19">IF(OR(ISNUMBER($K277),$L277&lt;&gt;""),"показать","")</f>
        <v/>
      </c>
    </row>
    <row r="278" spans="1:13" hidden="1" x14ac:dyDescent="0.3">
      <c r="A278" t="str">
        <f>IF(ISNUMBER($K278),INDEX(Сборка!$O$2:$O$501,$K278),"")</f>
        <v/>
      </c>
      <c r="B278" t="str">
        <f>IF(ISNUMBER($K278),INDEX(Сборка!$C$2:$C$501,$K278),"")</f>
        <v/>
      </c>
      <c r="C278" s="5" t="str">
        <f>IF($L278&lt;&gt;"",INDEX(Сборка!$S$2:$S$501,MATCH($L278,Сборка!$P$2:$P$501,0)),IF(ISNUMBER($K278),INDEX(Сборка!$D$2:$D$501,$K278)&amp;IF(INDEX(Сборка!$I$2:$I$501,$K278)&lt;&gt;""," — "&amp;INDEX(Сборка!$I$2:$I$501,$K278),""),""))</f>
        <v/>
      </c>
      <c r="D278" t="str">
        <f>IF(ISNUMBER($K278),INDEX(Сборка!$E$2:$E$501,$K278),"")</f>
        <v/>
      </c>
      <c r="E278" t="str">
        <f>IF(ISNUMBER($K278),INDEX(Сборка!$G$2:$G$501,$K278),"")</f>
        <v/>
      </c>
      <c r="F278" s="6" t="str">
        <f>IF(ISNUMBER($K278),INDEX(Сборка!$J$2:$J$501,$K278),"")</f>
        <v/>
      </c>
      <c r="G278" s="6" t="str">
        <f>IF(ISNUMBER($K278),INDEX(Сборка!$K$2:$K$501,$K278),"")</f>
        <v/>
      </c>
      <c r="H278" s="6" t="str">
        <f t="shared" si="16"/>
        <v/>
      </c>
      <c r="I278" s="6" t="str">
        <f t="shared" si="17"/>
        <v/>
      </c>
      <c r="J278" s="6" t="str">
        <f t="shared" si="18"/>
        <v/>
      </c>
      <c r="K278" t="str">
        <f>IFERROR(MATCH(258,Сборка!$R$2:$R$501,0),"")</f>
        <v/>
      </c>
      <c r="L278" t="str">
        <f>IFERROR(IF(INDEX(Сборка!$Q$2:$Q$501,MATCH(258+1,Сборка!$R$2:$R$501,0))=1,INDEX(Сборка!$P$2:$P$501,MATCH(258+1,Сборка!$R$2:$R$501,0)),""),"")</f>
        <v/>
      </c>
      <c r="M278" t="str">
        <f t="shared" si="19"/>
        <v/>
      </c>
    </row>
    <row r="279" spans="1:13" hidden="1" x14ac:dyDescent="0.3">
      <c r="A279" t="str">
        <f>IF(ISNUMBER($K279),INDEX(Сборка!$O$2:$O$501,$K279),"")</f>
        <v/>
      </c>
      <c r="B279" t="str">
        <f>IF(ISNUMBER($K279),INDEX(Сборка!$C$2:$C$501,$K279),"")</f>
        <v/>
      </c>
      <c r="C279" s="5" t="str">
        <f>IF($L279&lt;&gt;"",INDEX(Сборка!$S$2:$S$501,MATCH($L279,Сборка!$P$2:$P$501,0)),IF(ISNUMBER($K279),INDEX(Сборка!$D$2:$D$501,$K279)&amp;IF(INDEX(Сборка!$I$2:$I$501,$K279)&lt;&gt;""," — "&amp;INDEX(Сборка!$I$2:$I$501,$K279),""),""))</f>
        <v/>
      </c>
      <c r="D279" t="str">
        <f>IF(ISNUMBER($K279),INDEX(Сборка!$E$2:$E$501,$K279),"")</f>
        <v/>
      </c>
      <c r="E279" t="str">
        <f>IF(ISNUMBER($K279),INDEX(Сборка!$G$2:$G$501,$K279),"")</f>
        <v/>
      </c>
      <c r="F279" s="6" t="str">
        <f>IF(ISNUMBER($K279),INDEX(Сборка!$J$2:$J$501,$K279),"")</f>
        <v/>
      </c>
      <c r="G279" s="6" t="str">
        <f>IF(ISNUMBER($K279),INDEX(Сборка!$K$2:$K$501,$K279),"")</f>
        <v/>
      </c>
      <c r="H279" s="6" t="str">
        <f t="shared" si="16"/>
        <v/>
      </c>
      <c r="I279" s="6" t="str">
        <f t="shared" si="17"/>
        <v/>
      </c>
      <c r="J279" s="6" t="str">
        <f t="shared" si="18"/>
        <v/>
      </c>
      <c r="K279" t="str">
        <f>IFERROR(MATCH(259,Сборка!$R$2:$R$501,0),"")</f>
        <v/>
      </c>
      <c r="L279" t="str">
        <f>IFERROR(IF(INDEX(Сборка!$Q$2:$Q$501,MATCH(259+1,Сборка!$R$2:$R$501,0))=1,INDEX(Сборка!$P$2:$P$501,MATCH(259+1,Сборка!$R$2:$R$501,0)),""),"")</f>
        <v/>
      </c>
      <c r="M279" t="str">
        <f t="shared" si="19"/>
        <v/>
      </c>
    </row>
    <row r="280" spans="1:13" hidden="1" x14ac:dyDescent="0.3">
      <c r="A280" t="str">
        <f>IF(ISNUMBER($K280),INDEX(Сборка!$O$2:$O$501,$K280),"")</f>
        <v/>
      </c>
      <c r="B280" t="str">
        <f>IF(ISNUMBER($K280),INDEX(Сборка!$C$2:$C$501,$K280),"")</f>
        <v/>
      </c>
      <c r="C280" s="5" t="str">
        <f>IF($L280&lt;&gt;"",INDEX(Сборка!$S$2:$S$501,MATCH($L280,Сборка!$P$2:$P$501,0)),IF(ISNUMBER($K280),INDEX(Сборка!$D$2:$D$501,$K280)&amp;IF(INDEX(Сборка!$I$2:$I$501,$K280)&lt;&gt;""," — "&amp;INDEX(Сборка!$I$2:$I$501,$K280),""),""))</f>
        <v/>
      </c>
      <c r="D280" t="str">
        <f>IF(ISNUMBER($K280),INDEX(Сборка!$E$2:$E$501,$K280),"")</f>
        <v/>
      </c>
      <c r="E280" t="str">
        <f>IF(ISNUMBER($K280),INDEX(Сборка!$G$2:$G$501,$K280),"")</f>
        <v/>
      </c>
      <c r="F280" s="6" t="str">
        <f>IF(ISNUMBER($K280),INDEX(Сборка!$J$2:$J$501,$K280),"")</f>
        <v/>
      </c>
      <c r="G280" s="6" t="str">
        <f>IF(ISNUMBER($K280),INDEX(Сборка!$K$2:$K$501,$K280),"")</f>
        <v/>
      </c>
      <c r="H280" s="6" t="str">
        <f t="shared" si="16"/>
        <v/>
      </c>
      <c r="I280" s="6" t="str">
        <f t="shared" si="17"/>
        <v/>
      </c>
      <c r="J280" s="6" t="str">
        <f t="shared" si="18"/>
        <v/>
      </c>
      <c r="K280" t="str">
        <f>IFERROR(MATCH(260,Сборка!$R$2:$R$501,0),"")</f>
        <v/>
      </c>
      <c r="L280" t="str">
        <f>IFERROR(IF(INDEX(Сборка!$Q$2:$Q$501,MATCH(260+1,Сборка!$R$2:$R$501,0))=1,INDEX(Сборка!$P$2:$P$501,MATCH(260+1,Сборка!$R$2:$R$501,0)),""),"")</f>
        <v/>
      </c>
      <c r="M280" t="str">
        <f t="shared" si="19"/>
        <v/>
      </c>
    </row>
    <row r="281" spans="1:13" hidden="1" x14ac:dyDescent="0.3">
      <c r="A281" t="str">
        <f>IF(ISNUMBER($K281),INDEX(Сборка!$O$2:$O$501,$K281),"")</f>
        <v/>
      </c>
      <c r="B281" t="str">
        <f>IF(ISNUMBER($K281),INDEX(Сборка!$C$2:$C$501,$K281),"")</f>
        <v/>
      </c>
      <c r="C281" s="5" t="str">
        <f>IF($L281&lt;&gt;"",INDEX(Сборка!$S$2:$S$501,MATCH($L281,Сборка!$P$2:$P$501,0)),IF(ISNUMBER($K281),INDEX(Сборка!$D$2:$D$501,$K281)&amp;IF(INDEX(Сборка!$I$2:$I$501,$K281)&lt;&gt;""," — "&amp;INDEX(Сборка!$I$2:$I$501,$K281),""),""))</f>
        <v/>
      </c>
      <c r="D281" t="str">
        <f>IF(ISNUMBER($K281),INDEX(Сборка!$E$2:$E$501,$K281),"")</f>
        <v/>
      </c>
      <c r="E281" t="str">
        <f>IF(ISNUMBER($K281),INDEX(Сборка!$G$2:$G$501,$K281),"")</f>
        <v/>
      </c>
      <c r="F281" s="6" t="str">
        <f>IF(ISNUMBER($K281),INDEX(Сборка!$J$2:$J$501,$K281),"")</f>
        <v/>
      </c>
      <c r="G281" s="6" t="str">
        <f>IF(ISNUMBER($K281),INDEX(Сборка!$K$2:$K$501,$K281),"")</f>
        <v/>
      </c>
      <c r="H281" s="6" t="str">
        <f t="shared" si="16"/>
        <v/>
      </c>
      <c r="I281" s="6" t="str">
        <f t="shared" si="17"/>
        <v/>
      </c>
      <c r="J281" s="6" t="str">
        <f t="shared" si="18"/>
        <v/>
      </c>
      <c r="K281" t="str">
        <f>IFERROR(MATCH(261,Сборка!$R$2:$R$501,0),"")</f>
        <v/>
      </c>
      <c r="L281" t="str">
        <f>IFERROR(IF(INDEX(Сборка!$Q$2:$Q$501,MATCH(261+1,Сборка!$R$2:$R$501,0))=1,INDEX(Сборка!$P$2:$P$501,MATCH(261+1,Сборка!$R$2:$R$501,0)),""),"")</f>
        <v/>
      </c>
      <c r="M281" t="str">
        <f t="shared" si="19"/>
        <v/>
      </c>
    </row>
    <row r="282" spans="1:13" hidden="1" x14ac:dyDescent="0.3">
      <c r="A282" t="str">
        <f>IF(ISNUMBER($K282),INDEX(Сборка!$O$2:$O$501,$K282),"")</f>
        <v/>
      </c>
      <c r="B282" t="str">
        <f>IF(ISNUMBER($K282),INDEX(Сборка!$C$2:$C$501,$K282),"")</f>
        <v/>
      </c>
      <c r="C282" s="5" t="str">
        <f>IF($L282&lt;&gt;"",INDEX(Сборка!$S$2:$S$501,MATCH($L282,Сборка!$P$2:$P$501,0)),IF(ISNUMBER($K282),INDEX(Сборка!$D$2:$D$501,$K282)&amp;IF(INDEX(Сборка!$I$2:$I$501,$K282)&lt;&gt;""," — "&amp;INDEX(Сборка!$I$2:$I$501,$K282),""),""))</f>
        <v/>
      </c>
      <c r="D282" t="str">
        <f>IF(ISNUMBER($K282),INDEX(Сборка!$E$2:$E$501,$K282),"")</f>
        <v/>
      </c>
      <c r="E282" t="str">
        <f>IF(ISNUMBER($K282),INDEX(Сборка!$G$2:$G$501,$K282),"")</f>
        <v/>
      </c>
      <c r="F282" s="6" t="str">
        <f>IF(ISNUMBER($K282),INDEX(Сборка!$J$2:$J$501,$K282),"")</f>
        <v/>
      </c>
      <c r="G282" s="6" t="str">
        <f>IF(ISNUMBER($K282),INDEX(Сборка!$K$2:$K$501,$K282),"")</f>
        <v/>
      </c>
      <c r="H282" s="6" t="str">
        <f t="shared" si="16"/>
        <v/>
      </c>
      <c r="I282" s="6" t="str">
        <f t="shared" si="17"/>
        <v/>
      </c>
      <c r="J282" s="6" t="str">
        <f t="shared" si="18"/>
        <v/>
      </c>
      <c r="K282" t="str">
        <f>IFERROR(MATCH(262,Сборка!$R$2:$R$501,0),"")</f>
        <v/>
      </c>
      <c r="L282" t="str">
        <f>IFERROR(IF(INDEX(Сборка!$Q$2:$Q$501,MATCH(262+1,Сборка!$R$2:$R$501,0))=1,INDEX(Сборка!$P$2:$P$501,MATCH(262+1,Сборка!$R$2:$R$501,0)),""),"")</f>
        <v/>
      </c>
      <c r="M282" t="str">
        <f t="shared" si="19"/>
        <v/>
      </c>
    </row>
    <row r="283" spans="1:13" hidden="1" x14ac:dyDescent="0.3">
      <c r="A283" t="str">
        <f>IF(ISNUMBER($K283),INDEX(Сборка!$O$2:$O$501,$K283),"")</f>
        <v/>
      </c>
      <c r="B283" t="str">
        <f>IF(ISNUMBER($K283),INDEX(Сборка!$C$2:$C$501,$K283),"")</f>
        <v/>
      </c>
      <c r="C283" s="5" t="str">
        <f>IF($L283&lt;&gt;"",INDEX(Сборка!$S$2:$S$501,MATCH($L283,Сборка!$P$2:$P$501,0)),IF(ISNUMBER($K283),INDEX(Сборка!$D$2:$D$501,$K283)&amp;IF(INDEX(Сборка!$I$2:$I$501,$K283)&lt;&gt;""," — "&amp;INDEX(Сборка!$I$2:$I$501,$K283),""),""))</f>
        <v/>
      </c>
      <c r="D283" t="str">
        <f>IF(ISNUMBER($K283),INDEX(Сборка!$E$2:$E$501,$K283),"")</f>
        <v/>
      </c>
      <c r="E283" t="str">
        <f>IF(ISNUMBER($K283),INDEX(Сборка!$G$2:$G$501,$K283),"")</f>
        <v/>
      </c>
      <c r="F283" s="6" t="str">
        <f>IF(ISNUMBER($K283),INDEX(Сборка!$J$2:$J$501,$K283),"")</f>
        <v/>
      </c>
      <c r="G283" s="6" t="str">
        <f>IF(ISNUMBER($K283),INDEX(Сборка!$K$2:$K$501,$K283),"")</f>
        <v/>
      </c>
      <c r="H283" s="6" t="str">
        <f t="shared" si="16"/>
        <v/>
      </c>
      <c r="I283" s="6" t="str">
        <f t="shared" si="17"/>
        <v/>
      </c>
      <c r="J283" s="6" t="str">
        <f t="shared" si="18"/>
        <v/>
      </c>
      <c r="K283" t="str">
        <f>IFERROR(MATCH(263,Сборка!$R$2:$R$501,0),"")</f>
        <v/>
      </c>
      <c r="L283" t="str">
        <f>IFERROR(IF(INDEX(Сборка!$Q$2:$Q$501,MATCH(263+1,Сборка!$R$2:$R$501,0))=1,INDEX(Сборка!$P$2:$P$501,MATCH(263+1,Сборка!$R$2:$R$501,0)),""),"")</f>
        <v/>
      </c>
      <c r="M283" t="str">
        <f t="shared" si="19"/>
        <v/>
      </c>
    </row>
    <row r="284" spans="1:13" hidden="1" x14ac:dyDescent="0.3">
      <c r="A284" t="str">
        <f>IF(ISNUMBER($K284),INDEX(Сборка!$O$2:$O$501,$K284),"")</f>
        <v/>
      </c>
      <c r="B284" t="str">
        <f>IF(ISNUMBER($K284),INDEX(Сборка!$C$2:$C$501,$K284),"")</f>
        <v/>
      </c>
      <c r="C284" s="5" t="str">
        <f>IF($L284&lt;&gt;"",INDEX(Сборка!$S$2:$S$501,MATCH($L284,Сборка!$P$2:$P$501,0)),IF(ISNUMBER($K284),INDEX(Сборка!$D$2:$D$501,$K284)&amp;IF(INDEX(Сборка!$I$2:$I$501,$K284)&lt;&gt;""," — "&amp;INDEX(Сборка!$I$2:$I$501,$K284),""),""))</f>
        <v/>
      </c>
      <c r="D284" t="str">
        <f>IF(ISNUMBER($K284),INDEX(Сборка!$E$2:$E$501,$K284),"")</f>
        <v/>
      </c>
      <c r="E284" t="str">
        <f>IF(ISNUMBER($K284),INDEX(Сборка!$G$2:$G$501,$K284),"")</f>
        <v/>
      </c>
      <c r="F284" s="6" t="str">
        <f>IF(ISNUMBER($K284),INDEX(Сборка!$J$2:$J$501,$K284),"")</f>
        <v/>
      </c>
      <c r="G284" s="6" t="str">
        <f>IF(ISNUMBER($K284),INDEX(Сборка!$K$2:$K$501,$K284),"")</f>
        <v/>
      </c>
      <c r="H284" s="6" t="str">
        <f t="shared" si="16"/>
        <v/>
      </c>
      <c r="I284" s="6" t="str">
        <f t="shared" si="17"/>
        <v/>
      </c>
      <c r="J284" s="6" t="str">
        <f t="shared" si="18"/>
        <v/>
      </c>
      <c r="K284" t="str">
        <f>IFERROR(MATCH(264,Сборка!$R$2:$R$501,0),"")</f>
        <v/>
      </c>
      <c r="L284" t="str">
        <f>IFERROR(IF(INDEX(Сборка!$Q$2:$Q$501,MATCH(264+1,Сборка!$R$2:$R$501,0))=1,INDEX(Сборка!$P$2:$P$501,MATCH(264+1,Сборка!$R$2:$R$501,0)),""),"")</f>
        <v/>
      </c>
      <c r="M284" t="str">
        <f t="shared" si="19"/>
        <v/>
      </c>
    </row>
    <row r="285" spans="1:13" hidden="1" x14ac:dyDescent="0.3">
      <c r="A285" t="str">
        <f>IF(ISNUMBER($K285),INDEX(Сборка!$O$2:$O$501,$K285),"")</f>
        <v/>
      </c>
      <c r="B285" t="str">
        <f>IF(ISNUMBER($K285),INDEX(Сборка!$C$2:$C$501,$K285),"")</f>
        <v/>
      </c>
      <c r="C285" s="5" t="str">
        <f>IF($L285&lt;&gt;"",INDEX(Сборка!$S$2:$S$501,MATCH($L285,Сборка!$P$2:$P$501,0)),IF(ISNUMBER($K285),INDEX(Сборка!$D$2:$D$501,$K285)&amp;IF(INDEX(Сборка!$I$2:$I$501,$K285)&lt;&gt;""," — "&amp;INDEX(Сборка!$I$2:$I$501,$K285),""),""))</f>
        <v/>
      </c>
      <c r="D285" t="str">
        <f>IF(ISNUMBER($K285),INDEX(Сборка!$E$2:$E$501,$K285),"")</f>
        <v/>
      </c>
      <c r="E285" t="str">
        <f>IF(ISNUMBER($K285),INDEX(Сборка!$G$2:$G$501,$K285),"")</f>
        <v/>
      </c>
      <c r="F285" s="6" t="str">
        <f>IF(ISNUMBER($K285),INDEX(Сборка!$J$2:$J$501,$K285),"")</f>
        <v/>
      </c>
      <c r="G285" s="6" t="str">
        <f>IF(ISNUMBER($K285),INDEX(Сборка!$K$2:$K$501,$K285),"")</f>
        <v/>
      </c>
      <c r="H285" s="6" t="str">
        <f t="shared" si="16"/>
        <v/>
      </c>
      <c r="I285" s="6" t="str">
        <f t="shared" si="17"/>
        <v/>
      </c>
      <c r="J285" s="6" t="str">
        <f t="shared" si="18"/>
        <v/>
      </c>
      <c r="K285" t="str">
        <f>IFERROR(MATCH(265,Сборка!$R$2:$R$501,0),"")</f>
        <v/>
      </c>
      <c r="L285" t="str">
        <f>IFERROR(IF(INDEX(Сборка!$Q$2:$Q$501,MATCH(265+1,Сборка!$R$2:$R$501,0))=1,INDEX(Сборка!$P$2:$P$501,MATCH(265+1,Сборка!$R$2:$R$501,0)),""),"")</f>
        <v/>
      </c>
      <c r="M285" t="str">
        <f t="shared" si="19"/>
        <v/>
      </c>
    </row>
    <row r="286" spans="1:13" hidden="1" x14ac:dyDescent="0.3">
      <c r="A286" t="str">
        <f>IF(ISNUMBER($K286),INDEX(Сборка!$O$2:$O$501,$K286),"")</f>
        <v/>
      </c>
      <c r="B286" t="str">
        <f>IF(ISNUMBER($K286),INDEX(Сборка!$C$2:$C$501,$K286),"")</f>
        <v/>
      </c>
      <c r="C286" s="5" t="str">
        <f>IF($L286&lt;&gt;"",INDEX(Сборка!$S$2:$S$501,MATCH($L286,Сборка!$P$2:$P$501,0)),IF(ISNUMBER($K286),INDEX(Сборка!$D$2:$D$501,$K286)&amp;IF(INDEX(Сборка!$I$2:$I$501,$K286)&lt;&gt;""," — "&amp;INDEX(Сборка!$I$2:$I$501,$K286),""),""))</f>
        <v/>
      </c>
      <c r="D286" t="str">
        <f>IF(ISNUMBER($K286),INDEX(Сборка!$E$2:$E$501,$K286),"")</f>
        <v/>
      </c>
      <c r="E286" t="str">
        <f>IF(ISNUMBER($K286),INDEX(Сборка!$G$2:$G$501,$K286),"")</f>
        <v/>
      </c>
      <c r="F286" s="6" t="str">
        <f>IF(ISNUMBER($K286),INDEX(Сборка!$J$2:$J$501,$K286),"")</f>
        <v/>
      </c>
      <c r="G286" s="6" t="str">
        <f>IF(ISNUMBER($K286),INDEX(Сборка!$K$2:$K$501,$K286),"")</f>
        <v/>
      </c>
      <c r="H286" s="6" t="str">
        <f t="shared" si="16"/>
        <v/>
      </c>
      <c r="I286" s="6" t="str">
        <f t="shared" si="17"/>
        <v/>
      </c>
      <c r="J286" s="6" t="str">
        <f t="shared" si="18"/>
        <v/>
      </c>
      <c r="K286" t="str">
        <f>IFERROR(MATCH(266,Сборка!$R$2:$R$501,0),"")</f>
        <v/>
      </c>
      <c r="L286" t="str">
        <f>IFERROR(IF(INDEX(Сборка!$Q$2:$Q$501,MATCH(266+1,Сборка!$R$2:$R$501,0))=1,INDEX(Сборка!$P$2:$P$501,MATCH(266+1,Сборка!$R$2:$R$501,0)),""),"")</f>
        <v/>
      </c>
      <c r="M286" t="str">
        <f t="shared" si="19"/>
        <v/>
      </c>
    </row>
    <row r="287" spans="1:13" hidden="1" x14ac:dyDescent="0.3">
      <c r="A287" t="str">
        <f>IF(ISNUMBER($K287),INDEX(Сборка!$O$2:$O$501,$K287),"")</f>
        <v/>
      </c>
      <c r="B287" t="str">
        <f>IF(ISNUMBER($K287),INDEX(Сборка!$C$2:$C$501,$K287),"")</f>
        <v/>
      </c>
      <c r="C287" s="5" t="str">
        <f>IF($L287&lt;&gt;"",INDEX(Сборка!$S$2:$S$501,MATCH($L287,Сборка!$P$2:$P$501,0)),IF(ISNUMBER($K287),INDEX(Сборка!$D$2:$D$501,$K287)&amp;IF(INDEX(Сборка!$I$2:$I$501,$K287)&lt;&gt;""," — "&amp;INDEX(Сборка!$I$2:$I$501,$K287),""),""))</f>
        <v/>
      </c>
      <c r="D287" t="str">
        <f>IF(ISNUMBER($K287),INDEX(Сборка!$E$2:$E$501,$K287),"")</f>
        <v/>
      </c>
      <c r="E287" t="str">
        <f>IF(ISNUMBER($K287),INDEX(Сборка!$G$2:$G$501,$K287),"")</f>
        <v/>
      </c>
      <c r="F287" s="6" t="str">
        <f>IF(ISNUMBER($K287),INDEX(Сборка!$J$2:$J$501,$K287),"")</f>
        <v/>
      </c>
      <c r="G287" s="6" t="str">
        <f>IF(ISNUMBER($K287),INDEX(Сборка!$K$2:$K$501,$K287),"")</f>
        <v/>
      </c>
      <c r="H287" s="6" t="str">
        <f t="shared" si="16"/>
        <v/>
      </c>
      <c r="I287" s="6" t="str">
        <f t="shared" si="17"/>
        <v/>
      </c>
      <c r="J287" s="6" t="str">
        <f t="shared" si="18"/>
        <v/>
      </c>
      <c r="K287" t="str">
        <f>IFERROR(MATCH(267,Сборка!$R$2:$R$501,0),"")</f>
        <v/>
      </c>
      <c r="L287" t="str">
        <f>IFERROR(IF(INDEX(Сборка!$Q$2:$Q$501,MATCH(267+1,Сборка!$R$2:$R$501,0))=1,INDEX(Сборка!$P$2:$P$501,MATCH(267+1,Сборка!$R$2:$R$501,0)),""),"")</f>
        <v/>
      </c>
      <c r="M287" t="str">
        <f t="shared" si="19"/>
        <v/>
      </c>
    </row>
    <row r="288" spans="1:13" hidden="1" x14ac:dyDescent="0.3">
      <c r="A288" t="str">
        <f>IF(ISNUMBER($K288),INDEX(Сборка!$O$2:$O$501,$K288),"")</f>
        <v/>
      </c>
      <c r="B288" t="str">
        <f>IF(ISNUMBER($K288),INDEX(Сборка!$C$2:$C$501,$K288),"")</f>
        <v/>
      </c>
      <c r="C288" s="5" t="str">
        <f>IF($L288&lt;&gt;"",INDEX(Сборка!$S$2:$S$501,MATCH($L288,Сборка!$P$2:$P$501,0)),IF(ISNUMBER($K288),INDEX(Сборка!$D$2:$D$501,$K288)&amp;IF(INDEX(Сборка!$I$2:$I$501,$K288)&lt;&gt;""," — "&amp;INDEX(Сборка!$I$2:$I$501,$K288),""),""))</f>
        <v/>
      </c>
      <c r="D288" t="str">
        <f>IF(ISNUMBER($K288),INDEX(Сборка!$E$2:$E$501,$K288),"")</f>
        <v/>
      </c>
      <c r="E288" t="str">
        <f>IF(ISNUMBER($K288),INDEX(Сборка!$G$2:$G$501,$K288),"")</f>
        <v/>
      </c>
      <c r="F288" s="6" t="str">
        <f>IF(ISNUMBER($K288),INDEX(Сборка!$J$2:$J$501,$K288),"")</f>
        <v/>
      </c>
      <c r="G288" s="6" t="str">
        <f>IF(ISNUMBER($K288),INDEX(Сборка!$K$2:$K$501,$K288),"")</f>
        <v/>
      </c>
      <c r="H288" s="6" t="str">
        <f t="shared" si="16"/>
        <v/>
      </c>
      <c r="I288" s="6" t="str">
        <f t="shared" si="17"/>
        <v/>
      </c>
      <c r="J288" s="6" t="str">
        <f t="shared" si="18"/>
        <v/>
      </c>
      <c r="K288" t="str">
        <f>IFERROR(MATCH(268,Сборка!$R$2:$R$501,0),"")</f>
        <v/>
      </c>
      <c r="L288" t="str">
        <f>IFERROR(IF(INDEX(Сборка!$Q$2:$Q$501,MATCH(268+1,Сборка!$R$2:$R$501,0))=1,INDEX(Сборка!$P$2:$P$501,MATCH(268+1,Сборка!$R$2:$R$501,0)),""),"")</f>
        <v/>
      </c>
      <c r="M288" t="str">
        <f t="shared" si="19"/>
        <v/>
      </c>
    </row>
    <row r="289" spans="1:13" hidden="1" x14ac:dyDescent="0.3">
      <c r="A289" t="str">
        <f>IF(ISNUMBER($K289),INDEX(Сборка!$O$2:$O$501,$K289),"")</f>
        <v/>
      </c>
      <c r="B289" t="str">
        <f>IF(ISNUMBER($K289),INDEX(Сборка!$C$2:$C$501,$K289),"")</f>
        <v/>
      </c>
      <c r="C289" s="5" t="str">
        <f>IF($L289&lt;&gt;"",INDEX(Сборка!$S$2:$S$501,MATCH($L289,Сборка!$P$2:$P$501,0)),IF(ISNUMBER($K289),INDEX(Сборка!$D$2:$D$501,$K289)&amp;IF(INDEX(Сборка!$I$2:$I$501,$K289)&lt;&gt;""," — "&amp;INDEX(Сборка!$I$2:$I$501,$K289),""),""))</f>
        <v/>
      </c>
      <c r="D289" t="str">
        <f>IF(ISNUMBER($K289),INDEX(Сборка!$E$2:$E$501,$K289),"")</f>
        <v/>
      </c>
      <c r="E289" t="str">
        <f>IF(ISNUMBER($K289),INDEX(Сборка!$G$2:$G$501,$K289),"")</f>
        <v/>
      </c>
      <c r="F289" s="6" t="str">
        <f>IF(ISNUMBER($K289),INDEX(Сборка!$J$2:$J$501,$K289),"")</f>
        <v/>
      </c>
      <c r="G289" s="6" t="str">
        <f>IF(ISNUMBER($K289),INDEX(Сборка!$K$2:$K$501,$K289),"")</f>
        <v/>
      </c>
      <c r="H289" s="6" t="str">
        <f t="shared" si="16"/>
        <v/>
      </c>
      <c r="I289" s="6" t="str">
        <f t="shared" si="17"/>
        <v/>
      </c>
      <c r="J289" s="6" t="str">
        <f t="shared" si="18"/>
        <v/>
      </c>
      <c r="K289" t="str">
        <f>IFERROR(MATCH(269,Сборка!$R$2:$R$501,0),"")</f>
        <v/>
      </c>
      <c r="L289" t="str">
        <f>IFERROR(IF(INDEX(Сборка!$Q$2:$Q$501,MATCH(269+1,Сборка!$R$2:$R$501,0))=1,INDEX(Сборка!$P$2:$P$501,MATCH(269+1,Сборка!$R$2:$R$501,0)),""),"")</f>
        <v/>
      </c>
      <c r="M289" t="str">
        <f t="shared" si="19"/>
        <v/>
      </c>
    </row>
    <row r="290" spans="1:13" hidden="1" x14ac:dyDescent="0.3">
      <c r="A290" t="str">
        <f>IF(ISNUMBER($K290),INDEX(Сборка!$O$2:$O$501,$K290),"")</f>
        <v/>
      </c>
      <c r="B290" t="str">
        <f>IF(ISNUMBER($K290),INDEX(Сборка!$C$2:$C$501,$K290),"")</f>
        <v/>
      </c>
      <c r="C290" s="5" t="str">
        <f>IF($L290&lt;&gt;"",INDEX(Сборка!$S$2:$S$501,MATCH($L290,Сборка!$P$2:$P$501,0)),IF(ISNUMBER($K290),INDEX(Сборка!$D$2:$D$501,$K290)&amp;IF(INDEX(Сборка!$I$2:$I$501,$K290)&lt;&gt;""," — "&amp;INDEX(Сборка!$I$2:$I$501,$K290),""),""))</f>
        <v/>
      </c>
      <c r="D290" t="str">
        <f>IF(ISNUMBER($K290),INDEX(Сборка!$E$2:$E$501,$K290),"")</f>
        <v/>
      </c>
      <c r="E290" t="str">
        <f>IF(ISNUMBER($K290),INDEX(Сборка!$G$2:$G$501,$K290),"")</f>
        <v/>
      </c>
      <c r="F290" s="6" t="str">
        <f>IF(ISNUMBER($K290),INDEX(Сборка!$J$2:$J$501,$K290),"")</f>
        <v/>
      </c>
      <c r="G290" s="6" t="str">
        <f>IF(ISNUMBER($K290),INDEX(Сборка!$K$2:$K$501,$K290),"")</f>
        <v/>
      </c>
      <c r="H290" s="6" t="str">
        <f t="shared" si="16"/>
        <v/>
      </c>
      <c r="I290" s="6" t="str">
        <f t="shared" si="17"/>
        <v/>
      </c>
      <c r="J290" s="6" t="str">
        <f t="shared" si="18"/>
        <v/>
      </c>
      <c r="K290" t="str">
        <f>IFERROR(MATCH(270,Сборка!$R$2:$R$501,0),"")</f>
        <v/>
      </c>
      <c r="L290" t="str">
        <f>IFERROR(IF(INDEX(Сборка!$Q$2:$Q$501,MATCH(270+1,Сборка!$R$2:$R$501,0))=1,INDEX(Сборка!$P$2:$P$501,MATCH(270+1,Сборка!$R$2:$R$501,0)),""),"")</f>
        <v/>
      </c>
      <c r="M290" t="str">
        <f t="shared" si="19"/>
        <v/>
      </c>
    </row>
    <row r="291" spans="1:13" hidden="1" x14ac:dyDescent="0.3">
      <c r="A291" t="str">
        <f>IF(ISNUMBER($K291),INDEX(Сборка!$O$2:$O$501,$K291),"")</f>
        <v/>
      </c>
      <c r="B291" t="str">
        <f>IF(ISNUMBER($K291),INDEX(Сборка!$C$2:$C$501,$K291),"")</f>
        <v/>
      </c>
      <c r="C291" s="5" t="str">
        <f>IF($L291&lt;&gt;"",INDEX(Сборка!$S$2:$S$501,MATCH($L291,Сборка!$P$2:$P$501,0)),IF(ISNUMBER($K291),INDEX(Сборка!$D$2:$D$501,$K291)&amp;IF(INDEX(Сборка!$I$2:$I$501,$K291)&lt;&gt;""," — "&amp;INDEX(Сборка!$I$2:$I$501,$K291),""),""))</f>
        <v/>
      </c>
      <c r="D291" t="str">
        <f>IF(ISNUMBER($K291),INDEX(Сборка!$E$2:$E$501,$K291),"")</f>
        <v/>
      </c>
      <c r="E291" t="str">
        <f>IF(ISNUMBER($K291),INDEX(Сборка!$G$2:$G$501,$K291),"")</f>
        <v/>
      </c>
      <c r="F291" s="6" t="str">
        <f>IF(ISNUMBER($K291),INDEX(Сборка!$J$2:$J$501,$K291),"")</f>
        <v/>
      </c>
      <c r="G291" s="6" t="str">
        <f>IF(ISNUMBER($K291),INDEX(Сборка!$K$2:$K$501,$K291),"")</f>
        <v/>
      </c>
      <c r="H291" s="6" t="str">
        <f t="shared" si="16"/>
        <v/>
      </c>
      <c r="I291" s="6" t="str">
        <f t="shared" si="17"/>
        <v/>
      </c>
      <c r="J291" s="6" t="str">
        <f t="shared" si="18"/>
        <v/>
      </c>
      <c r="K291" t="str">
        <f>IFERROR(MATCH(271,Сборка!$R$2:$R$501,0),"")</f>
        <v/>
      </c>
      <c r="L291" t="str">
        <f>IFERROR(IF(INDEX(Сборка!$Q$2:$Q$501,MATCH(271+1,Сборка!$R$2:$R$501,0))=1,INDEX(Сборка!$P$2:$P$501,MATCH(271+1,Сборка!$R$2:$R$501,0)),""),"")</f>
        <v/>
      </c>
      <c r="M291" t="str">
        <f t="shared" si="19"/>
        <v/>
      </c>
    </row>
    <row r="292" spans="1:13" hidden="1" x14ac:dyDescent="0.3">
      <c r="A292" t="str">
        <f>IF(ISNUMBER($K292),INDEX(Сборка!$O$2:$O$501,$K292),"")</f>
        <v/>
      </c>
      <c r="B292" t="str">
        <f>IF(ISNUMBER($K292),INDEX(Сборка!$C$2:$C$501,$K292),"")</f>
        <v/>
      </c>
      <c r="C292" s="5" t="str">
        <f>IF($L292&lt;&gt;"",INDEX(Сборка!$S$2:$S$501,MATCH($L292,Сборка!$P$2:$P$501,0)),IF(ISNUMBER($K292),INDEX(Сборка!$D$2:$D$501,$K292)&amp;IF(INDEX(Сборка!$I$2:$I$501,$K292)&lt;&gt;""," — "&amp;INDEX(Сборка!$I$2:$I$501,$K292),""),""))</f>
        <v/>
      </c>
      <c r="D292" t="str">
        <f>IF(ISNUMBER($K292),INDEX(Сборка!$E$2:$E$501,$K292),"")</f>
        <v/>
      </c>
      <c r="E292" t="str">
        <f>IF(ISNUMBER($K292),INDEX(Сборка!$G$2:$G$501,$K292),"")</f>
        <v/>
      </c>
      <c r="F292" s="6" t="str">
        <f>IF(ISNUMBER($K292),INDEX(Сборка!$J$2:$J$501,$K292),"")</f>
        <v/>
      </c>
      <c r="G292" s="6" t="str">
        <f>IF(ISNUMBER($K292),INDEX(Сборка!$K$2:$K$501,$K292),"")</f>
        <v/>
      </c>
      <c r="H292" s="6" t="str">
        <f t="shared" si="16"/>
        <v/>
      </c>
      <c r="I292" s="6" t="str">
        <f t="shared" si="17"/>
        <v/>
      </c>
      <c r="J292" s="6" t="str">
        <f t="shared" si="18"/>
        <v/>
      </c>
      <c r="K292" t="str">
        <f>IFERROR(MATCH(272,Сборка!$R$2:$R$501,0),"")</f>
        <v/>
      </c>
      <c r="L292" t="str">
        <f>IFERROR(IF(INDEX(Сборка!$Q$2:$Q$501,MATCH(272+1,Сборка!$R$2:$R$501,0))=1,INDEX(Сборка!$P$2:$P$501,MATCH(272+1,Сборка!$R$2:$R$501,0)),""),"")</f>
        <v/>
      </c>
      <c r="M292" t="str">
        <f t="shared" si="19"/>
        <v/>
      </c>
    </row>
    <row r="293" spans="1:13" hidden="1" x14ac:dyDescent="0.3">
      <c r="A293" t="str">
        <f>IF(ISNUMBER($K293),INDEX(Сборка!$O$2:$O$501,$K293),"")</f>
        <v/>
      </c>
      <c r="B293" t="str">
        <f>IF(ISNUMBER($K293),INDEX(Сборка!$C$2:$C$501,$K293),"")</f>
        <v/>
      </c>
      <c r="C293" s="5" t="str">
        <f>IF($L293&lt;&gt;"",INDEX(Сборка!$S$2:$S$501,MATCH($L293,Сборка!$P$2:$P$501,0)),IF(ISNUMBER($K293),INDEX(Сборка!$D$2:$D$501,$K293)&amp;IF(INDEX(Сборка!$I$2:$I$501,$K293)&lt;&gt;""," — "&amp;INDEX(Сборка!$I$2:$I$501,$K293),""),""))</f>
        <v/>
      </c>
      <c r="D293" t="str">
        <f>IF(ISNUMBER($K293),INDEX(Сборка!$E$2:$E$501,$K293),"")</f>
        <v/>
      </c>
      <c r="E293" t="str">
        <f>IF(ISNUMBER($K293),INDEX(Сборка!$G$2:$G$501,$K293),"")</f>
        <v/>
      </c>
      <c r="F293" s="6" t="str">
        <f>IF(ISNUMBER($K293),INDEX(Сборка!$J$2:$J$501,$K293),"")</f>
        <v/>
      </c>
      <c r="G293" s="6" t="str">
        <f>IF(ISNUMBER($K293),INDEX(Сборка!$K$2:$K$501,$K293),"")</f>
        <v/>
      </c>
      <c r="H293" s="6" t="str">
        <f t="shared" si="16"/>
        <v/>
      </c>
      <c r="I293" s="6" t="str">
        <f t="shared" si="17"/>
        <v/>
      </c>
      <c r="J293" s="6" t="str">
        <f t="shared" si="18"/>
        <v/>
      </c>
      <c r="K293" t="str">
        <f>IFERROR(MATCH(273,Сборка!$R$2:$R$501,0),"")</f>
        <v/>
      </c>
      <c r="L293" t="str">
        <f>IFERROR(IF(INDEX(Сборка!$Q$2:$Q$501,MATCH(273+1,Сборка!$R$2:$R$501,0))=1,INDEX(Сборка!$P$2:$P$501,MATCH(273+1,Сборка!$R$2:$R$501,0)),""),"")</f>
        <v/>
      </c>
      <c r="M293" t="str">
        <f t="shared" si="19"/>
        <v/>
      </c>
    </row>
    <row r="294" spans="1:13" hidden="1" x14ac:dyDescent="0.3">
      <c r="A294" t="str">
        <f>IF(ISNUMBER($K294),INDEX(Сборка!$O$2:$O$501,$K294),"")</f>
        <v/>
      </c>
      <c r="B294" t="str">
        <f>IF(ISNUMBER($K294),INDEX(Сборка!$C$2:$C$501,$K294),"")</f>
        <v/>
      </c>
      <c r="C294" s="5" t="str">
        <f>IF($L294&lt;&gt;"",INDEX(Сборка!$S$2:$S$501,MATCH($L294,Сборка!$P$2:$P$501,0)),IF(ISNUMBER($K294),INDEX(Сборка!$D$2:$D$501,$K294)&amp;IF(INDEX(Сборка!$I$2:$I$501,$K294)&lt;&gt;""," — "&amp;INDEX(Сборка!$I$2:$I$501,$K294),""),""))</f>
        <v/>
      </c>
      <c r="D294" t="str">
        <f>IF(ISNUMBER($K294),INDEX(Сборка!$E$2:$E$501,$K294),"")</f>
        <v/>
      </c>
      <c r="E294" t="str">
        <f>IF(ISNUMBER($K294),INDEX(Сборка!$G$2:$G$501,$K294),"")</f>
        <v/>
      </c>
      <c r="F294" s="6" t="str">
        <f>IF(ISNUMBER($K294),INDEX(Сборка!$J$2:$J$501,$K294),"")</f>
        <v/>
      </c>
      <c r="G294" s="6" t="str">
        <f>IF(ISNUMBER($K294),INDEX(Сборка!$K$2:$K$501,$K294),"")</f>
        <v/>
      </c>
      <c r="H294" s="6" t="str">
        <f t="shared" si="16"/>
        <v/>
      </c>
      <c r="I294" s="6" t="str">
        <f t="shared" si="17"/>
        <v/>
      </c>
      <c r="J294" s="6" t="str">
        <f t="shared" si="18"/>
        <v/>
      </c>
      <c r="K294" t="str">
        <f>IFERROR(MATCH(274,Сборка!$R$2:$R$501,0),"")</f>
        <v/>
      </c>
      <c r="L294" t="str">
        <f>IFERROR(IF(INDEX(Сборка!$Q$2:$Q$501,MATCH(274+1,Сборка!$R$2:$R$501,0))=1,INDEX(Сборка!$P$2:$P$501,MATCH(274+1,Сборка!$R$2:$R$501,0)),""),"")</f>
        <v/>
      </c>
      <c r="M294" t="str">
        <f t="shared" si="19"/>
        <v/>
      </c>
    </row>
    <row r="295" spans="1:13" hidden="1" x14ac:dyDescent="0.3">
      <c r="A295" t="str">
        <f>IF(ISNUMBER($K295),INDEX(Сборка!$O$2:$O$501,$K295),"")</f>
        <v/>
      </c>
      <c r="B295" t="str">
        <f>IF(ISNUMBER($K295),INDEX(Сборка!$C$2:$C$501,$K295),"")</f>
        <v/>
      </c>
      <c r="C295" s="5" t="str">
        <f>IF($L295&lt;&gt;"",INDEX(Сборка!$S$2:$S$501,MATCH($L295,Сборка!$P$2:$P$501,0)),IF(ISNUMBER($K295),INDEX(Сборка!$D$2:$D$501,$K295)&amp;IF(INDEX(Сборка!$I$2:$I$501,$K295)&lt;&gt;""," — "&amp;INDEX(Сборка!$I$2:$I$501,$K295),""),""))</f>
        <v/>
      </c>
      <c r="D295" t="str">
        <f>IF(ISNUMBER($K295),INDEX(Сборка!$E$2:$E$501,$K295),"")</f>
        <v/>
      </c>
      <c r="E295" t="str">
        <f>IF(ISNUMBER($K295),INDEX(Сборка!$G$2:$G$501,$K295),"")</f>
        <v/>
      </c>
      <c r="F295" s="6" t="str">
        <f>IF(ISNUMBER($K295),INDEX(Сборка!$J$2:$J$501,$K295),"")</f>
        <v/>
      </c>
      <c r="G295" s="6" t="str">
        <f>IF(ISNUMBER($K295),INDEX(Сборка!$K$2:$K$501,$K295),"")</f>
        <v/>
      </c>
      <c r="H295" s="6" t="str">
        <f t="shared" si="16"/>
        <v/>
      </c>
      <c r="I295" s="6" t="str">
        <f t="shared" si="17"/>
        <v/>
      </c>
      <c r="J295" s="6" t="str">
        <f t="shared" si="18"/>
        <v/>
      </c>
      <c r="K295" t="str">
        <f>IFERROR(MATCH(275,Сборка!$R$2:$R$501,0),"")</f>
        <v/>
      </c>
      <c r="L295" t="str">
        <f>IFERROR(IF(INDEX(Сборка!$Q$2:$Q$501,MATCH(275+1,Сборка!$R$2:$R$501,0))=1,INDEX(Сборка!$P$2:$P$501,MATCH(275+1,Сборка!$R$2:$R$501,0)),""),"")</f>
        <v/>
      </c>
      <c r="M295" t="str">
        <f t="shared" si="19"/>
        <v/>
      </c>
    </row>
    <row r="296" spans="1:13" hidden="1" x14ac:dyDescent="0.3">
      <c r="A296" t="str">
        <f>IF(ISNUMBER($K296),INDEX(Сборка!$O$2:$O$501,$K296),"")</f>
        <v/>
      </c>
      <c r="B296" t="str">
        <f>IF(ISNUMBER($K296),INDEX(Сборка!$C$2:$C$501,$K296),"")</f>
        <v/>
      </c>
      <c r="C296" s="5" t="str">
        <f>IF($L296&lt;&gt;"",INDEX(Сборка!$S$2:$S$501,MATCH($L296,Сборка!$P$2:$P$501,0)),IF(ISNUMBER($K296),INDEX(Сборка!$D$2:$D$501,$K296)&amp;IF(INDEX(Сборка!$I$2:$I$501,$K296)&lt;&gt;""," — "&amp;INDEX(Сборка!$I$2:$I$501,$K296),""),""))</f>
        <v/>
      </c>
      <c r="D296" t="str">
        <f>IF(ISNUMBER($K296),INDEX(Сборка!$E$2:$E$501,$K296),"")</f>
        <v/>
      </c>
      <c r="E296" t="str">
        <f>IF(ISNUMBER($K296),INDEX(Сборка!$G$2:$G$501,$K296),"")</f>
        <v/>
      </c>
      <c r="F296" s="6" t="str">
        <f>IF(ISNUMBER($K296),INDEX(Сборка!$J$2:$J$501,$K296),"")</f>
        <v/>
      </c>
      <c r="G296" s="6" t="str">
        <f>IF(ISNUMBER($K296),INDEX(Сборка!$K$2:$K$501,$K296),"")</f>
        <v/>
      </c>
      <c r="H296" s="6" t="str">
        <f t="shared" si="16"/>
        <v/>
      </c>
      <c r="I296" s="6" t="str">
        <f t="shared" si="17"/>
        <v/>
      </c>
      <c r="J296" s="6" t="str">
        <f t="shared" si="18"/>
        <v/>
      </c>
      <c r="K296" t="str">
        <f>IFERROR(MATCH(276,Сборка!$R$2:$R$501,0),"")</f>
        <v/>
      </c>
      <c r="L296" t="str">
        <f>IFERROR(IF(INDEX(Сборка!$Q$2:$Q$501,MATCH(276+1,Сборка!$R$2:$R$501,0))=1,INDEX(Сборка!$P$2:$P$501,MATCH(276+1,Сборка!$R$2:$R$501,0)),""),"")</f>
        <v/>
      </c>
      <c r="M296" t="str">
        <f t="shared" si="19"/>
        <v/>
      </c>
    </row>
    <row r="297" spans="1:13" hidden="1" x14ac:dyDescent="0.3">
      <c r="A297" t="str">
        <f>IF(ISNUMBER($K297),INDEX(Сборка!$O$2:$O$501,$K297),"")</f>
        <v/>
      </c>
      <c r="B297" t="str">
        <f>IF(ISNUMBER($K297),INDEX(Сборка!$C$2:$C$501,$K297),"")</f>
        <v/>
      </c>
      <c r="C297" s="5" t="str">
        <f>IF($L297&lt;&gt;"",INDEX(Сборка!$S$2:$S$501,MATCH($L297,Сборка!$P$2:$P$501,0)),IF(ISNUMBER($K297),INDEX(Сборка!$D$2:$D$501,$K297)&amp;IF(INDEX(Сборка!$I$2:$I$501,$K297)&lt;&gt;""," — "&amp;INDEX(Сборка!$I$2:$I$501,$K297),""),""))</f>
        <v/>
      </c>
      <c r="D297" t="str">
        <f>IF(ISNUMBER($K297),INDEX(Сборка!$E$2:$E$501,$K297),"")</f>
        <v/>
      </c>
      <c r="E297" t="str">
        <f>IF(ISNUMBER($K297),INDEX(Сборка!$G$2:$G$501,$K297),"")</f>
        <v/>
      </c>
      <c r="F297" s="6" t="str">
        <f>IF(ISNUMBER($K297),INDEX(Сборка!$J$2:$J$501,$K297),"")</f>
        <v/>
      </c>
      <c r="G297" s="6" t="str">
        <f>IF(ISNUMBER($K297),INDEX(Сборка!$K$2:$K$501,$K297),"")</f>
        <v/>
      </c>
      <c r="H297" s="6" t="str">
        <f t="shared" si="16"/>
        <v/>
      </c>
      <c r="I297" s="6" t="str">
        <f t="shared" si="17"/>
        <v/>
      </c>
      <c r="J297" s="6" t="str">
        <f t="shared" si="18"/>
        <v/>
      </c>
      <c r="K297" t="str">
        <f>IFERROR(MATCH(277,Сборка!$R$2:$R$501,0),"")</f>
        <v/>
      </c>
      <c r="L297" t="str">
        <f>IFERROR(IF(INDEX(Сборка!$Q$2:$Q$501,MATCH(277+1,Сборка!$R$2:$R$501,0))=1,INDEX(Сборка!$P$2:$P$501,MATCH(277+1,Сборка!$R$2:$R$501,0)),""),"")</f>
        <v/>
      </c>
      <c r="M297" t="str">
        <f t="shared" si="19"/>
        <v/>
      </c>
    </row>
    <row r="298" spans="1:13" hidden="1" x14ac:dyDescent="0.3">
      <c r="A298" t="str">
        <f>IF(ISNUMBER($K298),INDEX(Сборка!$O$2:$O$501,$K298),"")</f>
        <v/>
      </c>
      <c r="B298" t="str">
        <f>IF(ISNUMBER($K298),INDEX(Сборка!$C$2:$C$501,$K298),"")</f>
        <v/>
      </c>
      <c r="C298" s="5" t="str">
        <f>IF($L298&lt;&gt;"",INDEX(Сборка!$S$2:$S$501,MATCH($L298,Сборка!$P$2:$P$501,0)),IF(ISNUMBER($K298),INDEX(Сборка!$D$2:$D$501,$K298)&amp;IF(INDEX(Сборка!$I$2:$I$501,$K298)&lt;&gt;""," — "&amp;INDEX(Сборка!$I$2:$I$501,$K298),""),""))</f>
        <v/>
      </c>
      <c r="D298" t="str">
        <f>IF(ISNUMBER($K298),INDEX(Сборка!$E$2:$E$501,$K298),"")</f>
        <v/>
      </c>
      <c r="E298" t="str">
        <f>IF(ISNUMBER($K298),INDEX(Сборка!$G$2:$G$501,$K298),"")</f>
        <v/>
      </c>
      <c r="F298" s="6" t="str">
        <f>IF(ISNUMBER($K298),INDEX(Сборка!$J$2:$J$501,$K298),"")</f>
        <v/>
      </c>
      <c r="G298" s="6" t="str">
        <f>IF(ISNUMBER($K298),INDEX(Сборка!$K$2:$K$501,$K298),"")</f>
        <v/>
      </c>
      <c r="H298" s="6" t="str">
        <f t="shared" si="16"/>
        <v/>
      </c>
      <c r="I298" s="6" t="str">
        <f t="shared" si="17"/>
        <v/>
      </c>
      <c r="J298" s="6" t="str">
        <f t="shared" si="18"/>
        <v/>
      </c>
      <c r="K298" t="str">
        <f>IFERROR(MATCH(278,Сборка!$R$2:$R$501,0),"")</f>
        <v/>
      </c>
      <c r="L298" t="str">
        <f>IFERROR(IF(INDEX(Сборка!$Q$2:$Q$501,MATCH(278+1,Сборка!$R$2:$R$501,0))=1,INDEX(Сборка!$P$2:$P$501,MATCH(278+1,Сборка!$R$2:$R$501,0)),""),"")</f>
        <v/>
      </c>
      <c r="M298" t="str">
        <f t="shared" si="19"/>
        <v/>
      </c>
    </row>
    <row r="299" spans="1:13" hidden="1" x14ac:dyDescent="0.3">
      <c r="A299" t="str">
        <f>IF(ISNUMBER($K299),INDEX(Сборка!$O$2:$O$501,$K299),"")</f>
        <v/>
      </c>
      <c r="B299" t="str">
        <f>IF(ISNUMBER($K299),INDEX(Сборка!$C$2:$C$501,$K299),"")</f>
        <v/>
      </c>
      <c r="C299" s="5" t="str">
        <f>IF($L299&lt;&gt;"",INDEX(Сборка!$S$2:$S$501,MATCH($L299,Сборка!$P$2:$P$501,0)),IF(ISNUMBER($K299),INDEX(Сборка!$D$2:$D$501,$K299)&amp;IF(INDEX(Сборка!$I$2:$I$501,$K299)&lt;&gt;""," — "&amp;INDEX(Сборка!$I$2:$I$501,$K299),""),""))</f>
        <v/>
      </c>
      <c r="D299" t="str">
        <f>IF(ISNUMBER($K299),INDEX(Сборка!$E$2:$E$501,$K299),"")</f>
        <v/>
      </c>
      <c r="E299" t="str">
        <f>IF(ISNUMBER($K299),INDEX(Сборка!$G$2:$G$501,$K299),"")</f>
        <v/>
      </c>
      <c r="F299" s="6" t="str">
        <f>IF(ISNUMBER($K299),INDEX(Сборка!$J$2:$J$501,$K299),"")</f>
        <v/>
      </c>
      <c r="G299" s="6" t="str">
        <f>IF(ISNUMBER($K299),INDEX(Сборка!$K$2:$K$501,$K299),"")</f>
        <v/>
      </c>
      <c r="H299" s="6" t="str">
        <f t="shared" si="16"/>
        <v/>
      </c>
      <c r="I299" s="6" t="str">
        <f t="shared" si="17"/>
        <v/>
      </c>
      <c r="J299" s="6" t="str">
        <f t="shared" si="18"/>
        <v/>
      </c>
      <c r="K299" t="str">
        <f>IFERROR(MATCH(279,Сборка!$R$2:$R$501,0),"")</f>
        <v/>
      </c>
      <c r="L299" t="str">
        <f>IFERROR(IF(INDEX(Сборка!$Q$2:$Q$501,MATCH(279+1,Сборка!$R$2:$R$501,0))=1,INDEX(Сборка!$P$2:$P$501,MATCH(279+1,Сборка!$R$2:$R$501,0)),""),"")</f>
        <v/>
      </c>
      <c r="M299" t="str">
        <f t="shared" si="19"/>
        <v/>
      </c>
    </row>
    <row r="300" spans="1:13" hidden="1" x14ac:dyDescent="0.3">
      <c r="A300" t="str">
        <f>IF(ISNUMBER($K300),INDEX(Сборка!$O$2:$O$501,$K300),"")</f>
        <v/>
      </c>
      <c r="B300" t="str">
        <f>IF(ISNUMBER($K300),INDEX(Сборка!$C$2:$C$501,$K300),"")</f>
        <v/>
      </c>
      <c r="C300" s="5" t="str">
        <f>IF($L300&lt;&gt;"",INDEX(Сборка!$S$2:$S$501,MATCH($L300,Сборка!$P$2:$P$501,0)),IF(ISNUMBER($K300),INDEX(Сборка!$D$2:$D$501,$K300)&amp;IF(INDEX(Сборка!$I$2:$I$501,$K300)&lt;&gt;""," — "&amp;INDEX(Сборка!$I$2:$I$501,$K300),""),""))</f>
        <v/>
      </c>
      <c r="D300" t="str">
        <f>IF(ISNUMBER($K300),INDEX(Сборка!$E$2:$E$501,$K300),"")</f>
        <v/>
      </c>
      <c r="E300" t="str">
        <f>IF(ISNUMBER($K300),INDEX(Сборка!$G$2:$G$501,$K300),"")</f>
        <v/>
      </c>
      <c r="F300" s="6" t="str">
        <f>IF(ISNUMBER($K300),INDEX(Сборка!$J$2:$J$501,$K300),"")</f>
        <v/>
      </c>
      <c r="G300" s="6" t="str">
        <f>IF(ISNUMBER($K300),INDEX(Сборка!$K$2:$K$501,$K300),"")</f>
        <v/>
      </c>
      <c r="H300" s="6" t="str">
        <f t="shared" si="16"/>
        <v/>
      </c>
      <c r="I300" s="6" t="str">
        <f t="shared" si="17"/>
        <v/>
      </c>
      <c r="J300" s="6" t="str">
        <f t="shared" si="18"/>
        <v/>
      </c>
      <c r="K300" t="str">
        <f>IFERROR(MATCH(280,Сборка!$R$2:$R$501,0),"")</f>
        <v/>
      </c>
      <c r="L300" t="str">
        <f>IFERROR(IF(INDEX(Сборка!$Q$2:$Q$501,MATCH(280+1,Сборка!$R$2:$R$501,0))=1,INDEX(Сборка!$P$2:$P$501,MATCH(280+1,Сборка!$R$2:$R$501,0)),""),"")</f>
        <v/>
      </c>
      <c r="M300" t="str">
        <f t="shared" si="19"/>
        <v/>
      </c>
    </row>
    <row r="301" spans="1:13" hidden="1" x14ac:dyDescent="0.3">
      <c r="A301" t="str">
        <f>IF(ISNUMBER($K301),INDEX(Сборка!$O$2:$O$501,$K301),"")</f>
        <v/>
      </c>
      <c r="B301" t="str">
        <f>IF(ISNUMBER($K301),INDEX(Сборка!$C$2:$C$501,$K301),"")</f>
        <v/>
      </c>
      <c r="C301" s="5" t="str">
        <f>IF($L301&lt;&gt;"",INDEX(Сборка!$S$2:$S$501,MATCH($L301,Сборка!$P$2:$P$501,0)),IF(ISNUMBER($K301),INDEX(Сборка!$D$2:$D$501,$K301)&amp;IF(INDEX(Сборка!$I$2:$I$501,$K301)&lt;&gt;""," — "&amp;INDEX(Сборка!$I$2:$I$501,$K301),""),""))</f>
        <v/>
      </c>
      <c r="D301" t="str">
        <f>IF(ISNUMBER($K301),INDEX(Сборка!$E$2:$E$501,$K301),"")</f>
        <v/>
      </c>
      <c r="E301" t="str">
        <f>IF(ISNUMBER($K301),INDEX(Сборка!$G$2:$G$501,$K301),"")</f>
        <v/>
      </c>
      <c r="F301" s="6" t="str">
        <f>IF(ISNUMBER($K301),INDEX(Сборка!$J$2:$J$501,$K301),"")</f>
        <v/>
      </c>
      <c r="G301" s="6" t="str">
        <f>IF(ISNUMBER($K301),INDEX(Сборка!$K$2:$K$501,$K301),"")</f>
        <v/>
      </c>
      <c r="H301" s="6" t="str">
        <f t="shared" si="16"/>
        <v/>
      </c>
      <c r="I301" s="6" t="str">
        <f t="shared" si="17"/>
        <v/>
      </c>
      <c r="J301" s="6" t="str">
        <f t="shared" si="18"/>
        <v/>
      </c>
      <c r="K301" t="str">
        <f>IFERROR(MATCH(281,Сборка!$R$2:$R$501,0),"")</f>
        <v/>
      </c>
      <c r="L301" t="str">
        <f>IFERROR(IF(INDEX(Сборка!$Q$2:$Q$501,MATCH(281+1,Сборка!$R$2:$R$501,0))=1,INDEX(Сборка!$P$2:$P$501,MATCH(281+1,Сборка!$R$2:$R$501,0)),""),"")</f>
        <v/>
      </c>
      <c r="M301" t="str">
        <f t="shared" si="19"/>
        <v/>
      </c>
    </row>
    <row r="302" spans="1:13" hidden="1" x14ac:dyDescent="0.3">
      <c r="A302" t="str">
        <f>IF(ISNUMBER($K302),INDEX(Сборка!$O$2:$O$501,$K302),"")</f>
        <v/>
      </c>
      <c r="B302" t="str">
        <f>IF(ISNUMBER($K302),INDEX(Сборка!$C$2:$C$501,$K302),"")</f>
        <v/>
      </c>
      <c r="C302" s="5" t="str">
        <f>IF($L302&lt;&gt;"",INDEX(Сборка!$S$2:$S$501,MATCH($L302,Сборка!$P$2:$P$501,0)),IF(ISNUMBER($K302),INDEX(Сборка!$D$2:$D$501,$K302)&amp;IF(INDEX(Сборка!$I$2:$I$501,$K302)&lt;&gt;""," — "&amp;INDEX(Сборка!$I$2:$I$501,$K302),""),""))</f>
        <v/>
      </c>
      <c r="D302" t="str">
        <f>IF(ISNUMBER($K302),INDEX(Сборка!$E$2:$E$501,$K302),"")</f>
        <v/>
      </c>
      <c r="E302" t="str">
        <f>IF(ISNUMBER($K302),INDEX(Сборка!$G$2:$G$501,$K302),"")</f>
        <v/>
      </c>
      <c r="F302" s="6" t="str">
        <f>IF(ISNUMBER($K302),INDEX(Сборка!$J$2:$J$501,$K302),"")</f>
        <v/>
      </c>
      <c r="G302" s="6" t="str">
        <f>IF(ISNUMBER($K302),INDEX(Сборка!$K$2:$K$501,$K302),"")</f>
        <v/>
      </c>
      <c r="H302" s="6" t="str">
        <f t="shared" si="16"/>
        <v/>
      </c>
      <c r="I302" s="6" t="str">
        <f t="shared" si="17"/>
        <v/>
      </c>
      <c r="J302" s="6" t="str">
        <f t="shared" si="18"/>
        <v/>
      </c>
      <c r="K302" t="str">
        <f>IFERROR(MATCH(282,Сборка!$R$2:$R$501,0),"")</f>
        <v/>
      </c>
      <c r="L302" t="str">
        <f>IFERROR(IF(INDEX(Сборка!$Q$2:$Q$501,MATCH(282+1,Сборка!$R$2:$R$501,0))=1,INDEX(Сборка!$P$2:$P$501,MATCH(282+1,Сборка!$R$2:$R$501,0)),""),"")</f>
        <v/>
      </c>
      <c r="M302" t="str">
        <f t="shared" si="19"/>
        <v/>
      </c>
    </row>
    <row r="303" spans="1:13" hidden="1" x14ac:dyDescent="0.3">
      <c r="A303" t="str">
        <f>IF(ISNUMBER($K303),INDEX(Сборка!$O$2:$O$501,$K303),"")</f>
        <v/>
      </c>
      <c r="B303" t="str">
        <f>IF(ISNUMBER($K303),INDEX(Сборка!$C$2:$C$501,$K303),"")</f>
        <v/>
      </c>
      <c r="C303" s="5" t="str">
        <f>IF($L303&lt;&gt;"",INDEX(Сборка!$S$2:$S$501,MATCH($L303,Сборка!$P$2:$P$501,0)),IF(ISNUMBER($K303),INDEX(Сборка!$D$2:$D$501,$K303)&amp;IF(INDEX(Сборка!$I$2:$I$501,$K303)&lt;&gt;""," — "&amp;INDEX(Сборка!$I$2:$I$501,$K303),""),""))</f>
        <v/>
      </c>
      <c r="D303" t="str">
        <f>IF(ISNUMBER($K303),INDEX(Сборка!$E$2:$E$501,$K303),"")</f>
        <v/>
      </c>
      <c r="E303" t="str">
        <f>IF(ISNUMBER($K303),INDEX(Сборка!$G$2:$G$501,$K303),"")</f>
        <v/>
      </c>
      <c r="F303" s="6" t="str">
        <f>IF(ISNUMBER($K303),INDEX(Сборка!$J$2:$J$501,$K303),"")</f>
        <v/>
      </c>
      <c r="G303" s="6" t="str">
        <f>IF(ISNUMBER($K303),INDEX(Сборка!$K$2:$K$501,$K303),"")</f>
        <v/>
      </c>
      <c r="H303" s="6" t="str">
        <f t="shared" si="16"/>
        <v/>
      </c>
      <c r="I303" s="6" t="str">
        <f t="shared" si="17"/>
        <v/>
      </c>
      <c r="J303" s="6" t="str">
        <f t="shared" si="18"/>
        <v/>
      </c>
      <c r="K303" t="str">
        <f>IFERROR(MATCH(283,Сборка!$R$2:$R$501,0),"")</f>
        <v/>
      </c>
      <c r="L303" t="str">
        <f>IFERROR(IF(INDEX(Сборка!$Q$2:$Q$501,MATCH(283+1,Сборка!$R$2:$R$501,0))=1,INDEX(Сборка!$P$2:$P$501,MATCH(283+1,Сборка!$R$2:$R$501,0)),""),"")</f>
        <v/>
      </c>
      <c r="M303" t="str">
        <f t="shared" si="19"/>
        <v/>
      </c>
    </row>
    <row r="304" spans="1:13" hidden="1" x14ac:dyDescent="0.3">
      <c r="A304" t="str">
        <f>IF(ISNUMBER($K304),INDEX(Сборка!$O$2:$O$501,$K304),"")</f>
        <v/>
      </c>
      <c r="B304" t="str">
        <f>IF(ISNUMBER($K304),INDEX(Сборка!$C$2:$C$501,$K304),"")</f>
        <v/>
      </c>
      <c r="C304" s="5" t="str">
        <f>IF($L304&lt;&gt;"",INDEX(Сборка!$S$2:$S$501,MATCH($L304,Сборка!$P$2:$P$501,0)),IF(ISNUMBER($K304),INDEX(Сборка!$D$2:$D$501,$K304)&amp;IF(INDEX(Сборка!$I$2:$I$501,$K304)&lt;&gt;""," — "&amp;INDEX(Сборка!$I$2:$I$501,$K304),""),""))</f>
        <v/>
      </c>
      <c r="D304" t="str">
        <f>IF(ISNUMBER($K304),INDEX(Сборка!$E$2:$E$501,$K304),"")</f>
        <v/>
      </c>
      <c r="E304" t="str">
        <f>IF(ISNUMBER($K304),INDEX(Сборка!$G$2:$G$501,$K304),"")</f>
        <v/>
      </c>
      <c r="F304" s="6" t="str">
        <f>IF(ISNUMBER($K304),INDEX(Сборка!$J$2:$J$501,$K304),"")</f>
        <v/>
      </c>
      <c r="G304" s="6" t="str">
        <f>IF(ISNUMBER($K304),INDEX(Сборка!$K$2:$K$501,$K304),"")</f>
        <v/>
      </c>
      <c r="H304" s="6" t="str">
        <f t="shared" si="16"/>
        <v/>
      </c>
      <c r="I304" s="6" t="str">
        <f t="shared" si="17"/>
        <v/>
      </c>
      <c r="J304" s="6" t="str">
        <f t="shared" si="18"/>
        <v/>
      </c>
      <c r="K304" t="str">
        <f>IFERROR(MATCH(284,Сборка!$R$2:$R$501,0),"")</f>
        <v/>
      </c>
      <c r="L304" t="str">
        <f>IFERROR(IF(INDEX(Сборка!$Q$2:$Q$501,MATCH(284+1,Сборка!$R$2:$R$501,0))=1,INDEX(Сборка!$P$2:$P$501,MATCH(284+1,Сборка!$R$2:$R$501,0)),""),"")</f>
        <v/>
      </c>
      <c r="M304" t="str">
        <f t="shared" si="19"/>
        <v/>
      </c>
    </row>
    <row r="305" spans="1:13" hidden="1" x14ac:dyDescent="0.3">
      <c r="A305" t="str">
        <f>IF(ISNUMBER($K305),INDEX(Сборка!$O$2:$O$501,$K305),"")</f>
        <v/>
      </c>
      <c r="B305" t="str">
        <f>IF(ISNUMBER($K305),INDEX(Сборка!$C$2:$C$501,$K305),"")</f>
        <v/>
      </c>
      <c r="C305" s="5" t="str">
        <f>IF($L305&lt;&gt;"",INDEX(Сборка!$S$2:$S$501,MATCH($L305,Сборка!$P$2:$P$501,0)),IF(ISNUMBER($K305),INDEX(Сборка!$D$2:$D$501,$K305)&amp;IF(INDEX(Сборка!$I$2:$I$501,$K305)&lt;&gt;""," — "&amp;INDEX(Сборка!$I$2:$I$501,$K305),""),""))</f>
        <v/>
      </c>
      <c r="D305" t="str">
        <f>IF(ISNUMBER($K305),INDEX(Сборка!$E$2:$E$501,$K305),"")</f>
        <v/>
      </c>
      <c r="E305" t="str">
        <f>IF(ISNUMBER($K305),INDEX(Сборка!$G$2:$G$501,$K305),"")</f>
        <v/>
      </c>
      <c r="F305" s="6" t="str">
        <f>IF(ISNUMBER($K305),INDEX(Сборка!$J$2:$J$501,$K305),"")</f>
        <v/>
      </c>
      <c r="G305" s="6" t="str">
        <f>IF(ISNUMBER($K305),INDEX(Сборка!$K$2:$K$501,$K305),"")</f>
        <v/>
      </c>
      <c r="H305" s="6" t="str">
        <f t="shared" si="16"/>
        <v/>
      </c>
      <c r="I305" s="6" t="str">
        <f t="shared" si="17"/>
        <v/>
      </c>
      <c r="J305" s="6" t="str">
        <f t="shared" si="18"/>
        <v/>
      </c>
      <c r="K305" t="str">
        <f>IFERROR(MATCH(285,Сборка!$R$2:$R$501,0),"")</f>
        <v/>
      </c>
      <c r="L305" t="str">
        <f>IFERROR(IF(INDEX(Сборка!$Q$2:$Q$501,MATCH(285+1,Сборка!$R$2:$R$501,0))=1,INDEX(Сборка!$P$2:$P$501,MATCH(285+1,Сборка!$R$2:$R$501,0)),""),"")</f>
        <v/>
      </c>
      <c r="M305" t="str">
        <f t="shared" si="19"/>
        <v/>
      </c>
    </row>
    <row r="306" spans="1:13" hidden="1" x14ac:dyDescent="0.3">
      <c r="A306" t="str">
        <f>IF(ISNUMBER($K306),INDEX(Сборка!$O$2:$O$501,$K306),"")</f>
        <v/>
      </c>
      <c r="B306" t="str">
        <f>IF(ISNUMBER($K306),INDEX(Сборка!$C$2:$C$501,$K306),"")</f>
        <v/>
      </c>
      <c r="C306" s="5" t="str">
        <f>IF($L306&lt;&gt;"",INDEX(Сборка!$S$2:$S$501,MATCH($L306,Сборка!$P$2:$P$501,0)),IF(ISNUMBER($K306),INDEX(Сборка!$D$2:$D$501,$K306)&amp;IF(INDEX(Сборка!$I$2:$I$501,$K306)&lt;&gt;""," — "&amp;INDEX(Сборка!$I$2:$I$501,$K306),""),""))</f>
        <v/>
      </c>
      <c r="D306" t="str">
        <f>IF(ISNUMBER($K306),INDEX(Сборка!$E$2:$E$501,$K306),"")</f>
        <v/>
      </c>
      <c r="E306" t="str">
        <f>IF(ISNUMBER($K306),INDEX(Сборка!$G$2:$G$501,$K306),"")</f>
        <v/>
      </c>
      <c r="F306" s="6" t="str">
        <f>IF(ISNUMBER($K306),INDEX(Сборка!$J$2:$J$501,$K306),"")</f>
        <v/>
      </c>
      <c r="G306" s="6" t="str">
        <f>IF(ISNUMBER($K306),INDEX(Сборка!$K$2:$K$501,$K306),"")</f>
        <v/>
      </c>
      <c r="H306" s="6" t="str">
        <f t="shared" si="16"/>
        <v/>
      </c>
      <c r="I306" s="6" t="str">
        <f t="shared" si="17"/>
        <v/>
      </c>
      <c r="J306" s="6" t="str">
        <f t="shared" si="18"/>
        <v/>
      </c>
      <c r="K306" t="str">
        <f>IFERROR(MATCH(286,Сборка!$R$2:$R$501,0),"")</f>
        <v/>
      </c>
      <c r="L306" t="str">
        <f>IFERROR(IF(INDEX(Сборка!$Q$2:$Q$501,MATCH(286+1,Сборка!$R$2:$R$501,0))=1,INDEX(Сборка!$P$2:$P$501,MATCH(286+1,Сборка!$R$2:$R$501,0)),""),"")</f>
        <v/>
      </c>
      <c r="M306" t="str">
        <f t="shared" si="19"/>
        <v/>
      </c>
    </row>
    <row r="307" spans="1:13" hidden="1" x14ac:dyDescent="0.3">
      <c r="A307" t="str">
        <f>IF(ISNUMBER($K307),INDEX(Сборка!$O$2:$O$501,$K307),"")</f>
        <v/>
      </c>
      <c r="B307" t="str">
        <f>IF(ISNUMBER($K307),INDEX(Сборка!$C$2:$C$501,$K307),"")</f>
        <v/>
      </c>
      <c r="C307" s="5" t="str">
        <f>IF($L307&lt;&gt;"",INDEX(Сборка!$S$2:$S$501,MATCH($L307,Сборка!$P$2:$P$501,0)),IF(ISNUMBER($K307),INDEX(Сборка!$D$2:$D$501,$K307)&amp;IF(INDEX(Сборка!$I$2:$I$501,$K307)&lt;&gt;""," — "&amp;INDEX(Сборка!$I$2:$I$501,$K307),""),""))</f>
        <v/>
      </c>
      <c r="D307" t="str">
        <f>IF(ISNUMBER($K307),INDEX(Сборка!$E$2:$E$501,$K307),"")</f>
        <v/>
      </c>
      <c r="E307" t="str">
        <f>IF(ISNUMBER($K307),INDEX(Сборка!$G$2:$G$501,$K307),"")</f>
        <v/>
      </c>
      <c r="F307" s="6" t="str">
        <f>IF(ISNUMBER($K307),INDEX(Сборка!$J$2:$J$501,$K307),"")</f>
        <v/>
      </c>
      <c r="G307" s="6" t="str">
        <f>IF(ISNUMBER($K307),INDEX(Сборка!$K$2:$K$501,$K307),"")</f>
        <v/>
      </c>
      <c r="H307" s="6" t="str">
        <f t="shared" si="16"/>
        <v/>
      </c>
      <c r="I307" s="6" t="str">
        <f t="shared" si="17"/>
        <v/>
      </c>
      <c r="J307" s="6" t="str">
        <f t="shared" si="18"/>
        <v/>
      </c>
      <c r="K307" t="str">
        <f>IFERROR(MATCH(287,Сборка!$R$2:$R$501,0),"")</f>
        <v/>
      </c>
      <c r="L307" t="str">
        <f>IFERROR(IF(INDEX(Сборка!$Q$2:$Q$501,MATCH(287+1,Сборка!$R$2:$R$501,0))=1,INDEX(Сборка!$P$2:$P$501,MATCH(287+1,Сборка!$R$2:$R$501,0)),""),"")</f>
        <v/>
      </c>
      <c r="M307" t="str">
        <f t="shared" si="19"/>
        <v/>
      </c>
    </row>
    <row r="308" spans="1:13" hidden="1" x14ac:dyDescent="0.3">
      <c r="A308" t="str">
        <f>IF(ISNUMBER($K308),INDEX(Сборка!$O$2:$O$501,$K308),"")</f>
        <v/>
      </c>
      <c r="B308" t="str">
        <f>IF(ISNUMBER($K308),INDEX(Сборка!$C$2:$C$501,$K308),"")</f>
        <v/>
      </c>
      <c r="C308" s="5" t="str">
        <f>IF($L308&lt;&gt;"",INDEX(Сборка!$S$2:$S$501,MATCH($L308,Сборка!$P$2:$P$501,0)),IF(ISNUMBER($K308),INDEX(Сборка!$D$2:$D$501,$K308)&amp;IF(INDEX(Сборка!$I$2:$I$501,$K308)&lt;&gt;""," — "&amp;INDEX(Сборка!$I$2:$I$501,$K308),""),""))</f>
        <v/>
      </c>
      <c r="D308" t="str">
        <f>IF(ISNUMBER($K308),INDEX(Сборка!$E$2:$E$501,$K308),"")</f>
        <v/>
      </c>
      <c r="E308" t="str">
        <f>IF(ISNUMBER($K308),INDEX(Сборка!$G$2:$G$501,$K308),"")</f>
        <v/>
      </c>
      <c r="F308" s="6" t="str">
        <f>IF(ISNUMBER($K308),INDEX(Сборка!$J$2:$J$501,$K308),"")</f>
        <v/>
      </c>
      <c r="G308" s="6" t="str">
        <f>IF(ISNUMBER($K308),INDEX(Сборка!$K$2:$K$501,$K308),"")</f>
        <v/>
      </c>
      <c r="H308" s="6" t="str">
        <f t="shared" si="16"/>
        <v/>
      </c>
      <c r="I308" s="6" t="str">
        <f t="shared" si="17"/>
        <v/>
      </c>
      <c r="J308" s="6" t="str">
        <f t="shared" si="18"/>
        <v/>
      </c>
      <c r="K308" t="str">
        <f>IFERROR(MATCH(288,Сборка!$R$2:$R$501,0),"")</f>
        <v/>
      </c>
      <c r="L308" t="str">
        <f>IFERROR(IF(INDEX(Сборка!$Q$2:$Q$501,MATCH(288+1,Сборка!$R$2:$R$501,0))=1,INDEX(Сборка!$P$2:$P$501,MATCH(288+1,Сборка!$R$2:$R$501,0)),""),"")</f>
        <v/>
      </c>
      <c r="M308" t="str">
        <f t="shared" si="19"/>
        <v/>
      </c>
    </row>
    <row r="309" spans="1:13" hidden="1" x14ac:dyDescent="0.3">
      <c r="A309" t="str">
        <f>IF(ISNUMBER($K309),INDEX(Сборка!$O$2:$O$501,$K309),"")</f>
        <v/>
      </c>
      <c r="B309" t="str">
        <f>IF(ISNUMBER($K309),INDEX(Сборка!$C$2:$C$501,$K309),"")</f>
        <v/>
      </c>
      <c r="C309" s="5" t="str">
        <f>IF($L309&lt;&gt;"",INDEX(Сборка!$S$2:$S$501,MATCH($L309,Сборка!$P$2:$P$501,0)),IF(ISNUMBER($K309),INDEX(Сборка!$D$2:$D$501,$K309)&amp;IF(INDEX(Сборка!$I$2:$I$501,$K309)&lt;&gt;""," — "&amp;INDEX(Сборка!$I$2:$I$501,$K309),""),""))</f>
        <v/>
      </c>
      <c r="D309" t="str">
        <f>IF(ISNUMBER($K309),INDEX(Сборка!$E$2:$E$501,$K309),"")</f>
        <v/>
      </c>
      <c r="E309" t="str">
        <f>IF(ISNUMBER($K309),INDEX(Сборка!$G$2:$G$501,$K309),"")</f>
        <v/>
      </c>
      <c r="F309" s="6" t="str">
        <f>IF(ISNUMBER($K309),INDEX(Сборка!$J$2:$J$501,$K309),"")</f>
        <v/>
      </c>
      <c r="G309" s="6" t="str">
        <f>IF(ISNUMBER($K309),INDEX(Сборка!$K$2:$K$501,$K309),"")</f>
        <v/>
      </c>
      <c r="H309" s="6" t="str">
        <f t="shared" si="16"/>
        <v/>
      </c>
      <c r="I309" s="6" t="str">
        <f t="shared" si="17"/>
        <v/>
      </c>
      <c r="J309" s="6" t="str">
        <f t="shared" si="18"/>
        <v/>
      </c>
      <c r="K309" t="str">
        <f>IFERROR(MATCH(289,Сборка!$R$2:$R$501,0),"")</f>
        <v/>
      </c>
      <c r="L309" t="str">
        <f>IFERROR(IF(INDEX(Сборка!$Q$2:$Q$501,MATCH(289+1,Сборка!$R$2:$R$501,0))=1,INDEX(Сборка!$P$2:$P$501,MATCH(289+1,Сборка!$R$2:$R$501,0)),""),"")</f>
        <v/>
      </c>
      <c r="M309" t="str">
        <f t="shared" si="19"/>
        <v/>
      </c>
    </row>
    <row r="310" spans="1:13" hidden="1" x14ac:dyDescent="0.3">
      <c r="A310" t="str">
        <f>IF(ISNUMBER($K310),INDEX(Сборка!$O$2:$O$501,$K310),"")</f>
        <v/>
      </c>
      <c r="B310" t="str">
        <f>IF(ISNUMBER($K310),INDEX(Сборка!$C$2:$C$501,$K310),"")</f>
        <v/>
      </c>
      <c r="C310" s="5" t="str">
        <f>IF($L310&lt;&gt;"",INDEX(Сборка!$S$2:$S$501,MATCH($L310,Сборка!$P$2:$P$501,0)),IF(ISNUMBER($K310),INDEX(Сборка!$D$2:$D$501,$K310)&amp;IF(INDEX(Сборка!$I$2:$I$501,$K310)&lt;&gt;""," — "&amp;INDEX(Сборка!$I$2:$I$501,$K310),""),""))</f>
        <v/>
      </c>
      <c r="D310" t="str">
        <f>IF(ISNUMBER($K310),INDEX(Сборка!$E$2:$E$501,$K310),"")</f>
        <v/>
      </c>
      <c r="E310" t="str">
        <f>IF(ISNUMBER($K310),INDEX(Сборка!$G$2:$G$501,$K310),"")</f>
        <v/>
      </c>
      <c r="F310" s="6" t="str">
        <f>IF(ISNUMBER($K310),INDEX(Сборка!$J$2:$J$501,$K310),"")</f>
        <v/>
      </c>
      <c r="G310" s="6" t="str">
        <f>IF(ISNUMBER($K310),INDEX(Сборка!$K$2:$K$501,$K310),"")</f>
        <v/>
      </c>
      <c r="H310" s="6" t="str">
        <f t="shared" si="16"/>
        <v/>
      </c>
      <c r="I310" s="6" t="str">
        <f t="shared" si="17"/>
        <v/>
      </c>
      <c r="J310" s="6" t="str">
        <f t="shared" si="18"/>
        <v/>
      </c>
      <c r="K310" t="str">
        <f>IFERROR(MATCH(290,Сборка!$R$2:$R$501,0),"")</f>
        <v/>
      </c>
      <c r="L310" t="str">
        <f>IFERROR(IF(INDEX(Сборка!$Q$2:$Q$501,MATCH(290+1,Сборка!$R$2:$R$501,0))=1,INDEX(Сборка!$P$2:$P$501,MATCH(290+1,Сборка!$R$2:$R$501,0)),""),"")</f>
        <v/>
      </c>
      <c r="M310" t="str">
        <f t="shared" si="19"/>
        <v/>
      </c>
    </row>
    <row r="311" spans="1:13" hidden="1" x14ac:dyDescent="0.3">
      <c r="A311" t="str">
        <f>IF(ISNUMBER($K311),INDEX(Сборка!$O$2:$O$501,$K311),"")</f>
        <v/>
      </c>
      <c r="B311" t="str">
        <f>IF(ISNUMBER($K311),INDEX(Сборка!$C$2:$C$501,$K311),"")</f>
        <v/>
      </c>
      <c r="C311" s="5" t="str">
        <f>IF($L311&lt;&gt;"",INDEX(Сборка!$S$2:$S$501,MATCH($L311,Сборка!$P$2:$P$501,0)),IF(ISNUMBER($K311),INDEX(Сборка!$D$2:$D$501,$K311)&amp;IF(INDEX(Сборка!$I$2:$I$501,$K311)&lt;&gt;""," — "&amp;INDEX(Сборка!$I$2:$I$501,$K311),""),""))</f>
        <v/>
      </c>
      <c r="D311" t="str">
        <f>IF(ISNUMBER($K311),INDEX(Сборка!$E$2:$E$501,$K311),"")</f>
        <v/>
      </c>
      <c r="E311" t="str">
        <f>IF(ISNUMBER($K311),INDEX(Сборка!$G$2:$G$501,$K311),"")</f>
        <v/>
      </c>
      <c r="F311" s="6" t="str">
        <f>IF(ISNUMBER($K311),INDEX(Сборка!$J$2:$J$501,$K311),"")</f>
        <v/>
      </c>
      <c r="G311" s="6" t="str">
        <f>IF(ISNUMBER($K311),INDEX(Сборка!$K$2:$K$501,$K311),"")</f>
        <v/>
      </c>
      <c r="H311" s="6" t="str">
        <f t="shared" si="16"/>
        <v/>
      </c>
      <c r="I311" s="6" t="str">
        <f t="shared" si="17"/>
        <v/>
      </c>
      <c r="J311" s="6" t="str">
        <f t="shared" si="18"/>
        <v/>
      </c>
      <c r="K311" t="str">
        <f>IFERROR(MATCH(291,Сборка!$R$2:$R$501,0),"")</f>
        <v/>
      </c>
      <c r="L311" t="str">
        <f>IFERROR(IF(INDEX(Сборка!$Q$2:$Q$501,MATCH(291+1,Сборка!$R$2:$R$501,0))=1,INDEX(Сборка!$P$2:$P$501,MATCH(291+1,Сборка!$R$2:$R$501,0)),""),"")</f>
        <v/>
      </c>
      <c r="M311" t="str">
        <f t="shared" si="19"/>
        <v/>
      </c>
    </row>
    <row r="312" spans="1:13" hidden="1" x14ac:dyDescent="0.3">
      <c r="A312" t="str">
        <f>IF(ISNUMBER($K312),INDEX(Сборка!$O$2:$O$501,$K312),"")</f>
        <v/>
      </c>
      <c r="B312" t="str">
        <f>IF(ISNUMBER($K312),INDEX(Сборка!$C$2:$C$501,$K312),"")</f>
        <v/>
      </c>
      <c r="C312" s="5" t="str">
        <f>IF($L312&lt;&gt;"",INDEX(Сборка!$S$2:$S$501,MATCH($L312,Сборка!$P$2:$P$501,0)),IF(ISNUMBER($K312),INDEX(Сборка!$D$2:$D$501,$K312)&amp;IF(INDEX(Сборка!$I$2:$I$501,$K312)&lt;&gt;""," — "&amp;INDEX(Сборка!$I$2:$I$501,$K312),""),""))</f>
        <v/>
      </c>
      <c r="D312" t="str">
        <f>IF(ISNUMBER($K312),INDEX(Сборка!$E$2:$E$501,$K312),"")</f>
        <v/>
      </c>
      <c r="E312" t="str">
        <f>IF(ISNUMBER($K312),INDEX(Сборка!$G$2:$G$501,$K312),"")</f>
        <v/>
      </c>
      <c r="F312" s="6" t="str">
        <f>IF(ISNUMBER($K312),INDEX(Сборка!$J$2:$J$501,$K312),"")</f>
        <v/>
      </c>
      <c r="G312" s="6" t="str">
        <f>IF(ISNUMBER($K312),INDEX(Сборка!$K$2:$K$501,$K312),"")</f>
        <v/>
      </c>
      <c r="H312" s="6" t="str">
        <f t="shared" si="16"/>
        <v/>
      </c>
      <c r="I312" s="6" t="str">
        <f t="shared" si="17"/>
        <v/>
      </c>
      <c r="J312" s="6" t="str">
        <f t="shared" si="18"/>
        <v/>
      </c>
      <c r="K312" t="str">
        <f>IFERROR(MATCH(292,Сборка!$R$2:$R$501,0),"")</f>
        <v/>
      </c>
      <c r="L312" t="str">
        <f>IFERROR(IF(INDEX(Сборка!$Q$2:$Q$501,MATCH(292+1,Сборка!$R$2:$R$501,0))=1,INDEX(Сборка!$P$2:$P$501,MATCH(292+1,Сборка!$R$2:$R$501,0)),""),"")</f>
        <v/>
      </c>
      <c r="M312" t="str">
        <f t="shared" si="19"/>
        <v/>
      </c>
    </row>
    <row r="313" spans="1:13" hidden="1" x14ac:dyDescent="0.3">
      <c r="A313" t="str">
        <f>IF(ISNUMBER($K313),INDEX(Сборка!$O$2:$O$501,$K313),"")</f>
        <v/>
      </c>
      <c r="B313" t="str">
        <f>IF(ISNUMBER($K313),INDEX(Сборка!$C$2:$C$501,$K313),"")</f>
        <v/>
      </c>
      <c r="C313" s="5" t="str">
        <f>IF($L313&lt;&gt;"",INDEX(Сборка!$S$2:$S$501,MATCH($L313,Сборка!$P$2:$P$501,0)),IF(ISNUMBER($K313),INDEX(Сборка!$D$2:$D$501,$K313)&amp;IF(INDEX(Сборка!$I$2:$I$501,$K313)&lt;&gt;""," — "&amp;INDEX(Сборка!$I$2:$I$501,$K313),""),""))</f>
        <v/>
      </c>
      <c r="D313" t="str">
        <f>IF(ISNUMBER($K313),INDEX(Сборка!$E$2:$E$501,$K313),"")</f>
        <v/>
      </c>
      <c r="E313" t="str">
        <f>IF(ISNUMBER($K313),INDEX(Сборка!$G$2:$G$501,$K313),"")</f>
        <v/>
      </c>
      <c r="F313" s="6" t="str">
        <f>IF(ISNUMBER($K313),INDEX(Сборка!$J$2:$J$501,$K313),"")</f>
        <v/>
      </c>
      <c r="G313" s="6" t="str">
        <f>IF(ISNUMBER($K313),INDEX(Сборка!$K$2:$K$501,$K313),"")</f>
        <v/>
      </c>
      <c r="H313" s="6" t="str">
        <f t="shared" si="16"/>
        <v/>
      </c>
      <c r="I313" s="6" t="str">
        <f t="shared" si="17"/>
        <v/>
      </c>
      <c r="J313" s="6" t="str">
        <f t="shared" si="18"/>
        <v/>
      </c>
      <c r="K313" t="str">
        <f>IFERROR(MATCH(293,Сборка!$R$2:$R$501,0),"")</f>
        <v/>
      </c>
      <c r="L313" t="str">
        <f>IFERROR(IF(INDEX(Сборка!$Q$2:$Q$501,MATCH(293+1,Сборка!$R$2:$R$501,0))=1,INDEX(Сборка!$P$2:$P$501,MATCH(293+1,Сборка!$R$2:$R$501,0)),""),"")</f>
        <v/>
      </c>
      <c r="M313" t="str">
        <f t="shared" si="19"/>
        <v/>
      </c>
    </row>
    <row r="314" spans="1:13" hidden="1" x14ac:dyDescent="0.3">
      <c r="A314" t="str">
        <f>IF(ISNUMBER($K314),INDEX(Сборка!$O$2:$O$501,$K314),"")</f>
        <v/>
      </c>
      <c r="B314" t="str">
        <f>IF(ISNUMBER($K314),INDEX(Сборка!$C$2:$C$501,$K314),"")</f>
        <v/>
      </c>
      <c r="C314" s="5" t="str">
        <f>IF($L314&lt;&gt;"",INDEX(Сборка!$S$2:$S$501,MATCH($L314,Сборка!$P$2:$P$501,0)),IF(ISNUMBER($K314),INDEX(Сборка!$D$2:$D$501,$K314)&amp;IF(INDEX(Сборка!$I$2:$I$501,$K314)&lt;&gt;""," — "&amp;INDEX(Сборка!$I$2:$I$501,$K314),""),""))</f>
        <v/>
      </c>
      <c r="D314" t="str">
        <f>IF(ISNUMBER($K314),INDEX(Сборка!$E$2:$E$501,$K314),"")</f>
        <v/>
      </c>
      <c r="E314" t="str">
        <f>IF(ISNUMBER($K314),INDEX(Сборка!$G$2:$G$501,$K314),"")</f>
        <v/>
      </c>
      <c r="F314" s="6" t="str">
        <f>IF(ISNUMBER($K314),INDEX(Сборка!$J$2:$J$501,$K314),"")</f>
        <v/>
      </c>
      <c r="G314" s="6" t="str">
        <f>IF(ISNUMBER($K314),INDEX(Сборка!$K$2:$K$501,$K314),"")</f>
        <v/>
      </c>
      <c r="H314" s="6" t="str">
        <f t="shared" si="16"/>
        <v/>
      </c>
      <c r="I314" s="6" t="str">
        <f t="shared" si="17"/>
        <v/>
      </c>
      <c r="J314" s="6" t="str">
        <f t="shared" si="18"/>
        <v/>
      </c>
      <c r="K314" t="str">
        <f>IFERROR(MATCH(294,Сборка!$R$2:$R$501,0),"")</f>
        <v/>
      </c>
      <c r="L314" t="str">
        <f>IFERROR(IF(INDEX(Сборка!$Q$2:$Q$501,MATCH(294+1,Сборка!$R$2:$R$501,0))=1,INDEX(Сборка!$P$2:$P$501,MATCH(294+1,Сборка!$R$2:$R$501,0)),""),"")</f>
        <v/>
      </c>
      <c r="M314" t="str">
        <f t="shared" si="19"/>
        <v/>
      </c>
    </row>
    <row r="315" spans="1:13" hidden="1" x14ac:dyDescent="0.3">
      <c r="A315" t="str">
        <f>IF(ISNUMBER($K315),INDEX(Сборка!$O$2:$O$501,$K315),"")</f>
        <v/>
      </c>
      <c r="B315" t="str">
        <f>IF(ISNUMBER($K315),INDEX(Сборка!$C$2:$C$501,$K315),"")</f>
        <v/>
      </c>
      <c r="C315" s="5" t="str">
        <f>IF($L315&lt;&gt;"",INDEX(Сборка!$S$2:$S$501,MATCH($L315,Сборка!$P$2:$P$501,0)),IF(ISNUMBER($K315),INDEX(Сборка!$D$2:$D$501,$K315)&amp;IF(INDEX(Сборка!$I$2:$I$501,$K315)&lt;&gt;""," — "&amp;INDEX(Сборка!$I$2:$I$501,$K315),""),""))</f>
        <v/>
      </c>
      <c r="D315" t="str">
        <f>IF(ISNUMBER($K315),INDEX(Сборка!$E$2:$E$501,$K315),"")</f>
        <v/>
      </c>
      <c r="E315" t="str">
        <f>IF(ISNUMBER($K315),INDEX(Сборка!$G$2:$G$501,$K315),"")</f>
        <v/>
      </c>
      <c r="F315" s="6" t="str">
        <f>IF(ISNUMBER($K315),INDEX(Сборка!$J$2:$J$501,$K315),"")</f>
        <v/>
      </c>
      <c r="G315" s="6" t="str">
        <f>IF(ISNUMBER($K315),INDEX(Сборка!$K$2:$K$501,$K315),"")</f>
        <v/>
      </c>
      <c r="H315" s="6" t="str">
        <f t="shared" si="16"/>
        <v/>
      </c>
      <c r="I315" s="6" t="str">
        <f t="shared" si="17"/>
        <v/>
      </c>
      <c r="J315" s="6" t="str">
        <f t="shared" si="18"/>
        <v/>
      </c>
      <c r="K315" t="str">
        <f>IFERROR(MATCH(295,Сборка!$R$2:$R$501,0),"")</f>
        <v/>
      </c>
      <c r="L315" t="str">
        <f>IFERROR(IF(INDEX(Сборка!$Q$2:$Q$501,MATCH(295+1,Сборка!$R$2:$R$501,0))=1,INDEX(Сборка!$P$2:$P$501,MATCH(295+1,Сборка!$R$2:$R$501,0)),""),"")</f>
        <v/>
      </c>
      <c r="M315" t="str">
        <f t="shared" si="19"/>
        <v/>
      </c>
    </row>
    <row r="316" spans="1:13" hidden="1" x14ac:dyDescent="0.3">
      <c r="A316" t="str">
        <f>IF(ISNUMBER($K316),INDEX(Сборка!$O$2:$O$501,$K316),"")</f>
        <v/>
      </c>
      <c r="B316" t="str">
        <f>IF(ISNUMBER($K316),INDEX(Сборка!$C$2:$C$501,$K316),"")</f>
        <v/>
      </c>
      <c r="C316" s="5" t="str">
        <f>IF($L316&lt;&gt;"",INDEX(Сборка!$S$2:$S$501,MATCH($L316,Сборка!$P$2:$P$501,0)),IF(ISNUMBER($K316),INDEX(Сборка!$D$2:$D$501,$K316)&amp;IF(INDEX(Сборка!$I$2:$I$501,$K316)&lt;&gt;""," — "&amp;INDEX(Сборка!$I$2:$I$501,$K316),""),""))</f>
        <v/>
      </c>
      <c r="D316" t="str">
        <f>IF(ISNUMBER($K316),INDEX(Сборка!$E$2:$E$501,$K316),"")</f>
        <v/>
      </c>
      <c r="E316" t="str">
        <f>IF(ISNUMBER($K316),INDEX(Сборка!$G$2:$G$501,$K316),"")</f>
        <v/>
      </c>
      <c r="F316" s="6" t="str">
        <f>IF(ISNUMBER($K316),INDEX(Сборка!$J$2:$J$501,$K316),"")</f>
        <v/>
      </c>
      <c r="G316" s="6" t="str">
        <f>IF(ISNUMBER($K316),INDEX(Сборка!$K$2:$K$501,$K316),"")</f>
        <v/>
      </c>
      <c r="H316" s="6" t="str">
        <f t="shared" si="16"/>
        <v/>
      </c>
      <c r="I316" s="6" t="str">
        <f t="shared" si="17"/>
        <v/>
      </c>
      <c r="J316" s="6" t="str">
        <f t="shared" si="18"/>
        <v/>
      </c>
      <c r="K316" t="str">
        <f>IFERROR(MATCH(296,Сборка!$R$2:$R$501,0),"")</f>
        <v/>
      </c>
      <c r="L316" t="str">
        <f>IFERROR(IF(INDEX(Сборка!$Q$2:$Q$501,MATCH(296+1,Сборка!$R$2:$R$501,0))=1,INDEX(Сборка!$P$2:$P$501,MATCH(296+1,Сборка!$R$2:$R$501,0)),""),"")</f>
        <v/>
      </c>
      <c r="M316" t="str">
        <f t="shared" si="19"/>
        <v/>
      </c>
    </row>
    <row r="317" spans="1:13" hidden="1" x14ac:dyDescent="0.3">
      <c r="A317" t="str">
        <f>IF(ISNUMBER($K317),INDEX(Сборка!$O$2:$O$501,$K317),"")</f>
        <v/>
      </c>
      <c r="B317" t="str">
        <f>IF(ISNUMBER($K317),INDEX(Сборка!$C$2:$C$501,$K317),"")</f>
        <v/>
      </c>
      <c r="C317" s="5" t="str">
        <f>IF($L317&lt;&gt;"",INDEX(Сборка!$S$2:$S$501,MATCH($L317,Сборка!$P$2:$P$501,0)),IF(ISNUMBER($K317),INDEX(Сборка!$D$2:$D$501,$K317)&amp;IF(INDEX(Сборка!$I$2:$I$501,$K317)&lt;&gt;""," — "&amp;INDEX(Сборка!$I$2:$I$501,$K317),""),""))</f>
        <v/>
      </c>
      <c r="D317" t="str">
        <f>IF(ISNUMBER($K317),INDEX(Сборка!$E$2:$E$501,$K317),"")</f>
        <v/>
      </c>
      <c r="E317" t="str">
        <f>IF(ISNUMBER($K317),INDEX(Сборка!$G$2:$G$501,$K317),"")</f>
        <v/>
      </c>
      <c r="F317" s="6" t="str">
        <f>IF(ISNUMBER($K317),INDEX(Сборка!$J$2:$J$501,$K317),"")</f>
        <v/>
      </c>
      <c r="G317" s="6" t="str">
        <f>IF(ISNUMBER($K317),INDEX(Сборка!$K$2:$K$501,$K317),"")</f>
        <v/>
      </c>
      <c r="H317" s="6" t="str">
        <f t="shared" si="16"/>
        <v/>
      </c>
      <c r="I317" s="6" t="str">
        <f t="shared" si="17"/>
        <v/>
      </c>
      <c r="J317" s="6" t="str">
        <f t="shared" si="18"/>
        <v/>
      </c>
      <c r="K317" t="str">
        <f>IFERROR(MATCH(297,Сборка!$R$2:$R$501,0),"")</f>
        <v/>
      </c>
      <c r="L317" t="str">
        <f>IFERROR(IF(INDEX(Сборка!$Q$2:$Q$501,MATCH(297+1,Сборка!$R$2:$R$501,0))=1,INDEX(Сборка!$P$2:$P$501,MATCH(297+1,Сборка!$R$2:$R$501,0)),""),"")</f>
        <v/>
      </c>
      <c r="M317" t="str">
        <f t="shared" si="19"/>
        <v/>
      </c>
    </row>
    <row r="318" spans="1:13" hidden="1" x14ac:dyDescent="0.3">
      <c r="A318" t="str">
        <f>IF(ISNUMBER($K318),INDEX(Сборка!$O$2:$O$501,$K318),"")</f>
        <v/>
      </c>
      <c r="B318" t="str">
        <f>IF(ISNUMBER($K318),INDEX(Сборка!$C$2:$C$501,$K318),"")</f>
        <v/>
      </c>
      <c r="C318" s="5" t="str">
        <f>IF($L318&lt;&gt;"",INDEX(Сборка!$S$2:$S$501,MATCH($L318,Сборка!$P$2:$P$501,0)),IF(ISNUMBER($K318),INDEX(Сборка!$D$2:$D$501,$K318)&amp;IF(INDEX(Сборка!$I$2:$I$501,$K318)&lt;&gt;""," — "&amp;INDEX(Сборка!$I$2:$I$501,$K318),""),""))</f>
        <v/>
      </c>
      <c r="D318" t="str">
        <f>IF(ISNUMBER($K318),INDEX(Сборка!$E$2:$E$501,$K318),"")</f>
        <v/>
      </c>
      <c r="E318" t="str">
        <f>IF(ISNUMBER($K318),INDEX(Сборка!$G$2:$G$501,$K318),"")</f>
        <v/>
      </c>
      <c r="F318" s="6" t="str">
        <f>IF(ISNUMBER($K318),INDEX(Сборка!$J$2:$J$501,$K318),"")</f>
        <v/>
      </c>
      <c r="G318" s="6" t="str">
        <f>IF(ISNUMBER($K318),INDEX(Сборка!$K$2:$K$501,$K318),"")</f>
        <v/>
      </c>
      <c r="H318" s="6" t="str">
        <f t="shared" si="16"/>
        <v/>
      </c>
      <c r="I318" s="6" t="str">
        <f t="shared" si="17"/>
        <v/>
      </c>
      <c r="J318" s="6" t="str">
        <f t="shared" si="18"/>
        <v/>
      </c>
      <c r="K318" t="str">
        <f>IFERROR(MATCH(298,Сборка!$R$2:$R$501,0),"")</f>
        <v/>
      </c>
      <c r="L318" t="str">
        <f>IFERROR(IF(INDEX(Сборка!$Q$2:$Q$501,MATCH(298+1,Сборка!$R$2:$R$501,0))=1,INDEX(Сборка!$P$2:$P$501,MATCH(298+1,Сборка!$R$2:$R$501,0)),""),"")</f>
        <v/>
      </c>
      <c r="M318" t="str">
        <f t="shared" si="19"/>
        <v/>
      </c>
    </row>
    <row r="319" spans="1:13" hidden="1" x14ac:dyDescent="0.3">
      <c r="A319" t="str">
        <f>IF(ISNUMBER($K319),INDEX(Сборка!$O$2:$O$501,$K319),"")</f>
        <v/>
      </c>
      <c r="B319" t="str">
        <f>IF(ISNUMBER($K319),INDEX(Сборка!$C$2:$C$501,$K319),"")</f>
        <v/>
      </c>
      <c r="C319" s="5" t="str">
        <f>IF($L319&lt;&gt;"",INDEX(Сборка!$S$2:$S$501,MATCH($L319,Сборка!$P$2:$P$501,0)),IF(ISNUMBER($K319),INDEX(Сборка!$D$2:$D$501,$K319)&amp;IF(INDEX(Сборка!$I$2:$I$501,$K319)&lt;&gt;""," — "&amp;INDEX(Сборка!$I$2:$I$501,$K319),""),""))</f>
        <v/>
      </c>
      <c r="D319" t="str">
        <f>IF(ISNUMBER($K319),INDEX(Сборка!$E$2:$E$501,$K319),"")</f>
        <v/>
      </c>
      <c r="E319" t="str">
        <f>IF(ISNUMBER($K319),INDEX(Сборка!$G$2:$G$501,$K319),"")</f>
        <v/>
      </c>
      <c r="F319" s="6" t="str">
        <f>IF(ISNUMBER($K319),INDEX(Сборка!$J$2:$J$501,$K319),"")</f>
        <v/>
      </c>
      <c r="G319" s="6" t="str">
        <f>IF(ISNUMBER($K319),INDEX(Сборка!$K$2:$K$501,$K319),"")</f>
        <v/>
      </c>
      <c r="H319" s="6" t="str">
        <f t="shared" si="16"/>
        <v/>
      </c>
      <c r="I319" s="6" t="str">
        <f t="shared" si="17"/>
        <v/>
      </c>
      <c r="J319" s="6" t="str">
        <f t="shared" si="18"/>
        <v/>
      </c>
      <c r="K319" t="str">
        <f>IFERROR(MATCH(299,Сборка!$R$2:$R$501,0),"")</f>
        <v/>
      </c>
      <c r="L319" t="str">
        <f>IFERROR(IF(INDEX(Сборка!$Q$2:$Q$501,MATCH(299+1,Сборка!$R$2:$R$501,0))=1,INDEX(Сборка!$P$2:$P$501,MATCH(299+1,Сборка!$R$2:$R$501,0)),""),"")</f>
        <v/>
      </c>
      <c r="M319" t="str">
        <f t="shared" si="19"/>
        <v/>
      </c>
    </row>
    <row r="320" spans="1:13" hidden="1" x14ac:dyDescent="0.3">
      <c r="A320" t="str">
        <f>IF(ISNUMBER($K320),INDEX(Сборка!$O$2:$O$501,$K320),"")</f>
        <v/>
      </c>
      <c r="B320" t="str">
        <f>IF(ISNUMBER($K320),INDEX(Сборка!$C$2:$C$501,$K320),"")</f>
        <v/>
      </c>
      <c r="C320" s="5" t="str">
        <f>IF($L320&lt;&gt;"",INDEX(Сборка!$S$2:$S$501,MATCH($L320,Сборка!$P$2:$P$501,0)),IF(ISNUMBER($K320),INDEX(Сборка!$D$2:$D$501,$K320)&amp;IF(INDEX(Сборка!$I$2:$I$501,$K320)&lt;&gt;""," — "&amp;INDEX(Сборка!$I$2:$I$501,$K320),""),""))</f>
        <v/>
      </c>
      <c r="D320" t="str">
        <f>IF(ISNUMBER($K320),INDEX(Сборка!$E$2:$E$501,$K320),"")</f>
        <v/>
      </c>
      <c r="E320" t="str">
        <f>IF(ISNUMBER($K320),INDEX(Сборка!$G$2:$G$501,$K320),"")</f>
        <v/>
      </c>
      <c r="F320" s="6" t="str">
        <f>IF(ISNUMBER($K320),INDEX(Сборка!$J$2:$J$501,$K320),"")</f>
        <v/>
      </c>
      <c r="G320" s="6" t="str">
        <f>IF(ISNUMBER($K320),INDEX(Сборка!$K$2:$K$501,$K320),"")</f>
        <v/>
      </c>
      <c r="H320" s="6" t="str">
        <f t="shared" si="16"/>
        <v/>
      </c>
      <c r="I320" s="6" t="str">
        <f t="shared" si="17"/>
        <v/>
      </c>
      <c r="J320" s="6" t="str">
        <f t="shared" si="18"/>
        <v/>
      </c>
      <c r="K320" t="str">
        <f>IFERROR(MATCH(300,Сборка!$R$2:$R$501,0),"")</f>
        <v/>
      </c>
      <c r="L320" t="str">
        <f>IFERROR(IF(INDEX(Сборка!$Q$2:$Q$501,MATCH(300+1,Сборка!$R$2:$R$501,0))=1,INDEX(Сборка!$P$2:$P$501,MATCH(300+1,Сборка!$R$2:$R$501,0)),""),"")</f>
        <v/>
      </c>
      <c r="M320" t="str">
        <f t="shared" si="19"/>
        <v/>
      </c>
    </row>
    <row r="321" spans="1:13" hidden="1" x14ac:dyDescent="0.3">
      <c r="A321" t="str">
        <f>IF(ISNUMBER($K321),INDEX(Сборка!$O$2:$O$501,$K321),"")</f>
        <v/>
      </c>
      <c r="B321" t="str">
        <f>IF(ISNUMBER($K321),INDEX(Сборка!$C$2:$C$501,$K321),"")</f>
        <v/>
      </c>
      <c r="C321" s="5" t="str">
        <f>IF($L321&lt;&gt;"",INDEX(Сборка!$S$2:$S$501,MATCH($L321,Сборка!$P$2:$P$501,0)),IF(ISNUMBER($K321),INDEX(Сборка!$D$2:$D$501,$K321)&amp;IF(INDEX(Сборка!$I$2:$I$501,$K321)&lt;&gt;""," — "&amp;INDEX(Сборка!$I$2:$I$501,$K321),""),""))</f>
        <v/>
      </c>
      <c r="D321" t="str">
        <f>IF(ISNUMBER($K321),INDEX(Сборка!$E$2:$E$501,$K321),"")</f>
        <v/>
      </c>
      <c r="E321" t="str">
        <f>IF(ISNUMBER($K321),INDEX(Сборка!$G$2:$G$501,$K321),"")</f>
        <v/>
      </c>
      <c r="F321" s="6" t="str">
        <f>IF(ISNUMBER($K321),INDEX(Сборка!$J$2:$J$501,$K321),"")</f>
        <v/>
      </c>
      <c r="G321" s="6" t="str">
        <f>IF(ISNUMBER($K321),INDEX(Сборка!$K$2:$K$501,$K321),"")</f>
        <v/>
      </c>
      <c r="H321" s="6" t="str">
        <f t="shared" si="16"/>
        <v/>
      </c>
      <c r="I321" s="6" t="str">
        <f t="shared" si="17"/>
        <v/>
      </c>
      <c r="J321" s="6" t="str">
        <f t="shared" si="18"/>
        <v/>
      </c>
      <c r="K321" t="str">
        <f>IFERROR(MATCH(301,Сборка!$R$2:$R$501,0),"")</f>
        <v/>
      </c>
      <c r="L321" t="str">
        <f>IFERROR(IF(INDEX(Сборка!$Q$2:$Q$501,MATCH(301+1,Сборка!$R$2:$R$501,0))=1,INDEX(Сборка!$P$2:$P$501,MATCH(301+1,Сборка!$R$2:$R$501,0)),""),"")</f>
        <v/>
      </c>
      <c r="M321" t="str">
        <f t="shared" si="19"/>
        <v/>
      </c>
    </row>
    <row r="322" spans="1:13" hidden="1" x14ac:dyDescent="0.3">
      <c r="A322" t="str">
        <f>IF(ISNUMBER($K322),INDEX(Сборка!$O$2:$O$501,$K322),"")</f>
        <v/>
      </c>
      <c r="B322" t="str">
        <f>IF(ISNUMBER($K322),INDEX(Сборка!$C$2:$C$501,$K322),"")</f>
        <v/>
      </c>
      <c r="C322" s="5" t="str">
        <f>IF($L322&lt;&gt;"",INDEX(Сборка!$S$2:$S$501,MATCH($L322,Сборка!$P$2:$P$501,0)),IF(ISNUMBER($K322),INDEX(Сборка!$D$2:$D$501,$K322)&amp;IF(INDEX(Сборка!$I$2:$I$501,$K322)&lt;&gt;""," — "&amp;INDEX(Сборка!$I$2:$I$501,$K322),""),""))</f>
        <v/>
      </c>
      <c r="D322" t="str">
        <f>IF(ISNUMBER($K322),INDEX(Сборка!$E$2:$E$501,$K322),"")</f>
        <v/>
      </c>
      <c r="E322" t="str">
        <f>IF(ISNUMBER($K322),INDEX(Сборка!$G$2:$G$501,$K322),"")</f>
        <v/>
      </c>
      <c r="F322" s="6" t="str">
        <f>IF(ISNUMBER($K322),INDEX(Сборка!$J$2:$J$501,$K322),"")</f>
        <v/>
      </c>
      <c r="G322" s="6" t="str">
        <f>IF(ISNUMBER($K322),INDEX(Сборка!$K$2:$K$501,$K322),"")</f>
        <v/>
      </c>
      <c r="H322" s="6" t="str">
        <f t="shared" si="16"/>
        <v/>
      </c>
      <c r="I322" s="6" t="str">
        <f t="shared" si="17"/>
        <v/>
      </c>
      <c r="J322" s="6" t="str">
        <f t="shared" si="18"/>
        <v/>
      </c>
      <c r="K322" t="str">
        <f>IFERROR(MATCH(302,Сборка!$R$2:$R$501,0),"")</f>
        <v/>
      </c>
      <c r="L322" t="str">
        <f>IFERROR(IF(INDEX(Сборка!$Q$2:$Q$501,MATCH(302+1,Сборка!$R$2:$R$501,0))=1,INDEX(Сборка!$P$2:$P$501,MATCH(302+1,Сборка!$R$2:$R$501,0)),""),"")</f>
        <v/>
      </c>
      <c r="M322" t="str">
        <f t="shared" si="19"/>
        <v/>
      </c>
    </row>
    <row r="323" spans="1:13" hidden="1" x14ac:dyDescent="0.3">
      <c r="A323" t="str">
        <f>IF(ISNUMBER($K323),INDEX(Сборка!$O$2:$O$501,$K323),"")</f>
        <v/>
      </c>
      <c r="B323" t="str">
        <f>IF(ISNUMBER($K323),INDEX(Сборка!$C$2:$C$501,$K323),"")</f>
        <v/>
      </c>
      <c r="C323" s="5" t="str">
        <f>IF($L323&lt;&gt;"",INDEX(Сборка!$S$2:$S$501,MATCH($L323,Сборка!$P$2:$P$501,0)),IF(ISNUMBER($K323),INDEX(Сборка!$D$2:$D$501,$K323)&amp;IF(INDEX(Сборка!$I$2:$I$501,$K323)&lt;&gt;""," — "&amp;INDEX(Сборка!$I$2:$I$501,$K323),""),""))</f>
        <v/>
      </c>
      <c r="D323" t="str">
        <f>IF(ISNUMBER($K323),INDEX(Сборка!$E$2:$E$501,$K323),"")</f>
        <v/>
      </c>
      <c r="E323" t="str">
        <f>IF(ISNUMBER($K323),INDEX(Сборка!$G$2:$G$501,$K323),"")</f>
        <v/>
      </c>
      <c r="F323" s="6" t="str">
        <f>IF(ISNUMBER($K323),INDEX(Сборка!$J$2:$J$501,$K323),"")</f>
        <v/>
      </c>
      <c r="G323" s="6" t="str">
        <f>IF(ISNUMBER($K323),INDEX(Сборка!$K$2:$K$501,$K323),"")</f>
        <v/>
      </c>
      <c r="H323" s="6" t="str">
        <f t="shared" si="16"/>
        <v/>
      </c>
      <c r="I323" s="6" t="str">
        <f t="shared" si="17"/>
        <v/>
      </c>
      <c r="J323" s="6" t="str">
        <f t="shared" si="18"/>
        <v/>
      </c>
      <c r="K323" t="str">
        <f>IFERROR(MATCH(303,Сборка!$R$2:$R$501,0),"")</f>
        <v/>
      </c>
      <c r="L323" t="str">
        <f>IFERROR(IF(INDEX(Сборка!$Q$2:$Q$501,MATCH(303+1,Сборка!$R$2:$R$501,0))=1,INDEX(Сборка!$P$2:$P$501,MATCH(303+1,Сборка!$R$2:$R$501,0)),""),"")</f>
        <v/>
      </c>
      <c r="M323" t="str">
        <f t="shared" si="19"/>
        <v/>
      </c>
    </row>
    <row r="324" spans="1:13" hidden="1" x14ac:dyDescent="0.3">
      <c r="A324" t="str">
        <f>IF(ISNUMBER($K324),INDEX(Сборка!$O$2:$O$501,$K324),"")</f>
        <v/>
      </c>
      <c r="B324" t="str">
        <f>IF(ISNUMBER($K324),INDEX(Сборка!$C$2:$C$501,$K324),"")</f>
        <v/>
      </c>
      <c r="C324" s="5" t="str">
        <f>IF($L324&lt;&gt;"",INDEX(Сборка!$S$2:$S$501,MATCH($L324,Сборка!$P$2:$P$501,0)),IF(ISNUMBER($K324),INDEX(Сборка!$D$2:$D$501,$K324)&amp;IF(INDEX(Сборка!$I$2:$I$501,$K324)&lt;&gt;""," — "&amp;INDEX(Сборка!$I$2:$I$501,$K324),""),""))</f>
        <v/>
      </c>
      <c r="D324" t="str">
        <f>IF(ISNUMBER($K324),INDEX(Сборка!$E$2:$E$501,$K324),"")</f>
        <v/>
      </c>
      <c r="E324" t="str">
        <f>IF(ISNUMBER($K324),INDEX(Сборка!$G$2:$G$501,$K324),"")</f>
        <v/>
      </c>
      <c r="F324" s="6" t="str">
        <f>IF(ISNUMBER($K324),INDEX(Сборка!$J$2:$J$501,$K324),"")</f>
        <v/>
      </c>
      <c r="G324" s="6" t="str">
        <f>IF(ISNUMBER($K324),INDEX(Сборка!$K$2:$K$501,$K324),"")</f>
        <v/>
      </c>
      <c r="H324" s="6" t="str">
        <f t="shared" si="16"/>
        <v/>
      </c>
      <c r="I324" s="6" t="str">
        <f t="shared" si="17"/>
        <v/>
      </c>
      <c r="J324" s="6" t="str">
        <f t="shared" si="18"/>
        <v/>
      </c>
      <c r="K324" t="str">
        <f>IFERROR(MATCH(304,Сборка!$R$2:$R$501,0),"")</f>
        <v/>
      </c>
      <c r="L324" t="str">
        <f>IFERROR(IF(INDEX(Сборка!$Q$2:$Q$501,MATCH(304+1,Сборка!$R$2:$R$501,0))=1,INDEX(Сборка!$P$2:$P$501,MATCH(304+1,Сборка!$R$2:$R$501,0)),""),"")</f>
        <v/>
      </c>
      <c r="M324" t="str">
        <f t="shared" si="19"/>
        <v/>
      </c>
    </row>
    <row r="325" spans="1:13" hidden="1" x14ac:dyDescent="0.3">
      <c r="A325" t="str">
        <f>IF(ISNUMBER($K325),INDEX(Сборка!$O$2:$O$501,$K325),"")</f>
        <v/>
      </c>
      <c r="B325" t="str">
        <f>IF(ISNUMBER($K325),INDEX(Сборка!$C$2:$C$501,$K325),"")</f>
        <v/>
      </c>
      <c r="C325" s="5" t="str">
        <f>IF($L325&lt;&gt;"",INDEX(Сборка!$S$2:$S$501,MATCH($L325,Сборка!$P$2:$P$501,0)),IF(ISNUMBER($K325),INDEX(Сборка!$D$2:$D$501,$K325)&amp;IF(INDEX(Сборка!$I$2:$I$501,$K325)&lt;&gt;""," — "&amp;INDEX(Сборка!$I$2:$I$501,$K325),""),""))</f>
        <v/>
      </c>
      <c r="D325" t="str">
        <f>IF(ISNUMBER($K325),INDEX(Сборка!$E$2:$E$501,$K325),"")</f>
        <v/>
      </c>
      <c r="E325" t="str">
        <f>IF(ISNUMBER($K325),INDEX(Сборка!$G$2:$G$501,$K325),"")</f>
        <v/>
      </c>
      <c r="F325" s="6" t="str">
        <f>IF(ISNUMBER($K325),INDEX(Сборка!$J$2:$J$501,$K325),"")</f>
        <v/>
      </c>
      <c r="G325" s="6" t="str">
        <f>IF(ISNUMBER($K325),INDEX(Сборка!$K$2:$K$501,$K325),"")</f>
        <v/>
      </c>
      <c r="H325" s="6" t="str">
        <f t="shared" si="16"/>
        <v/>
      </c>
      <c r="I325" s="6" t="str">
        <f t="shared" si="17"/>
        <v/>
      </c>
      <c r="J325" s="6" t="str">
        <f t="shared" si="18"/>
        <v/>
      </c>
      <c r="K325" t="str">
        <f>IFERROR(MATCH(305,Сборка!$R$2:$R$501,0),"")</f>
        <v/>
      </c>
      <c r="L325" t="str">
        <f>IFERROR(IF(INDEX(Сборка!$Q$2:$Q$501,MATCH(305+1,Сборка!$R$2:$R$501,0))=1,INDEX(Сборка!$P$2:$P$501,MATCH(305+1,Сборка!$R$2:$R$501,0)),""),"")</f>
        <v/>
      </c>
      <c r="M325" t="str">
        <f t="shared" si="19"/>
        <v/>
      </c>
    </row>
    <row r="326" spans="1:13" hidden="1" x14ac:dyDescent="0.3">
      <c r="A326" t="str">
        <f>IF(ISNUMBER($K326),INDEX(Сборка!$O$2:$O$501,$K326),"")</f>
        <v/>
      </c>
      <c r="B326" t="str">
        <f>IF(ISNUMBER($K326),INDEX(Сборка!$C$2:$C$501,$K326),"")</f>
        <v/>
      </c>
      <c r="C326" s="5" t="str">
        <f>IF($L326&lt;&gt;"",INDEX(Сборка!$S$2:$S$501,MATCH($L326,Сборка!$P$2:$P$501,0)),IF(ISNUMBER($K326),INDEX(Сборка!$D$2:$D$501,$K326)&amp;IF(INDEX(Сборка!$I$2:$I$501,$K326)&lt;&gt;""," — "&amp;INDEX(Сборка!$I$2:$I$501,$K326),""),""))</f>
        <v/>
      </c>
      <c r="D326" t="str">
        <f>IF(ISNUMBER($K326),INDEX(Сборка!$E$2:$E$501,$K326),"")</f>
        <v/>
      </c>
      <c r="E326" t="str">
        <f>IF(ISNUMBER($K326),INDEX(Сборка!$G$2:$G$501,$K326),"")</f>
        <v/>
      </c>
      <c r="F326" s="6" t="str">
        <f>IF(ISNUMBER($K326),INDEX(Сборка!$J$2:$J$501,$K326),"")</f>
        <v/>
      </c>
      <c r="G326" s="6" t="str">
        <f>IF(ISNUMBER($K326),INDEX(Сборка!$K$2:$K$501,$K326),"")</f>
        <v/>
      </c>
      <c r="H326" s="6" t="str">
        <f t="shared" si="16"/>
        <v/>
      </c>
      <c r="I326" s="6" t="str">
        <f t="shared" si="17"/>
        <v/>
      </c>
      <c r="J326" s="6" t="str">
        <f t="shared" si="18"/>
        <v/>
      </c>
      <c r="K326" t="str">
        <f>IFERROR(MATCH(306,Сборка!$R$2:$R$501,0),"")</f>
        <v/>
      </c>
      <c r="L326" t="str">
        <f>IFERROR(IF(INDEX(Сборка!$Q$2:$Q$501,MATCH(306+1,Сборка!$R$2:$R$501,0))=1,INDEX(Сборка!$P$2:$P$501,MATCH(306+1,Сборка!$R$2:$R$501,0)),""),"")</f>
        <v/>
      </c>
      <c r="M326" t="str">
        <f t="shared" si="19"/>
        <v/>
      </c>
    </row>
    <row r="327" spans="1:13" hidden="1" x14ac:dyDescent="0.3">
      <c r="A327" t="str">
        <f>IF(ISNUMBER($K327),INDEX(Сборка!$O$2:$O$501,$K327),"")</f>
        <v/>
      </c>
      <c r="B327" t="str">
        <f>IF(ISNUMBER($K327),INDEX(Сборка!$C$2:$C$501,$K327),"")</f>
        <v/>
      </c>
      <c r="C327" s="5" t="str">
        <f>IF($L327&lt;&gt;"",INDEX(Сборка!$S$2:$S$501,MATCH($L327,Сборка!$P$2:$P$501,0)),IF(ISNUMBER($K327),INDEX(Сборка!$D$2:$D$501,$K327)&amp;IF(INDEX(Сборка!$I$2:$I$501,$K327)&lt;&gt;""," — "&amp;INDEX(Сборка!$I$2:$I$501,$K327),""),""))</f>
        <v/>
      </c>
      <c r="D327" t="str">
        <f>IF(ISNUMBER($K327),INDEX(Сборка!$E$2:$E$501,$K327),"")</f>
        <v/>
      </c>
      <c r="E327" t="str">
        <f>IF(ISNUMBER($K327),INDEX(Сборка!$G$2:$G$501,$K327),"")</f>
        <v/>
      </c>
      <c r="F327" s="6" t="str">
        <f>IF(ISNUMBER($K327),INDEX(Сборка!$J$2:$J$501,$K327),"")</f>
        <v/>
      </c>
      <c r="G327" s="6" t="str">
        <f>IF(ISNUMBER($K327),INDEX(Сборка!$K$2:$K$501,$K327),"")</f>
        <v/>
      </c>
      <c r="H327" s="6" t="str">
        <f t="shared" si="16"/>
        <v/>
      </c>
      <c r="I327" s="6" t="str">
        <f t="shared" si="17"/>
        <v/>
      </c>
      <c r="J327" s="6" t="str">
        <f t="shared" si="18"/>
        <v/>
      </c>
      <c r="K327" t="str">
        <f>IFERROR(MATCH(307,Сборка!$R$2:$R$501,0),"")</f>
        <v/>
      </c>
      <c r="L327" t="str">
        <f>IFERROR(IF(INDEX(Сборка!$Q$2:$Q$501,MATCH(307+1,Сборка!$R$2:$R$501,0))=1,INDEX(Сборка!$P$2:$P$501,MATCH(307+1,Сборка!$R$2:$R$501,0)),""),"")</f>
        <v/>
      </c>
      <c r="M327" t="str">
        <f t="shared" si="19"/>
        <v/>
      </c>
    </row>
    <row r="328" spans="1:13" hidden="1" x14ac:dyDescent="0.3">
      <c r="A328" t="str">
        <f>IF(ISNUMBER($K328),INDEX(Сборка!$O$2:$O$501,$K328),"")</f>
        <v/>
      </c>
      <c r="B328" t="str">
        <f>IF(ISNUMBER($K328),INDEX(Сборка!$C$2:$C$501,$K328),"")</f>
        <v/>
      </c>
      <c r="C328" s="5" t="str">
        <f>IF($L328&lt;&gt;"",INDEX(Сборка!$S$2:$S$501,MATCH($L328,Сборка!$P$2:$P$501,0)),IF(ISNUMBER($K328),INDEX(Сборка!$D$2:$D$501,$K328)&amp;IF(INDEX(Сборка!$I$2:$I$501,$K328)&lt;&gt;""," — "&amp;INDEX(Сборка!$I$2:$I$501,$K328),""),""))</f>
        <v/>
      </c>
      <c r="D328" t="str">
        <f>IF(ISNUMBER($K328),INDEX(Сборка!$E$2:$E$501,$K328),"")</f>
        <v/>
      </c>
      <c r="E328" t="str">
        <f>IF(ISNUMBER($K328),INDEX(Сборка!$G$2:$G$501,$K328),"")</f>
        <v/>
      </c>
      <c r="F328" s="6" t="str">
        <f>IF(ISNUMBER($K328),INDEX(Сборка!$J$2:$J$501,$K328),"")</f>
        <v/>
      </c>
      <c r="G328" s="6" t="str">
        <f>IF(ISNUMBER($K328),INDEX(Сборка!$K$2:$K$501,$K328),"")</f>
        <v/>
      </c>
      <c r="H328" s="6" t="str">
        <f t="shared" si="16"/>
        <v/>
      </c>
      <c r="I328" s="6" t="str">
        <f t="shared" si="17"/>
        <v/>
      </c>
      <c r="J328" s="6" t="str">
        <f t="shared" si="18"/>
        <v/>
      </c>
      <c r="K328" t="str">
        <f>IFERROR(MATCH(308,Сборка!$R$2:$R$501,0),"")</f>
        <v/>
      </c>
      <c r="L328" t="str">
        <f>IFERROR(IF(INDEX(Сборка!$Q$2:$Q$501,MATCH(308+1,Сборка!$R$2:$R$501,0))=1,INDEX(Сборка!$P$2:$P$501,MATCH(308+1,Сборка!$R$2:$R$501,0)),""),"")</f>
        <v/>
      </c>
      <c r="M328" t="str">
        <f t="shared" si="19"/>
        <v/>
      </c>
    </row>
    <row r="329" spans="1:13" hidden="1" x14ac:dyDescent="0.3">
      <c r="A329" t="str">
        <f>IF(ISNUMBER($K329),INDEX(Сборка!$O$2:$O$501,$K329),"")</f>
        <v/>
      </c>
      <c r="B329" t="str">
        <f>IF(ISNUMBER($K329),INDEX(Сборка!$C$2:$C$501,$K329),"")</f>
        <v/>
      </c>
      <c r="C329" s="5" t="str">
        <f>IF($L329&lt;&gt;"",INDEX(Сборка!$S$2:$S$501,MATCH($L329,Сборка!$P$2:$P$501,0)),IF(ISNUMBER($K329),INDEX(Сборка!$D$2:$D$501,$K329)&amp;IF(INDEX(Сборка!$I$2:$I$501,$K329)&lt;&gt;""," — "&amp;INDEX(Сборка!$I$2:$I$501,$K329),""),""))</f>
        <v/>
      </c>
      <c r="D329" t="str">
        <f>IF(ISNUMBER($K329),INDEX(Сборка!$E$2:$E$501,$K329),"")</f>
        <v/>
      </c>
      <c r="E329" t="str">
        <f>IF(ISNUMBER($K329),INDEX(Сборка!$G$2:$G$501,$K329),"")</f>
        <v/>
      </c>
      <c r="F329" s="6" t="str">
        <f>IF(ISNUMBER($K329),INDEX(Сборка!$J$2:$J$501,$K329),"")</f>
        <v/>
      </c>
      <c r="G329" s="6" t="str">
        <f>IF(ISNUMBER($K329),INDEX(Сборка!$K$2:$K$501,$K329),"")</f>
        <v/>
      </c>
      <c r="H329" s="6" t="str">
        <f t="shared" si="16"/>
        <v/>
      </c>
      <c r="I329" s="6" t="str">
        <f t="shared" si="17"/>
        <v/>
      </c>
      <c r="J329" s="6" t="str">
        <f t="shared" si="18"/>
        <v/>
      </c>
      <c r="K329" t="str">
        <f>IFERROR(MATCH(309,Сборка!$R$2:$R$501,0),"")</f>
        <v/>
      </c>
      <c r="L329" t="str">
        <f>IFERROR(IF(INDEX(Сборка!$Q$2:$Q$501,MATCH(309+1,Сборка!$R$2:$R$501,0))=1,INDEX(Сборка!$P$2:$P$501,MATCH(309+1,Сборка!$R$2:$R$501,0)),""),"")</f>
        <v/>
      </c>
      <c r="M329" t="str">
        <f t="shared" si="19"/>
        <v/>
      </c>
    </row>
    <row r="330" spans="1:13" hidden="1" x14ac:dyDescent="0.3">
      <c r="A330" t="str">
        <f>IF(ISNUMBER($K330),INDEX(Сборка!$O$2:$O$501,$K330),"")</f>
        <v/>
      </c>
      <c r="B330" t="str">
        <f>IF(ISNUMBER($K330),INDEX(Сборка!$C$2:$C$501,$K330),"")</f>
        <v/>
      </c>
      <c r="C330" s="5" t="str">
        <f>IF($L330&lt;&gt;"",INDEX(Сборка!$S$2:$S$501,MATCH($L330,Сборка!$P$2:$P$501,0)),IF(ISNUMBER($K330),INDEX(Сборка!$D$2:$D$501,$K330)&amp;IF(INDEX(Сборка!$I$2:$I$501,$K330)&lt;&gt;""," — "&amp;INDEX(Сборка!$I$2:$I$501,$K330),""),""))</f>
        <v/>
      </c>
      <c r="D330" t="str">
        <f>IF(ISNUMBER($K330),INDEX(Сборка!$E$2:$E$501,$K330),"")</f>
        <v/>
      </c>
      <c r="E330" t="str">
        <f>IF(ISNUMBER($K330),INDEX(Сборка!$G$2:$G$501,$K330),"")</f>
        <v/>
      </c>
      <c r="F330" s="6" t="str">
        <f>IF(ISNUMBER($K330),INDEX(Сборка!$J$2:$J$501,$K330),"")</f>
        <v/>
      </c>
      <c r="G330" s="6" t="str">
        <f>IF(ISNUMBER($K330),INDEX(Сборка!$K$2:$K$501,$K330),"")</f>
        <v/>
      </c>
      <c r="H330" s="6" t="str">
        <f t="shared" si="16"/>
        <v/>
      </c>
      <c r="I330" s="6" t="str">
        <f t="shared" si="17"/>
        <v/>
      </c>
      <c r="J330" s="6" t="str">
        <f t="shared" si="18"/>
        <v/>
      </c>
      <c r="K330" t="str">
        <f>IFERROR(MATCH(310,Сборка!$R$2:$R$501,0),"")</f>
        <v/>
      </c>
      <c r="L330" t="str">
        <f>IFERROR(IF(INDEX(Сборка!$Q$2:$Q$501,MATCH(310+1,Сборка!$R$2:$R$501,0))=1,INDEX(Сборка!$P$2:$P$501,MATCH(310+1,Сборка!$R$2:$R$501,0)),""),"")</f>
        <v/>
      </c>
      <c r="M330" t="str">
        <f t="shared" si="19"/>
        <v/>
      </c>
    </row>
    <row r="331" spans="1:13" hidden="1" x14ac:dyDescent="0.3">
      <c r="A331" t="str">
        <f>IF(ISNUMBER($K331),INDEX(Сборка!$O$2:$O$501,$K331),"")</f>
        <v/>
      </c>
      <c r="B331" t="str">
        <f>IF(ISNUMBER($K331),INDEX(Сборка!$C$2:$C$501,$K331),"")</f>
        <v/>
      </c>
      <c r="C331" s="5" t="str">
        <f>IF($L331&lt;&gt;"",INDEX(Сборка!$S$2:$S$501,MATCH($L331,Сборка!$P$2:$P$501,0)),IF(ISNUMBER($K331),INDEX(Сборка!$D$2:$D$501,$K331)&amp;IF(INDEX(Сборка!$I$2:$I$501,$K331)&lt;&gt;""," — "&amp;INDEX(Сборка!$I$2:$I$501,$K331),""),""))</f>
        <v/>
      </c>
      <c r="D331" t="str">
        <f>IF(ISNUMBER($K331),INDEX(Сборка!$E$2:$E$501,$K331),"")</f>
        <v/>
      </c>
      <c r="E331" t="str">
        <f>IF(ISNUMBER($K331),INDEX(Сборка!$G$2:$G$501,$K331),"")</f>
        <v/>
      </c>
      <c r="F331" s="6" t="str">
        <f>IF(ISNUMBER($K331),INDEX(Сборка!$J$2:$J$501,$K331),"")</f>
        <v/>
      </c>
      <c r="G331" s="6" t="str">
        <f>IF(ISNUMBER($K331),INDEX(Сборка!$K$2:$K$501,$K331),"")</f>
        <v/>
      </c>
      <c r="H331" s="6" t="str">
        <f t="shared" si="16"/>
        <v/>
      </c>
      <c r="I331" s="6" t="str">
        <f t="shared" si="17"/>
        <v/>
      </c>
      <c r="J331" s="6" t="str">
        <f t="shared" si="18"/>
        <v/>
      </c>
      <c r="K331" t="str">
        <f>IFERROR(MATCH(311,Сборка!$R$2:$R$501,0),"")</f>
        <v/>
      </c>
      <c r="L331" t="str">
        <f>IFERROR(IF(INDEX(Сборка!$Q$2:$Q$501,MATCH(311+1,Сборка!$R$2:$R$501,0))=1,INDEX(Сборка!$P$2:$P$501,MATCH(311+1,Сборка!$R$2:$R$501,0)),""),"")</f>
        <v/>
      </c>
      <c r="M331" t="str">
        <f t="shared" si="19"/>
        <v/>
      </c>
    </row>
    <row r="332" spans="1:13" hidden="1" x14ac:dyDescent="0.3">
      <c r="A332" t="str">
        <f>IF(ISNUMBER($K332),INDEX(Сборка!$O$2:$O$501,$K332),"")</f>
        <v/>
      </c>
      <c r="B332" t="str">
        <f>IF(ISNUMBER($K332),INDEX(Сборка!$C$2:$C$501,$K332),"")</f>
        <v/>
      </c>
      <c r="C332" s="5" t="str">
        <f>IF($L332&lt;&gt;"",INDEX(Сборка!$S$2:$S$501,MATCH($L332,Сборка!$P$2:$P$501,0)),IF(ISNUMBER($K332),INDEX(Сборка!$D$2:$D$501,$K332)&amp;IF(INDEX(Сборка!$I$2:$I$501,$K332)&lt;&gt;""," — "&amp;INDEX(Сборка!$I$2:$I$501,$K332),""),""))</f>
        <v/>
      </c>
      <c r="D332" t="str">
        <f>IF(ISNUMBER($K332),INDEX(Сборка!$E$2:$E$501,$K332),"")</f>
        <v/>
      </c>
      <c r="E332" t="str">
        <f>IF(ISNUMBER($K332),INDEX(Сборка!$G$2:$G$501,$K332),"")</f>
        <v/>
      </c>
      <c r="F332" s="6" t="str">
        <f>IF(ISNUMBER($K332),INDEX(Сборка!$J$2:$J$501,$K332),"")</f>
        <v/>
      </c>
      <c r="G332" s="6" t="str">
        <f>IF(ISNUMBER($K332),INDEX(Сборка!$K$2:$K$501,$K332),"")</f>
        <v/>
      </c>
      <c r="H332" s="6" t="str">
        <f t="shared" si="16"/>
        <v/>
      </c>
      <c r="I332" s="6" t="str">
        <f t="shared" si="17"/>
        <v/>
      </c>
      <c r="J332" s="6" t="str">
        <f t="shared" si="18"/>
        <v/>
      </c>
      <c r="K332" t="str">
        <f>IFERROR(MATCH(312,Сборка!$R$2:$R$501,0),"")</f>
        <v/>
      </c>
      <c r="L332" t="str">
        <f>IFERROR(IF(INDEX(Сборка!$Q$2:$Q$501,MATCH(312+1,Сборка!$R$2:$R$501,0))=1,INDEX(Сборка!$P$2:$P$501,MATCH(312+1,Сборка!$R$2:$R$501,0)),""),"")</f>
        <v/>
      </c>
      <c r="M332" t="str">
        <f t="shared" si="19"/>
        <v/>
      </c>
    </row>
    <row r="333" spans="1:13" hidden="1" x14ac:dyDescent="0.3">
      <c r="A333" t="str">
        <f>IF(ISNUMBER($K333),INDEX(Сборка!$O$2:$O$501,$K333),"")</f>
        <v/>
      </c>
      <c r="B333" t="str">
        <f>IF(ISNUMBER($K333),INDEX(Сборка!$C$2:$C$501,$K333),"")</f>
        <v/>
      </c>
      <c r="C333" s="5" t="str">
        <f>IF($L333&lt;&gt;"",INDEX(Сборка!$S$2:$S$501,MATCH($L333,Сборка!$P$2:$P$501,0)),IF(ISNUMBER($K333),INDEX(Сборка!$D$2:$D$501,$K333)&amp;IF(INDEX(Сборка!$I$2:$I$501,$K333)&lt;&gt;""," — "&amp;INDEX(Сборка!$I$2:$I$501,$K333),""),""))</f>
        <v/>
      </c>
      <c r="D333" t="str">
        <f>IF(ISNUMBER($K333),INDEX(Сборка!$E$2:$E$501,$K333),"")</f>
        <v/>
      </c>
      <c r="E333" t="str">
        <f>IF(ISNUMBER($K333),INDEX(Сборка!$G$2:$G$501,$K333),"")</f>
        <v/>
      </c>
      <c r="F333" s="6" t="str">
        <f>IF(ISNUMBER($K333),INDEX(Сборка!$J$2:$J$501,$K333),"")</f>
        <v/>
      </c>
      <c r="G333" s="6" t="str">
        <f>IF(ISNUMBER($K333),INDEX(Сборка!$K$2:$K$501,$K333),"")</f>
        <v/>
      </c>
      <c r="H333" s="6" t="str">
        <f t="shared" si="16"/>
        <v/>
      </c>
      <c r="I333" s="6" t="str">
        <f t="shared" si="17"/>
        <v/>
      </c>
      <c r="J333" s="6" t="str">
        <f t="shared" si="18"/>
        <v/>
      </c>
      <c r="K333" t="str">
        <f>IFERROR(MATCH(313,Сборка!$R$2:$R$501,0),"")</f>
        <v/>
      </c>
      <c r="L333" t="str">
        <f>IFERROR(IF(INDEX(Сборка!$Q$2:$Q$501,MATCH(313+1,Сборка!$R$2:$R$501,0))=1,INDEX(Сборка!$P$2:$P$501,MATCH(313+1,Сборка!$R$2:$R$501,0)),""),"")</f>
        <v/>
      </c>
      <c r="M333" t="str">
        <f t="shared" si="19"/>
        <v/>
      </c>
    </row>
    <row r="334" spans="1:13" hidden="1" x14ac:dyDescent="0.3">
      <c r="A334" t="str">
        <f>IF(ISNUMBER($K334),INDEX(Сборка!$O$2:$O$501,$K334),"")</f>
        <v/>
      </c>
      <c r="B334" t="str">
        <f>IF(ISNUMBER($K334),INDEX(Сборка!$C$2:$C$501,$K334),"")</f>
        <v/>
      </c>
      <c r="C334" s="5" t="str">
        <f>IF($L334&lt;&gt;"",INDEX(Сборка!$S$2:$S$501,MATCH($L334,Сборка!$P$2:$P$501,0)),IF(ISNUMBER($K334),INDEX(Сборка!$D$2:$D$501,$K334)&amp;IF(INDEX(Сборка!$I$2:$I$501,$K334)&lt;&gt;""," — "&amp;INDEX(Сборка!$I$2:$I$501,$K334),""),""))</f>
        <v/>
      </c>
      <c r="D334" t="str">
        <f>IF(ISNUMBER($K334),INDEX(Сборка!$E$2:$E$501,$K334),"")</f>
        <v/>
      </c>
      <c r="E334" t="str">
        <f>IF(ISNUMBER($K334),INDEX(Сборка!$G$2:$G$501,$K334),"")</f>
        <v/>
      </c>
      <c r="F334" s="6" t="str">
        <f>IF(ISNUMBER($K334),INDEX(Сборка!$J$2:$J$501,$K334),"")</f>
        <v/>
      </c>
      <c r="G334" s="6" t="str">
        <f>IF(ISNUMBER($K334),INDEX(Сборка!$K$2:$K$501,$K334),"")</f>
        <v/>
      </c>
      <c r="H334" s="6" t="str">
        <f t="shared" si="16"/>
        <v/>
      </c>
      <c r="I334" s="6" t="str">
        <f t="shared" si="17"/>
        <v/>
      </c>
      <c r="J334" s="6" t="str">
        <f t="shared" si="18"/>
        <v/>
      </c>
      <c r="K334" t="str">
        <f>IFERROR(MATCH(314,Сборка!$R$2:$R$501,0),"")</f>
        <v/>
      </c>
      <c r="L334" t="str">
        <f>IFERROR(IF(INDEX(Сборка!$Q$2:$Q$501,MATCH(314+1,Сборка!$R$2:$R$501,0))=1,INDEX(Сборка!$P$2:$P$501,MATCH(314+1,Сборка!$R$2:$R$501,0)),""),"")</f>
        <v/>
      </c>
      <c r="M334" t="str">
        <f t="shared" si="19"/>
        <v/>
      </c>
    </row>
    <row r="335" spans="1:13" hidden="1" x14ac:dyDescent="0.3">
      <c r="A335" t="str">
        <f>IF(ISNUMBER($K335),INDEX(Сборка!$O$2:$O$501,$K335),"")</f>
        <v/>
      </c>
      <c r="B335" t="str">
        <f>IF(ISNUMBER($K335),INDEX(Сборка!$C$2:$C$501,$K335),"")</f>
        <v/>
      </c>
      <c r="C335" s="5" t="str">
        <f>IF($L335&lt;&gt;"",INDEX(Сборка!$S$2:$S$501,MATCH($L335,Сборка!$P$2:$P$501,0)),IF(ISNUMBER($K335),INDEX(Сборка!$D$2:$D$501,$K335)&amp;IF(INDEX(Сборка!$I$2:$I$501,$K335)&lt;&gt;""," — "&amp;INDEX(Сборка!$I$2:$I$501,$K335),""),""))</f>
        <v/>
      </c>
      <c r="D335" t="str">
        <f>IF(ISNUMBER($K335),INDEX(Сборка!$E$2:$E$501,$K335),"")</f>
        <v/>
      </c>
      <c r="E335" t="str">
        <f>IF(ISNUMBER($K335),INDEX(Сборка!$G$2:$G$501,$K335),"")</f>
        <v/>
      </c>
      <c r="F335" s="6" t="str">
        <f>IF(ISNUMBER($K335),INDEX(Сборка!$J$2:$J$501,$K335),"")</f>
        <v/>
      </c>
      <c r="G335" s="6" t="str">
        <f>IF(ISNUMBER($K335),INDEX(Сборка!$K$2:$K$501,$K335),"")</f>
        <v/>
      </c>
      <c r="H335" s="6" t="str">
        <f t="shared" si="16"/>
        <v/>
      </c>
      <c r="I335" s="6" t="str">
        <f t="shared" si="17"/>
        <v/>
      </c>
      <c r="J335" s="6" t="str">
        <f t="shared" si="18"/>
        <v/>
      </c>
      <c r="K335" t="str">
        <f>IFERROR(MATCH(315,Сборка!$R$2:$R$501,0),"")</f>
        <v/>
      </c>
      <c r="L335" t="str">
        <f>IFERROR(IF(INDEX(Сборка!$Q$2:$Q$501,MATCH(315+1,Сборка!$R$2:$R$501,0))=1,INDEX(Сборка!$P$2:$P$501,MATCH(315+1,Сборка!$R$2:$R$501,0)),""),"")</f>
        <v/>
      </c>
      <c r="M335" t="str">
        <f t="shared" si="19"/>
        <v/>
      </c>
    </row>
    <row r="336" spans="1:13" hidden="1" x14ac:dyDescent="0.3">
      <c r="A336" t="str">
        <f>IF(ISNUMBER($K336),INDEX(Сборка!$O$2:$O$501,$K336),"")</f>
        <v/>
      </c>
      <c r="B336" t="str">
        <f>IF(ISNUMBER($K336),INDEX(Сборка!$C$2:$C$501,$K336),"")</f>
        <v/>
      </c>
      <c r="C336" s="5" t="str">
        <f>IF($L336&lt;&gt;"",INDEX(Сборка!$S$2:$S$501,MATCH($L336,Сборка!$P$2:$P$501,0)),IF(ISNUMBER($K336),INDEX(Сборка!$D$2:$D$501,$K336)&amp;IF(INDEX(Сборка!$I$2:$I$501,$K336)&lt;&gt;""," — "&amp;INDEX(Сборка!$I$2:$I$501,$K336),""),""))</f>
        <v/>
      </c>
      <c r="D336" t="str">
        <f>IF(ISNUMBER($K336),INDEX(Сборка!$E$2:$E$501,$K336),"")</f>
        <v/>
      </c>
      <c r="E336" t="str">
        <f>IF(ISNUMBER($K336),INDEX(Сборка!$G$2:$G$501,$K336),"")</f>
        <v/>
      </c>
      <c r="F336" s="6" t="str">
        <f>IF(ISNUMBER($K336),INDEX(Сборка!$J$2:$J$501,$K336),"")</f>
        <v/>
      </c>
      <c r="G336" s="6" t="str">
        <f>IF(ISNUMBER($K336),INDEX(Сборка!$K$2:$K$501,$K336),"")</f>
        <v/>
      </c>
      <c r="H336" s="6" t="str">
        <f t="shared" si="16"/>
        <v/>
      </c>
      <c r="I336" s="6" t="str">
        <f t="shared" si="17"/>
        <v/>
      </c>
      <c r="J336" s="6" t="str">
        <f t="shared" si="18"/>
        <v/>
      </c>
      <c r="K336" t="str">
        <f>IFERROR(MATCH(316,Сборка!$R$2:$R$501,0),"")</f>
        <v/>
      </c>
      <c r="L336" t="str">
        <f>IFERROR(IF(INDEX(Сборка!$Q$2:$Q$501,MATCH(316+1,Сборка!$R$2:$R$501,0))=1,INDEX(Сборка!$P$2:$P$501,MATCH(316+1,Сборка!$R$2:$R$501,0)),""),"")</f>
        <v/>
      </c>
      <c r="M336" t="str">
        <f t="shared" si="19"/>
        <v/>
      </c>
    </row>
    <row r="337" spans="1:13" hidden="1" x14ac:dyDescent="0.3">
      <c r="A337" t="str">
        <f>IF(ISNUMBER($K337),INDEX(Сборка!$O$2:$O$501,$K337),"")</f>
        <v/>
      </c>
      <c r="B337" t="str">
        <f>IF(ISNUMBER($K337),INDEX(Сборка!$C$2:$C$501,$K337),"")</f>
        <v/>
      </c>
      <c r="C337" s="5" t="str">
        <f>IF($L337&lt;&gt;"",INDEX(Сборка!$S$2:$S$501,MATCH($L337,Сборка!$P$2:$P$501,0)),IF(ISNUMBER($K337),INDEX(Сборка!$D$2:$D$501,$K337)&amp;IF(INDEX(Сборка!$I$2:$I$501,$K337)&lt;&gt;""," — "&amp;INDEX(Сборка!$I$2:$I$501,$K337),""),""))</f>
        <v/>
      </c>
      <c r="D337" t="str">
        <f>IF(ISNUMBER($K337),INDEX(Сборка!$E$2:$E$501,$K337),"")</f>
        <v/>
      </c>
      <c r="E337" t="str">
        <f>IF(ISNUMBER($K337),INDEX(Сборка!$G$2:$G$501,$K337),"")</f>
        <v/>
      </c>
      <c r="F337" s="6" t="str">
        <f>IF(ISNUMBER($K337),INDEX(Сборка!$J$2:$J$501,$K337),"")</f>
        <v/>
      </c>
      <c r="G337" s="6" t="str">
        <f>IF(ISNUMBER($K337),INDEX(Сборка!$K$2:$K$501,$K337),"")</f>
        <v/>
      </c>
      <c r="H337" s="6" t="str">
        <f t="shared" si="16"/>
        <v/>
      </c>
      <c r="I337" s="6" t="str">
        <f t="shared" si="17"/>
        <v/>
      </c>
      <c r="J337" s="6" t="str">
        <f t="shared" si="18"/>
        <v/>
      </c>
      <c r="K337" t="str">
        <f>IFERROR(MATCH(317,Сборка!$R$2:$R$501,0),"")</f>
        <v/>
      </c>
      <c r="L337" t="str">
        <f>IFERROR(IF(INDEX(Сборка!$Q$2:$Q$501,MATCH(317+1,Сборка!$R$2:$R$501,0))=1,INDEX(Сборка!$P$2:$P$501,MATCH(317+1,Сборка!$R$2:$R$501,0)),""),"")</f>
        <v/>
      </c>
      <c r="M337" t="str">
        <f t="shared" si="19"/>
        <v/>
      </c>
    </row>
    <row r="338" spans="1:13" hidden="1" x14ac:dyDescent="0.3">
      <c r="A338" t="str">
        <f>IF(ISNUMBER($K338),INDEX(Сборка!$O$2:$O$501,$K338),"")</f>
        <v/>
      </c>
      <c r="B338" t="str">
        <f>IF(ISNUMBER($K338),INDEX(Сборка!$C$2:$C$501,$K338),"")</f>
        <v/>
      </c>
      <c r="C338" s="5" t="str">
        <f>IF($L338&lt;&gt;"",INDEX(Сборка!$S$2:$S$501,MATCH($L338,Сборка!$P$2:$P$501,0)),IF(ISNUMBER($K338),INDEX(Сборка!$D$2:$D$501,$K338)&amp;IF(INDEX(Сборка!$I$2:$I$501,$K338)&lt;&gt;""," — "&amp;INDEX(Сборка!$I$2:$I$501,$K338),""),""))</f>
        <v/>
      </c>
      <c r="D338" t="str">
        <f>IF(ISNUMBER($K338),INDEX(Сборка!$E$2:$E$501,$K338),"")</f>
        <v/>
      </c>
      <c r="E338" t="str">
        <f>IF(ISNUMBER($K338),INDEX(Сборка!$G$2:$G$501,$K338),"")</f>
        <v/>
      </c>
      <c r="F338" s="6" t="str">
        <f>IF(ISNUMBER($K338),INDEX(Сборка!$J$2:$J$501,$K338),"")</f>
        <v/>
      </c>
      <c r="G338" s="6" t="str">
        <f>IF(ISNUMBER($K338),INDEX(Сборка!$K$2:$K$501,$K338),"")</f>
        <v/>
      </c>
      <c r="H338" s="6" t="str">
        <f t="shared" si="16"/>
        <v/>
      </c>
      <c r="I338" s="6" t="str">
        <f t="shared" si="17"/>
        <v/>
      </c>
      <c r="J338" s="6" t="str">
        <f t="shared" si="18"/>
        <v/>
      </c>
      <c r="K338" t="str">
        <f>IFERROR(MATCH(318,Сборка!$R$2:$R$501,0),"")</f>
        <v/>
      </c>
      <c r="L338" t="str">
        <f>IFERROR(IF(INDEX(Сборка!$Q$2:$Q$501,MATCH(318+1,Сборка!$R$2:$R$501,0))=1,INDEX(Сборка!$P$2:$P$501,MATCH(318+1,Сборка!$R$2:$R$501,0)),""),"")</f>
        <v/>
      </c>
      <c r="M338" t="str">
        <f t="shared" si="19"/>
        <v/>
      </c>
    </row>
    <row r="339" spans="1:13" hidden="1" x14ac:dyDescent="0.3">
      <c r="A339" t="str">
        <f>IF(ISNUMBER($K339),INDEX(Сборка!$O$2:$O$501,$K339),"")</f>
        <v/>
      </c>
      <c r="B339" t="str">
        <f>IF(ISNUMBER($K339),INDEX(Сборка!$C$2:$C$501,$K339),"")</f>
        <v/>
      </c>
      <c r="C339" s="5" t="str">
        <f>IF($L339&lt;&gt;"",INDEX(Сборка!$S$2:$S$501,MATCH($L339,Сборка!$P$2:$P$501,0)),IF(ISNUMBER($K339),INDEX(Сборка!$D$2:$D$501,$K339)&amp;IF(INDEX(Сборка!$I$2:$I$501,$K339)&lt;&gt;""," — "&amp;INDEX(Сборка!$I$2:$I$501,$K339),""),""))</f>
        <v/>
      </c>
      <c r="D339" t="str">
        <f>IF(ISNUMBER($K339),INDEX(Сборка!$E$2:$E$501,$K339),"")</f>
        <v/>
      </c>
      <c r="E339" t="str">
        <f>IF(ISNUMBER($K339),INDEX(Сборка!$G$2:$G$501,$K339),"")</f>
        <v/>
      </c>
      <c r="F339" s="6" t="str">
        <f>IF(ISNUMBER($K339),INDEX(Сборка!$J$2:$J$501,$K339),"")</f>
        <v/>
      </c>
      <c r="G339" s="6" t="str">
        <f>IF(ISNUMBER($K339),INDEX(Сборка!$K$2:$K$501,$K339),"")</f>
        <v/>
      </c>
      <c r="H339" s="6" t="str">
        <f t="shared" si="16"/>
        <v/>
      </c>
      <c r="I339" s="6" t="str">
        <f t="shared" si="17"/>
        <v/>
      </c>
      <c r="J339" s="6" t="str">
        <f t="shared" si="18"/>
        <v/>
      </c>
      <c r="K339" t="str">
        <f>IFERROR(MATCH(319,Сборка!$R$2:$R$501,0),"")</f>
        <v/>
      </c>
      <c r="L339" t="str">
        <f>IFERROR(IF(INDEX(Сборка!$Q$2:$Q$501,MATCH(319+1,Сборка!$R$2:$R$501,0))=1,INDEX(Сборка!$P$2:$P$501,MATCH(319+1,Сборка!$R$2:$R$501,0)),""),"")</f>
        <v/>
      </c>
      <c r="M339" t="str">
        <f t="shared" si="19"/>
        <v/>
      </c>
    </row>
    <row r="340" spans="1:13" hidden="1" x14ac:dyDescent="0.3">
      <c r="A340" t="str">
        <f>IF(ISNUMBER($K340),INDEX(Сборка!$O$2:$O$501,$K340),"")</f>
        <v/>
      </c>
      <c r="B340" t="str">
        <f>IF(ISNUMBER($K340),INDEX(Сборка!$C$2:$C$501,$K340),"")</f>
        <v/>
      </c>
      <c r="C340" s="5" t="str">
        <f>IF($L340&lt;&gt;"",INDEX(Сборка!$S$2:$S$501,MATCH($L340,Сборка!$P$2:$P$501,0)),IF(ISNUMBER($K340),INDEX(Сборка!$D$2:$D$501,$K340)&amp;IF(INDEX(Сборка!$I$2:$I$501,$K340)&lt;&gt;""," — "&amp;INDEX(Сборка!$I$2:$I$501,$K340),""),""))</f>
        <v/>
      </c>
      <c r="D340" t="str">
        <f>IF(ISNUMBER($K340),INDEX(Сборка!$E$2:$E$501,$K340),"")</f>
        <v/>
      </c>
      <c r="E340" t="str">
        <f>IF(ISNUMBER($K340),INDEX(Сборка!$G$2:$G$501,$K340),"")</f>
        <v/>
      </c>
      <c r="F340" s="6" t="str">
        <f>IF(ISNUMBER($K340),INDEX(Сборка!$J$2:$J$501,$K340),"")</f>
        <v/>
      </c>
      <c r="G340" s="6" t="str">
        <f>IF(ISNUMBER($K340),INDEX(Сборка!$K$2:$K$501,$K340),"")</f>
        <v/>
      </c>
      <c r="H340" s="6" t="str">
        <f t="shared" si="16"/>
        <v/>
      </c>
      <c r="I340" s="6" t="str">
        <f t="shared" si="17"/>
        <v/>
      </c>
      <c r="J340" s="6" t="str">
        <f t="shared" si="18"/>
        <v/>
      </c>
      <c r="K340" t="str">
        <f>IFERROR(MATCH(320,Сборка!$R$2:$R$501,0),"")</f>
        <v/>
      </c>
      <c r="L340" t="str">
        <f>IFERROR(IF(INDEX(Сборка!$Q$2:$Q$501,MATCH(320+1,Сборка!$R$2:$R$501,0))=1,INDEX(Сборка!$P$2:$P$501,MATCH(320+1,Сборка!$R$2:$R$501,0)),""),"")</f>
        <v/>
      </c>
      <c r="M340" t="str">
        <f t="shared" si="19"/>
        <v/>
      </c>
    </row>
    <row r="341" spans="1:13" hidden="1" x14ac:dyDescent="0.3">
      <c r="A341" t="str">
        <f>IF(ISNUMBER($K341),INDEX(Сборка!$O$2:$O$501,$K341),"")</f>
        <v/>
      </c>
      <c r="B341" t="str">
        <f>IF(ISNUMBER($K341),INDEX(Сборка!$C$2:$C$501,$K341),"")</f>
        <v/>
      </c>
      <c r="C341" s="5" t="str">
        <f>IF($L341&lt;&gt;"",INDEX(Сборка!$S$2:$S$501,MATCH($L341,Сборка!$P$2:$P$501,0)),IF(ISNUMBER($K341),INDEX(Сборка!$D$2:$D$501,$K341)&amp;IF(INDEX(Сборка!$I$2:$I$501,$K341)&lt;&gt;""," — "&amp;INDEX(Сборка!$I$2:$I$501,$K341),""),""))</f>
        <v/>
      </c>
      <c r="D341" t="str">
        <f>IF(ISNUMBER($K341),INDEX(Сборка!$E$2:$E$501,$K341),"")</f>
        <v/>
      </c>
      <c r="E341" t="str">
        <f>IF(ISNUMBER($K341),INDEX(Сборка!$G$2:$G$501,$K341),"")</f>
        <v/>
      </c>
      <c r="F341" s="6" t="str">
        <f>IF(ISNUMBER($K341),INDEX(Сборка!$J$2:$J$501,$K341),"")</f>
        <v/>
      </c>
      <c r="G341" s="6" t="str">
        <f>IF(ISNUMBER($K341),INDEX(Сборка!$K$2:$K$501,$K341),"")</f>
        <v/>
      </c>
      <c r="H341" s="6" t="str">
        <f t="shared" ref="H341:H404" si="20">IF(ISNUMBER($K341),ROUND($E341*$F341,2),"")</f>
        <v/>
      </c>
      <c r="I341" s="6" t="str">
        <f t="shared" ref="I341:I404" si="21">IF(ISNUMBER($K341),ROUND($E341*$G341,2),"")</f>
        <v/>
      </c>
      <c r="J341" s="6" t="str">
        <f t="shared" ref="J341:J404" si="22">IF(ISNUMBER($K341),$H341+$I341,"")</f>
        <v/>
      </c>
      <c r="K341" t="str">
        <f>IFERROR(MATCH(321,Сборка!$R$2:$R$501,0),"")</f>
        <v/>
      </c>
      <c r="L341" t="str">
        <f>IFERROR(IF(INDEX(Сборка!$Q$2:$Q$501,MATCH(321+1,Сборка!$R$2:$R$501,0))=1,INDEX(Сборка!$P$2:$P$501,MATCH(321+1,Сборка!$R$2:$R$501,0)),""),"")</f>
        <v/>
      </c>
      <c r="M341" t="str">
        <f t="shared" ref="M341:M404" si="23">IF(OR(ISNUMBER($K341),$L341&lt;&gt;""),"показать","")</f>
        <v/>
      </c>
    </row>
    <row r="342" spans="1:13" hidden="1" x14ac:dyDescent="0.3">
      <c r="A342" t="str">
        <f>IF(ISNUMBER($K342),INDEX(Сборка!$O$2:$O$501,$K342),"")</f>
        <v/>
      </c>
      <c r="B342" t="str">
        <f>IF(ISNUMBER($K342),INDEX(Сборка!$C$2:$C$501,$K342),"")</f>
        <v/>
      </c>
      <c r="C342" s="5" t="str">
        <f>IF($L342&lt;&gt;"",INDEX(Сборка!$S$2:$S$501,MATCH($L342,Сборка!$P$2:$P$501,0)),IF(ISNUMBER($K342),INDEX(Сборка!$D$2:$D$501,$K342)&amp;IF(INDEX(Сборка!$I$2:$I$501,$K342)&lt;&gt;""," — "&amp;INDEX(Сборка!$I$2:$I$501,$K342),""),""))</f>
        <v/>
      </c>
      <c r="D342" t="str">
        <f>IF(ISNUMBER($K342),INDEX(Сборка!$E$2:$E$501,$K342),"")</f>
        <v/>
      </c>
      <c r="E342" t="str">
        <f>IF(ISNUMBER($K342),INDEX(Сборка!$G$2:$G$501,$K342),"")</f>
        <v/>
      </c>
      <c r="F342" s="6" t="str">
        <f>IF(ISNUMBER($K342),INDEX(Сборка!$J$2:$J$501,$K342),"")</f>
        <v/>
      </c>
      <c r="G342" s="6" t="str">
        <f>IF(ISNUMBER($K342),INDEX(Сборка!$K$2:$K$501,$K342),"")</f>
        <v/>
      </c>
      <c r="H342" s="6" t="str">
        <f t="shared" si="20"/>
        <v/>
      </c>
      <c r="I342" s="6" t="str">
        <f t="shared" si="21"/>
        <v/>
      </c>
      <c r="J342" s="6" t="str">
        <f t="shared" si="22"/>
        <v/>
      </c>
      <c r="K342" t="str">
        <f>IFERROR(MATCH(322,Сборка!$R$2:$R$501,0),"")</f>
        <v/>
      </c>
      <c r="L342" t="str">
        <f>IFERROR(IF(INDEX(Сборка!$Q$2:$Q$501,MATCH(322+1,Сборка!$R$2:$R$501,0))=1,INDEX(Сборка!$P$2:$P$501,MATCH(322+1,Сборка!$R$2:$R$501,0)),""),"")</f>
        <v/>
      </c>
      <c r="M342" t="str">
        <f t="shared" si="23"/>
        <v/>
      </c>
    </row>
    <row r="343" spans="1:13" hidden="1" x14ac:dyDescent="0.3">
      <c r="A343" t="str">
        <f>IF(ISNUMBER($K343),INDEX(Сборка!$O$2:$O$501,$K343),"")</f>
        <v/>
      </c>
      <c r="B343" t="str">
        <f>IF(ISNUMBER($K343),INDEX(Сборка!$C$2:$C$501,$K343),"")</f>
        <v/>
      </c>
      <c r="C343" s="5" t="str">
        <f>IF($L343&lt;&gt;"",INDEX(Сборка!$S$2:$S$501,MATCH($L343,Сборка!$P$2:$P$501,0)),IF(ISNUMBER($K343),INDEX(Сборка!$D$2:$D$501,$K343)&amp;IF(INDEX(Сборка!$I$2:$I$501,$K343)&lt;&gt;""," — "&amp;INDEX(Сборка!$I$2:$I$501,$K343),""),""))</f>
        <v/>
      </c>
      <c r="D343" t="str">
        <f>IF(ISNUMBER($K343),INDEX(Сборка!$E$2:$E$501,$K343),"")</f>
        <v/>
      </c>
      <c r="E343" t="str">
        <f>IF(ISNUMBER($K343),INDEX(Сборка!$G$2:$G$501,$K343),"")</f>
        <v/>
      </c>
      <c r="F343" s="6" t="str">
        <f>IF(ISNUMBER($K343),INDEX(Сборка!$J$2:$J$501,$K343),"")</f>
        <v/>
      </c>
      <c r="G343" s="6" t="str">
        <f>IF(ISNUMBER($K343),INDEX(Сборка!$K$2:$K$501,$K343),"")</f>
        <v/>
      </c>
      <c r="H343" s="6" t="str">
        <f t="shared" si="20"/>
        <v/>
      </c>
      <c r="I343" s="6" t="str">
        <f t="shared" si="21"/>
        <v/>
      </c>
      <c r="J343" s="6" t="str">
        <f t="shared" si="22"/>
        <v/>
      </c>
      <c r="K343" t="str">
        <f>IFERROR(MATCH(323,Сборка!$R$2:$R$501,0),"")</f>
        <v/>
      </c>
      <c r="L343" t="str">
        <f>IFERROR(IF(INDEX(Сборка!$Q$2:$Q$501,MATCH(323+1,Сборка!$R$2:$R$501,0))=1,INDEX(Сборка!$P$2:$P$501,MATCH(323+1,Сборка!$R$2:$R$501,0)),""),"")</f>
        <v/>
      </c>
      <c r="M343" t="str">
        <f t="shared" si="23"/>
        <v/>
      </c>
    </row>
    <row r="344" spans="1:13" hidden="1" x14ac:dyDescent="0.3">
      <c r="A344" t="str">
        <f>IF(ISNUMBER($K344),INDEX(Сборка!$O$2:$O$501,$K344),"")</f>
        <v/>
      </c>
      <c r="B344" t="str">
        <f>IF(ISNUMBER($K344),INDEX(Сборка!$C$2:$C$501,$K344),"")</f>
        <v/>
      </c>
      <c r="C344" s="5" t="str">
        <f>IF($L344&lt;&gt;"",INDEX(Сборка!$S$2:$S$501,MATCH($L344,Сборка!$P$2:$P$501,0)),IF(ISNUMBER($K344),INDEX(Сборка!$D$2:$D$501,$K344)&amp;IF(INDEX(Сборка!$I$2:$I$501,$K344)&lt;&gt;""," — "&amp;INDEX(Сборка!$I$2:$I$501,$K344),""),""))</f>
        <v/>
      </c>
      <c r="D344" t="str">
        <f>IF(ISNUMBER($K344),INDEX(Сборка!$E$2:$E$501,$K344),"")</f>
        <v/>
      </c>
      <c r="E344" t="str">
        <f>IF(ISNUMBER($K344),INDEX(Сборка!$G$2:$G$501,$K344),"")</f>
        <v/>
      </c>
      <c r="F344" s="6" t="str">
        <f>IF(ISNUMBER($K344),INDEX(Сборка!$J$2:$J$501,$K344),"")</f>
        <v/>
      </c>
      <c r="G344" s="6" t="str">
        <f>IF(ISNUMBER($K344),INDEX(Сборка!$K$2:$K$501,$K344),"")</f>
        <v/>
      </c>
      <c r="H344" s="6" t="str">
        <f t="shared" si="20"/>
        <v/>
      </c>
      <c r="I344" s="6" t="str">
        <f t="shared" si="21"/>
        <v/>
      </c>
      <c r="J344" s="6" t="str">
        <f t="shared" si="22"/>
        <v/>
      </c>
      <c r="K344" t="str">
        <f>IFERROR(MATCH(324,Сборка!$R$2:$R$501,0),"")</f>
        <v/>
      </c>
      <c r="L344" t="str">
        <f>IFERROR(IF(INDEX(Сборка!$Q$2:$Q$501,MATCH(324+1,Сборка!$R$2:$R$501,0))=1,INDEX(Сборка!$P$2:$P$501,MATCH(324+1,Сборка!$R$2:$R$501,0)),""),"")</f>
        <v/>
      </c>
      <c r="M344" t="str">
        <f t="shared" si="23"/>
        <v/>
      </c>
    </row>
    <row r="345" spans="1:13" hidden="1" x14ac:dyDescent="0.3">
      <c r="A345" t="str">
        <f>IF(ISNUMBER($K345),INDEX(Сборка!$O$2:$O$501,$K345),"")</f>
        <v/>
      </c>
      <c r="B345" t="str">
        <f>IF(ISNUMBER($K345),INDEX(Сборка!$C$2:$C$501,$K345),"")</f>
        <v/>
      </c>
      <c r="C345" s="5" t="str">
        <f>IF($L345&lt;&gt;"",INDEX(Сборка!$S$2:$S$501,MATCH($L345,Сборка!$P$2:$P$501,0)),IF(ISNUMBER($K345),INDEX(Сборка!$D$2:$D$501,$K345)&amp;IF(INDEX(Сборка!$I$2:$I$501,$K345)&lt;&gt;""," — "&amp;INDEX(Сборка!$I$2:$I$501,$K345),""),""))</f>
        <v/>
      </c>
      <c r="D345" t="str">
        <f>IF(ISNUMBER($K345),INDEX(Сборка!$E$2:$E$501,$K345),"")</f>
        <v/>
      </c>
      <c r="E345" t="str">
        <f>IF(ISNUMBER($K345),INDEX(Сборка!$G$2:$G$501,$K345),"")</f>
        <v/>
      </c>
      <c r="F345" s="6" t="str">
        <f>IF(ISNUMBER($K345),INDEX(Сборка!$J$2:$J$501,$K345),"")</f>
        <v/>
      </c>
      <c r="G345" s="6" t="str">
        <f>IF(ISNUMBER($K345),INDEX(Сборка!$K$2:$K$501,$K345),"")</f>
        <v/>
      </c>
      <c r="H345" s="6" t="str">
        <f t="shared" si="20"/>
        <v/>
      </c>
      <c r="I345" s="6" t="str">
        <f t="shared" si="21"/>
        <v/>
      </c>
      <c r="J345" s="6" t="str">
        <f t="shared" si="22"/>
        <v/>
      </c>
      <c r="K345" t="str">
        <f>IFERROR(MATCH(325,Сборка!$R$2:$R$501,0),"")</f>
        <v/>
      </c>
      <c r="L345" t="str">
        <f>IFERROR(IF(INDEX(Сборка!$Q$2:$Q$501,MATCH(325+1,Сборка!$R$2:$R$501,0))=1,INDEX(Сборка!$P$2:$P$501,MATCH(325+1,Сборка!$R$2:$R$501,0)),""),"")</f>
        <v/>
      </c>
      <c r="M345" t="str">
        <f t="shared" si="23"/>
        <v/>
      </c>
    </row>
    <row r="346" spans="1:13" hidden="1" x14ac:dyDescent="0.3">
      <c r="A346" t="str">
        <f>IF(ISNUMBER($K346),INDEX(Сборка!$O$2:$O$501,$K346),"")</f>
        <v/>
      </c>
      <c r="B346" t="str">
        <f>IF(ISNUMBER($K346),INDEX(Сборка!$C$2:$C$501,$K346),"")</f>
        <v/>
      </c>
      <c r="C346" s="5" t="str">
        <f>IF($L346&lt;&gt;"",INDEX(Сборка!$S$2:$S$501,MATCH($L346,Сборка!$P$2:$P$501,0)),IF(ISNUMBER($K346),INDEX(Сборка!$D$2:$D$501,$K346)&amp;IF(INDEX(Сборка!$I$2:$I$501,$K346)&lt;&gt;""," — "&amp;INDEX(Сборка!$I$2:$I$501,$K346),""),""))</f>
        <v/>
      </c>
      <c r="D346" t="str">
        <f>IF(ISNUMBER($K346),INDEX(Сборка!$E$2:$E$501,$K346),"")</f>
        <v/>
      </c>
      <c r="E346" t="str">
        <f>IF(ISNUMBER($K346),INDEX(Сборка!$G$2:$G$501,$K346),"")</f>
        <v/>
      </c>
      <c r="F346" s="6" t="str">
        <f>IF(ISNUMBER($K346),INDEX(Сборка!$J$2:$J$501,$K346),"")</f>
        <v/>
      </c>
      <c r="G346" s="6" t="str">
        <f>IF(ISNUMBER($K346),INDEX(Сборка!$K$2:$K$501,$K346),"")</f>
        <v/>
      </c>
      <c r="H346" s="6" t="str">
        <f t="shared" si="20"/>
        <v/>
      </c>
      <c r="I346" s="6" t="str">
        <f t="shared" si="21"/>
        <v/>
      </c>
      <c r="J346" s="6" t="str">
        <f t="shared" si="22"/>
        <v/>
      </c>
      <c r="K346" t="str">
        <f>IFERROR(MATCH(326,Сборка!$R$2:$R$501,0),"")</f>
        <v/>
      </c>
      <c r="L346" t="str">
        <f>IFERROR(IF(INDEX(Сборка!$Q$2:$Q$501,MATCH(326+1,Сборка!$R$2:$R$501,0))=1,INDEX(Сборка!$P$2:$P$501,MATCH(326+1,Сборка!$R$2:$R$501,0)),""),"")</f>
        <v/>
      </c>
      <c r="M346" t="str">
        <f t="shared" si="23"/>
        <v/>
      </c>
    </row>
    <row r="347" spans="1:13" hidden="1" x14ac:dyDescent="0.3">
      <c r="A347" t="str">
        <f>IF(ISNUMBER($K347),INDEX(Сборка!$O$2:$O$501,$K347),"")</f>
        <v/>
      </c>
      <c r="B347" t="str">
        <f>IF(ISNUMBER($K347),INDEX(Сборка!$C$2:$C$501,$K347),"")</f>
        <v/>
      </c>
      <c r="C347" s="5" t="str">
        <f>IF($L347&lt;&gt;"",INDEX(Сборка!$S$2:$S$501,MATCH($L347,Сборка!$P$2:$P$501,0)),IF(ISNUMBER($K347),INDEX(Сборка!$D$2:$D$501,$K347)&amp;IF(INDEX(Сборка!$I$2:$I$501,$K347)&lt;&gt;""," — "&amp;INDEX(Сборка!$I$2:$I$501,$K347),""),""))</f>
        <v/>
      </c>
      <c r="D347" t="str">
        <f>IF(ISNUMBER($K347),INDEX(Сборка!$E$2:$E$501,$K347),"")</f>
        <v/>
      </c>
      <c r="E347" t="str">
        <f>IF(ISNUMBER($K347),INDEX(Сборка!$G$2:$G$501,$K347),"")</f>
        <v/>
      </c>
      <c r="F347" s="6" t="str">
        <f>IF(ISNUMBER($K347),INDEX(Сборка!$J$2:$J$501,$K347),"")</f>
        <v/>
      </c>
      <c r="G347" s="6" t="str">
        <f>IF(ISNUMBER($K347),INDEX(Сборка!$K$2:$K$501,$K347),"")</f>
        <v/>
      </c>
      <c r="H347" s="6" t="str">
        <f t="shared" si="20"/>
        <v/>
      </c>
      <c r="I347" s="6" t="str">
        <f t="shared" si="21"/>
        <v/>
      </c>
      <c r="J347" s="6" t="str">
        <f t="shared" si="22"/>
        <v/>
      </c>
      <c r="K347" t="str">
        <f>IFERROR(MATCH(327,Сборка!$R$2:$R$501,0),"")</f>
        <v/>
      </c>
      <c r="L347" t="str">
        <f>IFERROR(IF(INDEX(Сборка!$Q$2:$Q$501,MATCH(327+1,Сборка!$R$2:$R$501,0))=1,INDEX(Сборка!$P$2:$P$501,MATCH(327+1,Сборка!$R$2:$R$501,0)),""),"")</f>
        <v/>
      </c>
      <c r="M347" t="str">
        <f t="shared" si="23"/>
        <v/>
      </c>
    </row>
    <row r="348" spans="1:13" hidden="1" x14ac:dyDescent="0.3">
      <c r="A348" t="str">
        <f>IF(ISNUMBER($K348),INDEX(Сборка!$O$2:$O$501,$K348),"")</f>
        <v/>
      </c>
      <c r="B348" t="str">
        <f>IF(ISNUMBER($K348),INDEX(Сборка!$C$2:$C$501,$K348),"")</f>
        <v/>
      </c>
      <c r="C348" s="5" t="str">
        <f>IF($L348&lt;&gt;"",INDEX(Сборка!$S$2:$S$501,MATCH($L348,Сборка!$P$2:$P$501,0)),IF(ISNUMBER($K348),INDEX(Сборка!$D$2:$D$501,$K348)&amp;IF(INDEX(Сборка!$I$2:$I$501,$K348)&lt;&gt;""," — "&amp;INDEX(Сборка!$I$2:$I$501,$K348),""),""))</f>
        <v/>
      </c>
      <c r="D348" t="str">
        <f>IF(ISNUMBER($K348),INDEX(Сборка!$E$2:$E$501,$K348),"")</f>
        <v/>
      </c>
      <c r="E348" t="str">
        <f>IF(ISNUMBER($K348),INDEX(Сборка!$G$2:$G$501,$K348),"")</f>
        <v/>
      </c>
      <c r="F348" s="6" t="str">
        <f>IF(ISNUMBER($K348),INDEX(Сборка!$J$2:$J$501,$K348),"")</f>
        <v/>
      </c>
      <c r="G348" s="6" t="str">
        <f>IF(ISNUMBER($K348),INDEX(Сборка!$K$2:$K$501,$K348),"")</f>
        <v/>
      </c>
      <c r="H348" s="6" t="str">
        <f t="shared" si="20"/>
        <v/>
      </c>
      <c r="I348" s="6" t="str">
        <f t="shared" si="21"/>
        <v/>
      </c>
      <c r="J348" s="6" t="str">
        <f t="shared" si="22"/>
        <v/>
      </c>
      <c r="K348" t="str">
        <f>IFERROR(MATCH(328,Сборка!$R$2:$R$501,0),"")</f>
        <v/>
      </c>
      <c r="L348" t="str">
        <f>IFERROR(IF(INDEX(Сборка!$Q$2:$Q$501,MATCH(328+1,Сборка!$R$2:$R$501,0))=1,INDEX(Сборка!$P$2:$P$501,MATCH(328+1,Сборка!$R$2:$R$501,0)),""),"")</f>
        <v/>
      </c>
      <c r="M348" t="str">
        <f t="shared" si="23"/>
        <v/>
      </c>
    </row>
    <row r="349" spans="1:13" hidden="1" x14ac:dyDescent="0.3">
      <c r="A349" t="str">
        <f>IF(ISNUMBER($K349),INDEX(Сборка!$O$2:$O$501,$K349),"")</f>
        <v/>
      </c>
      <c r="B349" t="str">
        <f>IF(ISNUMBER($K349),INDEX(Сборка!$C$2:$C$501,$K349),"")</f>
        <v/>
      </c>
      <c r="C349" s="5" t="str">
        <f>IF($L349&lt;&gt;"",INDEX(Сборка!$S$2:$S$501,MATCH($L349,Сборка!$P$2:$P$501,0)),IF(ISNUMBER($K349),INDEX(Сборка!$D$2:$D$501,$K349)&amp;IF(INDEX(Сборка!$I$2:$I$501,$K349)&lt;&gt;""," — "&amp;INDEX(Сборка!$I$2:$I$501,$K349),""),""))</f>
        <v/>
      </c>
      <c r="D349" t="str">
        <f>IF(ISNUMBER($K349),INDEX(Сборка!$E$2:$E$501,$K349),"")</f>
        <v/>
      </c>
      <c r="E349" t="str">
        <f>IF(ISNUMBER($K349),INDEX(Сборка!$G$2:$G$501,$K349),"")</f>
        <v/>
      </c>
      <c r="F349" s="6" t="str">
        <f>IF(ISNUMBER($K349),INDEX(Сборка!$J$2:$J$501,$K349),"")</f>
        <v/>
      </c>
      <c r="G349" s="6" t="str">
        <f>IF(ISNUMBER($K349),INDEX(Сборка!$K$2:$K$501,$K349),"")</f>
        <v/>
      </c>
      <c r="H349" s="6" t="str">
        <f t="shared" si="20"/>
        <v/>
      </c>
      <c r="I349" s="6" t="str">
        <f t="shared" si="21"/>
        <v/>
      </c>
      <c r="J349" s="6" t="str">
        <f t="shared" si="22"/>
        <v/>
      </c>
      <c r="K349" t="str">
        <f>IFERROR(MATCH(329,Сборка!$R$2:$R$501,0),"")</f>
        <v/>
      </c>
      <c r="L349" t="str">
        <f>IFERROR(IF(INDEX(Сборка!$Q$2:$Q$501,MATCH(329+1,Сборка!$R$2:$R$501,0))=1,INDEX(Сборка!$P$2:$P$501,MATCH(329+1,Сборка!$R$2:$R$501,0)),""),"")</f>
        <v/>
      </c>
      <c r="M349" t="str">
        <f t="shared" si="23"/>
        <v/>
      </c>
    </row>
    <row r="350" spans="1:13" hidden="1" x14ac:dyDescent="0.3">
      <c r="A350" t="str">
        <f>IF(ISNUMBER($K350),INDEX(Сборка!$O$2:$O$501,$K350),"")</f>
        <v/>
      </c>
      <c r="B350" t="str">
        <f>IF(ISNUMBER($K350),INDEX(Сборка!$C$2:$C$501,$K350),"")</f>
        <v/>
      </c>
      <c r="C350" s="5" t="str">
        <f>IF($L350&lt;&gt;"",INDEX(Сборка!$S$2:$S$501,MATCH($L350,Сборка!$P$2:$P$501,0)),IF(ISNUMBER($K350),INDEX(Сборка!$D$2:$D$501,$K350)&amp;IF(INDEX(Сборка!$I$2:$I$501,$K350)&lt;&gt;""," — "&amp;INDEX(Сборка!$I$2:$I$501,$K350),""),""))</f>
        <v/>
      </c>
      <c r="D350" t="str">
        <f>IF(ISNUMBER($K350),INDEX(Сборка!$E$2:$E$501,$K350),"")</f>
        <v/>
      </c>
      <c r="E350" t="str">
        <f>IF(ISNUMBER($K350),INDEX(Сборка!$G$2:$G$501,$K350),"")</f>
        <v/>
      </c>
      <c r="F350" s="6" t="str">
        <f>IF(ISNUMBER($K350),INDEX(Сборка!$J$2:$J$501,$K350),"")</f>
        <v/>
      </c>
      <c r="G350" s="6" t="str">
        <f>IF(ISNUMBER($K350),INDEX(Сборка!$K$2:$K$501,$K350),"")</f>
        <v/>
      </c>
      <c r="H350" s="6" t="str">
        <f t="shared" si="20"/>
        <v/>
      </c>
      <c r="I350" s="6" t="str">
        <f t="shared" si="21"/>
        <v/>
      </c>
      <c r="J350" s="6" t="str">
        <f t="shared" si="22"/>
        <v/>
      </c>
      <c r="K350" t="str">
        <f>IFERROR(MATCH(330,Сборка!$R$2:$R$501,0),"")</f>
        <v/>
      </c>
      <c r="L350" t="str">
        <f>IFERROR(IF(INDEX(Сборка!$Q$2:$Q$501,MATCH(330+1,Сборка!$R$2:$R$501,0))=1,INDEX(Сборка!$P$2:$P$501,MATCH(330+1,Сборка!$R$2:$R$501,0)),""),"")</f>
        <v/>
      </c>
      <c r="M350" t="str">
        <f t="shared" si="23"/>
        <v/>
      </c>
    </row>
    <row r="351" spans="1:13" hidden="1" x14ac:dyDescent="0.3">
      <c r="A351" t="str">
        <f>IF(ISNUMBER($K351),INDEX(Сборка!$O$2:$O$501,$K351),"")</f>
        <v/>
      </c>
      <c r="B351" t="str">
        <f>IF(ISNUMBER($K351),INDEX(Сборка!$C$2:$C$501,$K351),"")</f>
        <v/>
      </c>
      <c r="C351" s="5" t="str">
        <f>IF($L351&lt;&gt;"",INDEX(Сборка!$S$2:$S$501,MATCH($L351,Сборка!$P$2:$P$501,0)),IF(ISNUMBER($K351),INDEX(Сборка!$D$2:$D$501,$K351)&amp;IF(INDEX(Сборка!$I$2:$I$501,$K351)&lt;&gt;""," — "&amp;INDEX(Сборка!$I$2:$I$501,$K351),""),""))</f>
        <v/>
      </c>
      <c r="D351" t="str">
        <f>IF(ISNUMBER($K351),INDEX(Сборка!$E$2:$E$501,$K351),"")</f>
        <v/>
      </c>
      <c r="E351" t="str">
        <f>IF(ISNUMBER($K351),INDEX(Сборка!$G$2:$G$501,$K351),"")</f>
        <v/>
      </c>
      <c r="F351" s="6" t="str">
        <f>IF(ISNUMBER($K351),INDEX(Сборка!$J$2:$J$501,$K351),"")</f>
        <v/>
      </c>
      <c r="G351" s="6" t="str">
        <f>IF(ISNUMBER($K351),INDEX(Сборка!$K$2:$K$501,$K351),"")</f>
        <v/>
      </c>
      <c r="H351" s="6" t="str">
        <f t="shared" si="20"/>
        <v/>
      </c>
      <c r="I351" s="6" t="str">
        <f t="shared" si="21"/>
        <v/>
      </c>
      <c r="J351" s="6" t="str">
        <f t="shared" si="22"/>
        <v/>
      </c>
      <c r="K351" t="str">
        <f>IFERROR(MATCH(331,Сборка!$R$2:$R$501,0),"")</f>
        <v/>
      </c>
      <c r="L351" t="str">
        <f>IFERROR(IF(INDEX(Сборка!$Q$2:$Q$501,MATCH(331+1,Сборка!$R$2:$R$501,0))=1,INDEX(Сборка!$P$2:$P$501,MATCH(331+1,Сборка!$R$2:$R$501,0)),""),"")</f>
        <v/>
      </c>
      <c r="M351" t="str">
        <f t="shared" si="23"/>
        <v/>
      </c>
    </row>
    <row r="352" spans="1:13" hidden="1" x14ac:dyDescent="0.3">
      <c r="A352" t="str">
        <f>IF(ISNUMBER($K352),INDEX(Сборка!$O$2:$O$501,$K352),"")</f>
        <v/>
      </c>
      <c r="B352" t="str">
        <f>IF(ISNUMBER($K352),INDEX(Сборка!$C$2:$C$501,$K352),"")</f>
        <v/>
      </c>
      <c r="C352" s="5" t="str">
        <f>IF($L352&lt;&gt;"",INDEX(Сборка!$S$2:$S$501,MATCH($L352,Сборка!$P$2:$P$501,0)),IF(ISNUMBER($K352),INDEX(Сборка!$D$2:$D$501,$K352)&amp;IF(INDEX(Сборка!$I$2:$I$501,$K352)&lt;&gt;""," — "&amp;INDEX(Сборка!$I$2:$I$501,$K352),""),""))</f>
        <v/>
      </c>
      <c r="D352" t="str">
        <f>IF(ISNUMBER($K352),INDEX(Сборка!$E$2:$E$501,$K352),"")</f>
        <v/>
      </c>
      <c r="E352" t="str">
        <f>IF(ISNUMBER($K352),INDEX(Сборка!$G$2:$G$501,$K352),"")</f>
        <v/>
      </c>
      <c r="F352" s="6" t="str">
        <f>IF(ISNUMBER($K352),INDEX(Сборка!$J$2:$J$501,$K352),"")</f>
        <v/>
      </c>
      <c r="G352" s="6" t="str">
        <f>IF(ISNUMBER($K352),INDEX(Сборка!$K$2:$K$501,$K352),"")</f>
        <v/>
      </c>
      <c r="H352" s="6" t="str">
        <f t="shared" si="20"/>
        <v/>
      </c>
      <c r="I352" s="6" t="str">
        <f t="shared" si="21"/>
        <v/>
      </c>
      <c r="J352" s="6" t="str">
        <f t="shared" si="22"/>
        <v/>
      </c>
      <c r="K352" t="str">
        <f>IFERROR(MATCH(332,Сборка!$R$2:$R$501,0),"")</f>
        <v/>
      </c>
      <c r="L352" t="str">
        <f>IFERROR(IF(INDEX(Сборка!$Q$2:$Q$501,MATCH(332+1,Сборка!$R$2:$R$501,0))=1,INDEX(Сборка!$P$2:$P$501,MATCH(332+1,Сборка!$R$2:$R$501,0)),""),"")</f>
        <v/>
      </c>
      <c r="M352" t="str">
        <f t="shared" si="23"/>
        <v/>
      </c>
    </row>
    <row r="353" spans="1:13" hidden="1" x14ac:dyDescent="0.3">
      <c r="A353" t="str">
        <f>IF(ISNUMBER($K353),INDEX(Сборка!$O$2:$O$501,$K353),"")</f>
        <v/>
      </c>
      <c r="B353" t="str">
        <f>IF(ISNUMBER($K353),INDEX(Сборка!$C$2:$C$501,$K353),"")</f>
        <v/>
      </c>
      <c r="C353" s="5" t="str">
        <f>IF($L353&lt;&gt;"",INDEX(Сборка!$S$2:$S$501,MATCH($L353,Сборка!$P$2:$P$501,0)),IF(ISNUMBER($K353),INDEX(Сборка!$D$2:$D$501,$K353)&amp;IF(INDEX(Сборка!$I$2:$I$501,$K353)&lt;&gt;""," — "&amp;INDEX(Сборка!$I$2:$I$501,$K353),""),""))</f>
        <v/>
      </c>
      <c r="D353" t="str">
        <f>IF(ISNUMBER($K353),INDEX(Сборка!$E$2:$E$501,$K353),"")</f>
        <v/>
      </c>
      <c r="E353" t="str">
        <f>IF(ISNUMBER($K353),INDEX(Сборка!$G$2:$G$501,$K353),"")</f>
        <v/>
      </c>
      <c r="F353" s="6" t="str">
        <f>IF(ISNUMBER($K353),INDEX(Сборка!$J$2:$J$501,$K353),"")</f>
        <v/>
      </c>
      <c r="G353" s="6" t="str">
        <f>IF(ISNUMBER($K353),INDEX(Сборка!$K$2:$K$501,$K353),"")</f>
        <v/>
      </c>
      <c r="H353" s="6" t="str">
        <f t="shared" si="20"/>
        <v/>
      </c>
      <c r="I353" s="6" t="str">
        <f t="shared" si="21"/>
        <v/>
      </c>
      <c r="J353" s="6" t="str">
        <f t="shared" si="22"/>
        <v/>
      </c>
      <c r="K353" t="str">
        <f>IFERROR(MATCH(333,Сборка!$R$2:$R$501,0),"")</f>
        <v/>
      </c>
      <c r="L353" t="str">
        <f>IFERROR(IF(INDEX(Сборка!$Q$2:$Q$501,MATCH(333+1,Сборка!$R$2:$R$501,0))=1,INDEX(Сборка!$P$2:$P$501,MATCH(333+1,Сборка!$R$2:$R$501,0)),""),"")</f>
        <v/>
      </c>
      <c r="M353" t="str">
        <f t="shared" si="23"/>
        <v/>
      </c>
    </row>
    <row r="354" spans="1:13" hidden="1" x14ac:dyDescent="0.3">
      <c r="A354" t="str">
        <f>IF(ISNUMBER($K354),INDEX(Сборка!$O$2:$O$501,$K354),"")</f>
        <v/>
      </c>
      <c r="B354" t="str">
        <f>IF(ISNUMBER($K354),INDEX(Сборка!$C$2:$C$501,$K354),"")</f>
        <v/>
      </c>
      <c r="C354" s="5" t="str">
        <f>IF($L354&lt;&gt;"",INDEX(Сборка!$S$2:$S$501,MATCH($L354,Сборка!$P$2:$P$501,0)),IF(ISNUMBER($K354),INDEX(Сборка!$D$2:$D$501,$K354)&amp;IF(INDEX(Сборка!$I$2:$I$501,$K354)&lt;&gt;""," — "&amp;INDEX(Сборка!$I$2:$I$501,$K354),""),""))</f>
        <v/>
      </c>
      <c r="D354" t="str">
        <f>IF(ISNUMBER($K354),INDEX(Сборка!$E$2:$E$501,$K354),"")</f>
        <v/>
      </c>
      <c r="E354" t="str">
        <f>IF(ISNUMBER($K354),INDEX(Сборка!$G$2:$G$501,$K354),"")</f>
        <v/>
      </c>
      <c r="F354" s="6" t="str">
        <f>IF(ISNUMBER($K354),INDEX(Сборка!$J$2:$J$501,$K354),"")</f>
        <v/>
      </c>
      <c r="G354" s="6" t="str">
        <f>IF(ISNUMBER($K354),INDEX(Сборка!$K$2:$K$501,$K354),"")</f>
        <v/>
      </c>
      <c r="H354" s="6" t="str">
        <f t="shared" si="20"/>
        <v/>
      </c>
      <c r="I354" s="6" t="str">
        <f t="shared" si="21"/>
        <v/>
      </c>
      <c r="J354" s="6" t="str">
        <f t="shared" si="22"/>
        <v/>
      </c>
      <c r="K354" t="str">
        <f>IFERROR(MATCH(334,Сборка!$R$2:$R$501,0),"")</f>
        <v/>
      </c>
      <c r="L354" t="str">
        <f>IFERROR(IF(INDEX(Сборка!$Q$2:$Q$501,MATCH(334+1,Сборка!$R$2:$R$501,0))=1,INDEX(Сборка!$P$2:$P$501,MATCH(334+1,Сборка!$R$2:$R$501,0)),""),"")</f>
        <v/>
      </c>
      <c r="M354" t="str">
        <f t="shared" si="23"/>
        <v/>
      </c>
    </row>
    <row r="355" spans="1:13" hidden="1" x14ac:dyDescent="0.3">
      <c r="A355" t="str">
        <f>IF(ISNUMBER($K355),INDEX(Сборка!$O$2:$O$501,$K355),"")</f>
        <v/>
      </c>
      <c r="B355" t="str">
        <f>IF(ISNUMBER($K355),INDEX(Сборка!$C$2:$C$501,$K355),"")</f>
        <v/>
      </c>
      <c r="C355" s="5" t="str">
        <f>IF($L355&lt;&gt;"",INDEX(Сборка!$S$2:$S$501,MATCH($L355,Сборка!$P$2:$P$501,0)),IF(ISNUMBER($K355),INDEX(Сборка!$D$2:$D$501,$K355)&amp;IF(INDEX(Сборка!$I$2:$I$501,$K355)&lt;&gt;""," — "&amp;INDEX(Сборка!$I$2:$I$501,$K355),""),""))</f>
        <v/>
      </c>
      <c r="D355" t="str">
        <f>IF(ISNUMBER($K355),INDEX(Сборка!$E$2:$E$501,$K355),"")</f>
        <v/>
      </c>
      <c r="E355" t="str">
        <f>IF(ISNUMBER($K355),INDEX(Сборка!$G$2:$G$501,$K355),"")</f>
        <v/>
      </c>
      <c r="F355" s="6" t="str">
        <f>IF(ISNUMBER($K355),INDEX(Сборка!$J$2:$J$501,$K355),"")</f>
        <v/>
      </c>
      <c r="G355" s="6" t="str">
        <f>IF(ISNUMBER($K355),INDEX(Сборка!$K$2:$K$501,$K355),"")</f>
        <v/>
      </c>
      <c r="H355" s="6" t="str">
        <f t="shared" si="20"/>
        <v/>
      </c>
      <c r="I355" s="6" t="str">
        <f t="shared" si="21"/>
        <v/>
      </c>
      <c r="J355" s="6" t="str">
        <f t="shared" si="22"/>
        <v/>
      </c>
      <c r="K355" t="str">
        <f>IFERROR(MATCH(335,Сборка!$R$2:$R$501,0),"")</f>
        <v/>
      </c>
      <c r="L355" t="str">
        <f>IFERROR(IF(INDEX(Сборка!$Q$2:$Q$501,MATCH(335+1,Сборка!$R$2:$R$501,0))=1,INDEX(Сборка!$P$2:$P$501,MATCH(335+1,Сборка!$R$2:$R$501,0)),""),"")</f>
        <v/>
      </c>
      <c r="M355" t="str">
        <f t="shared" si="23"/>
        <v/>
      </c>
    </row>
    <row r="356" spans="1:13" hidden="1" x14ac:dyDescent="0.3">
      <c r="A356" t="str">
        <f>IF(ISNUMBER($K356),INDEX(Сборка!$O$2:$O$501,$K356),"")</f>
        <v/>
      </c>
      <c r="B356" t="str">
        <f>IF(ISNUMBER($K356),INDEX(Сборка!$C$2:$C$501,$K356),"")</f>
        <v/>
      </c>
      <c r="C356" s="5" t="str">
        <f>IF($L356&lt;&gt;"",INDEX(Сборка!$S$2:$S$501,MATCH($L356,Сборка!$P$2:$P$501,0)),IF(ISNUMBER($K356),INDEX(Сборка!$D$2:$D$501,$K356)&amp;IF(INDEX(Сборка!$I$2:$I$501,$K356)&lt;&gt;""," — "&amp;INDEX(Сборка!$I$2:$I$501,$K356),""),""))</f>
        <v/>
      </c>
      <c r="D356" t="str">
        <f>IF(ISNUMBER($K356),INDEX(Сборка!$E$2:$E$501,$K356),"")</f>
        <v/>
      </c>
      <c r="E356" t="str">
        <f>IF(ISNUMBER($K356),INDEX(Сборка!$G$2:$G$501,$K356),"")</f>
        <v/>
      </c>
      <c r="F356" s="6" t="str">
        <f>IF(ISNUMBER($K356),INDEX(Сборка!$J$2:$J$501,$K356),"")</f>
        <v/>
      </c>
      <c r="G356" s="6" t="str">
        <f>IF(ISNUMBER($K356),INDEX(Сборка!$K$2:$K$501,$K356),"")</f>
        <v/>
      </c>
      <c r="H356" s="6" t="str">
        <f t="shared" si="20"/>
        <v/>
      </c>
      <c r="I356" s="6" t="str">
        <f t="shared" si="21"/>
        <v/>
      </c>
      <c r="J356" s="6" t="str">
        <f t="shared" si="22"/>
        <v/>
      </c>
      <c r="K356" t="str">
        <f>IFERROR(MATCH(336,Сборка!$R$2:$R$501,0),"")</f>
        <v/>
      </c>
      <c r="L356" t="str">
        <f>IFERROR(IF(INDEX(Сборка!$Q$2:$Q$501,MATCH(336+1,Сборка!$R$2:$R$501,0))=1,INDEX(Сборка!$P$2:$P$501,MATCH(336+1,Сборка!$R$2:$R$501,0)),""),"")</f>
        <v/>
      </c>
      <c r="M356" t="str">
        <f t="shared" si="23"/>
        <v/>
      </c>
    </row>
    <row r="357" spans="1:13" hidden="1" x14ac:dyDescent="0.3">
      <c r="A357" t="str">
        <f>IF(ISNUMBER($K357),INDEX(Сборка!$O$2:$O$501,$K357),"")</f>
        <v/>
      </c>
      <c r="B357" t="str">
        <f>IF(ISNUMBER($K357),INDEX(Сборка!$C$2:$C$501,$K357),"")</f>
        <v/>
      </c>
      <c r="C357" s="5" t="str">
        <f>IF($L357&lt;&gt;"",INDEX(Сборка!$S$2:$S$501,MATCH($L357,Сборка!$P$2:$P$501,0)),IF(ISNUMBER($K357),INDEX(Сборка!$D$2:$D$501,$K357)&amp;IF(INDEX(Сборка!$I$2:$I$501,$K357)&lt;&gt;""," — "&amp;INDEX(Сборка!$I$2:$I$501,$K357),""),""))</f>
        <v/>
      </c>
      <c r="D357" t="str">
        <f>IF(ISNUMBER($K357),INDEX(Сборка!$E$2:$E$501,$K357),"")</f>
        <v/>
      </c>
      <c r="E357" t="str">
        <f>IF(ISNUMBER($K357),INDEX(Сборка!$G$2:$G$501,$K357),"")</f>
        <v/>
      </c>
      <c r="F357" s="6" t="str">
        <f>IF(ISNUMBER($K357),INDEX(Сборка!$J$2:$J$501,$K357),"")</f>
        <v/>
      </c>
      <c r="G357" s="6" t="str">
        <f>IF(ISNUMBER($K357),INDEX(Сборка!$K$2:$K$501,$K357),"")</f>
        <v/>
      </c>
      <c r="H357" s="6" t="str">
        <f t="shared" si="20"/>
        <v/>
      </c>
      <c r="I357" s="6" t="str">
        <f t="shared" si="21"/>
        <v/>
      </c>
      <c r="J357" s="6" t="str">
        <f t="shared" si="22"/>
        <v/>
      </c>
      <c r="K357" t="str">
        <f>IFERROR(MATCH(337,Сборка!$R$2:$R$501,0),"")</f>
        <v/>
      </c>
      <c r="L357" t="str">
        <f>IFERROR(IF(INDEX(Сборка!$Q$2:$Q$501,MATCH(337+1,Сборка!$R$2:$R$501,0))=1,INDEX(Сборка!$P$2:$P$501,MATCH(337+1,Сборка!$R$2:$R$501,0)),""),"")</f>
        <v/>
      </c>
      <c r="M357" t="str">
        <f t="shared" si="23"/>
        <v/>
      </c>
    </row>
    <row r="358" spans="1:13" hidden="1" x14ac:dyDescent="0.3">
      <c r="A358" t="str">
        <f>IF(ISNUMBER($K358),INDEX(Сборка!$O$2:$O$501,$K358),"")</f>
        <v/>
      </c>
      <c r="B358" t="str">
        <f>IF(ISNUMBER($K358),INDEX(Сборка!$C$2:$C$501,$K358),"")</f>
        <v/>
      </c>
      <c r="C358" s="5" t="str">
        <f>IF($L358&lt;&gt;"",INDEX(Сборка!$S$2:$S$501,MATCH($L358,Сборка!$P$2:$P$501,0)),IF(ISNUMBER($K358),INDEX(Сборка!$D$2:$D$501,$K358)&amp;IF(INDEX(Сборка!$I$2:$I$501,$K358)&lt;&gt;""," — "&amp;INDEX(Сборка!$I$2:$I$501,$K358),""),""))</f>
        <v/>
      </c>
      <c r="D358" t="str">
        <f>IF(ISNUMBER($K358),INDEX(Сборка!$E$2:$E$501,$K358),"")</f>
        <v/>
      </c>
      <c r="E358" t="str">
        <f>IF(ISNUMBER($K358),INDEX(Сборка!$G$2:$G$501,$K358),"")</f>
        <v/>
      </c>
      <c r="F358" s="6" t="str">
        <f>IF(ISNUMBER($K358),INDEX(Сборка!$J$2:$J$501,$K358),"")</f>
        <v/>
      </c>
      <c r="G358" s="6" t="str">
        <f>IF(ISNUMBER($K358),INDEX(Сборка!$K$2:$K$501,$K358),"")</f>
        <v/>
      </c>
      <c r="H358" s="6" t="str">
        <f t="shared" si="20"/>
        <v/>
      </c>
      <c r="I358" s="6" t="str">
        <f t="shared" si="21"/>
        <v/>
      </c>
      <c r="J358" s="6" t="str">
        <f t="shared" si="22"/>
        <v/>
      </c>
      <c r="K358" t="str">
        <f>IFERROR(MATCH(338,Сборка!$R$2:$R$501,0),"")</f>
        <v/>
      </c>
      <c r="L358" t="str">
        <f>IFERROR(IF(INDEX(Сборка!$Q$2:$Q$501,MATCH(338+1,Сборка!$R$2:$R$501,0))=1,INDEX(Сборка!$P$2:$P$501,MATCH(338+1,Сборка!$R$2:$R$501,0)),""),"")</f>
        <v/>
      </c>
      <c r="M358" t="str">
        <f t="shared" si="23"/>
        <v/>
      </c>
    </row>
    <row r="359" spans="1:13" hidden="1" x14ac:dyDescent="0.3">
      <c r="A359" t="str">
        <f>IF(ISNUMBER($K359),INDEX(Сборка!$O$2:$O$501,$K359),"")</f>
        <v/>
      </c>
      <c r="B359" t="str">
        <f>IF(ISNUMBER($K359),INDEX(Сборка!$C$2:$C$501,$K359),"")</f>
        <v/>
      </c>
      <c r="C359" s="5" t="str">
        <f>IF($L359&lt;&gt;"",INDEX(Сборка!$S$2:$S$501,MATCH($L359,Сборка!$P$2:$P$501,0)),IF(ISNUMBER($K359),INDEX(Сборка!$D$2:$D$501,$K359)&amp;IF(INDEX(Сборка!$I$2:$I$501,$K359)&lt;&gt;""," — "&amp;INDEX(Сборка!$I$2:$I$501,$K359),""),""))</f>
        <v/>
      </c>
      <c r="D359" t="str">
        <f>IF(ISNUMBER($K359),INDEX(Сборка!$E$2:$E$501,$K359),"")</f>
        <v/>
      </c>
      <c r="E359" t="str">
        <f>IF(ISNUMBER($K359),INDEX(Сборка!$G$2:$G$501,$K359),"")</f>
        <v/>
      </c>
      <c r="F359" s="6" t="str">
        <f>IF(ISNUMBER($K359),INDEX(Сборка!$J$2:$J$501,$K359),"")</f>
        <v/>
      </c>
      <c r="G359" s="6" t="str">
        <f>IF(ISNUMBER($K359),INDEX(Сборка!$K$2:$K$501,$K359),"")</f>
        <v/>
      </c>
      <c r="H359" s="6" t="str">
        <f t="shared" si="20"/>
        <v/>
      </c>
      <c r="I359" s="6" t="str">
        <f t="shared" si="21"/>
        <v/>
      </c>
      <c r="J359" s="6" t="str">
        <f t="shared" si="22"/>
        <v/>
      </c>
      <c r="K359" t="str">
        <f>IFERROR(MATCH(339,Сборка!$R$2:$R$501,0),"")</f>
        <v/>
      </c>
      <c r="L359" t="str">
        <f>IFERROR(IF(INDEX(Сборка!$Q$2:$Q$501,MATCH(339+1,Сборка!$R$2:$R$501,0))=1,INDEX(Сборка!$P$2:$P$501,MATCH(339+1,Сборка!$R$2:$R$501,0)),""),"")</f>
        <v/>
      </c>
      <c r="M359" t="str">
        <f t="shared" si="23"/>
        <v/>
      </c>
    </row>
    <row r="360" spans="1:13" hidden="1" x14ac:dyDescent="0.3">
      <c r="A360" t="str">
        <f>IF(ISNUMBER($K360),INDEX(Сборка!$O$2:$O$501,$K360),"")</f>
        <v/>
      </c>
      <c r="B360" t="str">
        <f>IF(ISNUMBER($K360),INDEX(Сборка!$C$2:$C$501,$K360),"")</f>
        <v/>
      </c>
      <c r="C360" s="5" t="str">
        <f>IF($L360&lt;&gt;"",INDEX(Сборка!$S$2:$S$501,MATCH($L360,Сборка!$P$2:$P$501,0)),IF(ISNUMBER($K360),INDEX(Сборка!$D$2:$D$501,$K360)&amp;IF(INDEX(Сборка!$I$2:$I$501,$K360)&lt;&gt;""," — "&amp;INDEX(Сборка!$I$2:$I$501,$K360),""),""))</f>
        <v/>
      </c>
      <c r="D360" t="str">
        <f>IF(ISNUMBER($K360),INDEX(Сборка!$E$2:$E$501,$K360),"")</f>
        <v/>
      </c>
      <c r="E360" t="str">
        <f>IF(ISNUMBER($K360),INDEX(Сборка!$G$2:$G$501,$K360),"")</f>
        <v/>
      </c>
      <c r="F360" s="6" t="str">
        <f>IF(ISNUMBER($K360),INDEX(Сборка!$J$2:$J$501,$K360),"")</f>
        <v/>
      </c>
      <c r="G360" s="6" t="str">
        <f>IF(ISNUMBER($K360),INDEX(Сборка!$K$2:$K$501,$K360),"")</f>
        <v/>
      </c>
      <c r="H360" s="6" t="str">
        <f t="shared" si="20"/>
        <v/>
      </c>
      <c r="I360" s="6" t="str">
        <f t="shared" si="21"/>
        <v/>
      </c>
      <c r="J360" s="6" t="str">
        <f t="shared" si="22"/>
        <v/>
      </c>
      <c r="K360" t="str">
        <f>IFERROR(MATCH(340,Сборка!$R$2:$R$501,0),"")</f>
        <v/>
      </c>
      <c r="L360" t="str">
        <f>IFERROR(IF(INDEX(Сборка!$Q$2:$Q$501,MATCH(340+1,Сборка!$R$2:$R$501,0))=1,INDEX(Сборка!$P$2:$P$501,MATCH(340+1,Сборка!$R$2:$R$501,0)),""),"")</f>
        <v/>
      </c>
      <c r="M360" t="str">
        <f t="shared" si="23"/>
        <v/>
      </c>
    </row>
    <row r="361" spans="1:13" hidden="1" x14ac:dyDescent="0.3">
      <c r="A361" t="str">
        <f>IF(ISNUMBER($K361),INDEX(Сборка!$O$2:$O$501,$K361),"")</f>
        <v/>
      </c>
      <c r="B361" t="str">
        <f>IF(ISNUMBER($K361),INDEX(Сборка!$C$2:$C$501,$K361),"")</f>
        <v/>
      </c>
      <c r="C361" s="5" t="str">
        <f>IF($L361&lt;&gt;"",INDEX(Сборка!$S$2:$S$501,MATCH($L361,Сборка!$P$2:$P$501,0)),IF(ISNUMBER($K361),INDEX(Сборка!$D$2:$D$501,$K361)&amp;IF(INDEX(Сборка!$I$2:$I$501,$K361)&lt;&gt;""," — "&amp;INDEX(Сборка!$I$2:$I$501,$K361),""),""))</f>
        <v/>
      </c>
      <c r="D361" t="str">
        <f>IF(ISNUMBER($K361),INDEX(Сборка!$E$2:$E$501,$K361),"")</f>
        <v/>
      </c>
      <c r="E361" t="str">
        <f>IF(ISNUMBER($K361),INDEX(Сборка!$G$2:$G$501,$K361),"")</f>
        <v/>
      </c>
      <c r="F361" s="6" t="str">
        <f>IF(ISNUMBER($K361),INDEX(Сборка!$J$2:$J$501,$K361),"")</f>
        <v/>
      </c>
      <c r="G361" s="6" t="str">
        <f>IF(ISNUMBER($K361),INDEX(Сборка!$K$2:$K$501,$K361),"")</f>
        <v/>
      </c>
      <c r="H361" s="6" t="str">
        <f t="shared" si="20"/>
        <v/>
      </c>
      <c r="I361" s="6" t="str">
        <f t="shared" si="21"/>
        <v/>
      </c>
      <c r="J361" s="6" t="str">
        <f t="shared" si="22"/>
        <v/>
      </c>
      <c r="K361" t="str">
        <f>IFERROR(MATCH(341,Сборка!$R$2:$R$501,0),"")</f>
        <v/>
      </c>
      <c r="L361" t="str">
        <f>IFERROR(IF(INDEX(Сборка!$Q$2:$Q$501,MATCH(341+1,Сборка!$R$2:$R$501,0))=1,INDEX(Сборка!$P$2:$P$501,MATCH(341+1,Сборка!$R$2:$R$501,0)),""),"")</f>
        <v/>
      </c>
      <c r="M361" t="str">
        <f t="shared" si="23"/>
        <v/>
      </c>
    </row>
    <row r="362" spans="1:13" hidden="1" x14ac:dyDescent="0.3">
      <c r="A362" t="str">
        <f>IF(ISNUMBER($K362),INDEX(Сборка!$O$2:$O$501,$K362),"")</f>
        <v/>
      </c>
      <c r="B362" t="str">
        <f>IF(ISNUMBER($K362),INDEX(Сборка!$C$2:$C$501,$K362),"")</f>
        <v/>
      </c>
      <c r="C362" s="5" t="str">
        <f>IF($L362&lt;&gt;"",INDEX(Сборка!$S$2:$S$501,MATCH($L362,Сборка!$P$2:$P$501,0)),IF(ISNUMBER($K362),INDEX(Сборка!$D$2:$D$501,$K362)&amp;IF(INDEX(Сборка!$I$2:$I$501,$K362)&lt;&gt;""," — "&amp;INDEX(Сборка!$I$2:$I$501,$K362),""),""))</f>
        <v/>
      </c>
      <c r="D362" t="str">
        <f>IF(ISNUMBER($K362),INDEX(Сборка!$E$2:$E$501,$K362),"")</f>
        <v/>
      </c>
      <c r="E362" t="str">
        <f>IF(ISNUMBER($K362),INDEX(Сборка!$G$2:$G$501,$K362),"")</f>
        <v/>
      </c>
      <c r="F362" s="6" t="str">
        <f>IF(ISNUMBER($K362),INDEX(Сборка!$J$2:$J$501,$K362),"")</f>
        <v/>
      </c>
      <c r="G362" s="6" t="str">
        <f>IF(ISNUMBER($K362),INDEX(Сборка!$K$2:$K$501,$K362),"")</f>
        <v/>
      </c>
      <c r="H362" s="6" t="str">
        <f t="shared" si="20"/>
        <v/>
      </c>
      <c r="I362" s="6" t="str">
        <f t="shared" si="21"/>
        <v/>
      </c>
      <c r="J362" s="6" t="str">
        <f t="shared" si="22"/>
        <v/>
      </c>
      <c r="K362" t="str">
        <f>IFERROR(MATCH(342,Сборка!$R$2:$R$501,0),"")</f>
        <v/>
      </c>
      <c r="L362" t="str">
        <f>IFERROR(IF(INDEX(Сборка!$Q$2:$Q$501,MATCH(342+1,Сборка!$R$2:$R$501,0))=1,INDEX(Сборка!$P$2:$P$501,MATCH(342+1,Сборка!$R$2:$R$501,0)),""),"")</f>
        <v/>
      </c>
      <c r="M362" t="str">
        <f t="shared" si="23"/>
        <v/>
      </c>
    </row>
    <row r="363" spans="1:13" hidden="1" x14ac:dyDescent="0.3">
      <c r="A363" t="str">
        <f>IF(ISNUMBER($K363),INDEX(Сборка!$O$2:$O$501,$K363),"")</f>
        <v/>
      </c>
      <c r="B363" t="str">
        <f>IF(ISNUMBER($K363),INDEX(Сборка!$C$2:$C$501,$K363),"")</f>
        <v/>
      </c>
      <c r="C363" s="5" t="str">
        <f>IF($L363&lt;&gt;"",INDEX(Сборка!$S$2:$S$501,MATCH($L363,Сборка!$P$2:$P$501,0)),IF(ISNUMBER($K363),INDEX(Сборка!$D$2:$D$501,$K363)&amp;IF(INDEX(Сборка!$I$2:$I$501,$K363)&lt;&gt;""," — "&amp;INDEX(Сборка!$I$2:$I$501,$K363),""),""))</f>
        <v/>
      </c>
      <c r="D363" t="str">
        <f>IF(ISNUMBER($K363),INDEX(Сборка!$E$2:$E$501,$K363),"")</f>
        <v/>
      </c>
      <c r="E363" t="str">
        <f>IF(ISNUMBER($K363),INDEX(Сборка!$G$2:$G$501,$K363),"")</f>
        <v/>
      </c>
      <c r="F363" s="6" t="str">
        <f>IF(ISNUMBER($K363),INDEX(Сборка!$J$2:$J$501,$K363),"")</f>
        <v/>
      </c>
      <c r="G363" s="6" t="str">
        <f>IF(ISNUMBER($K363),INDEX(Сборка!$K$2:$K$501,$K363),"")</f>
        <v/>
      </c>
      <c r="H363" s="6" t="str">
        <f t="shared" si="20"/>
        <v/>
      </c>
      <c r="I363" s="6" t="str">
        <f t="shared" si="21"/>
        <v/>
      </c>
      <c r="J363" s="6" t="str">
        <f t="shared" si="22"/>
        <v/>
      </c>
      <c r="K363" t="str">
        <f>IFERROR(MATCH(343,Сборка!$R$2:$R$501,0),"")</f>
        <v/>
      </c>
      <c r="L363" t="str">
        <f>IFERROR(IF(INDEX(Сборка!$Q$2:$Q$501,MATCH(343+1,Сборка!$R$2:$R$501,0))=1,INDEX(Сборка!$P$2:$P$501,MATCH(343+1,Сборка!$R$2:$R$501,0)),""),"")</f>
        <v/>
      </c>
      <c r="M363" t="str">
        <f t="shared" si="23"/>
        <v/>
      </c>
    </row>
    <row r="364" spans="1:13" hidden="1" x14ac:dyDescent="0.3">
      <c r="A364" t="str">
        <f>IF(ISNUMBER($K364),INDEX(Сборка!$O$2:$O$501,$K364),"")</f>
        <v/>
      </c>
      <c r="B364" t="str">
        <f>IF(ISNUMBER($K364),INDEX(Сборка!$C$2:$C$501,$K364),"")</f>
        <v/>
      </c>
      <c r="C364" s="5" t="str">
        <f>IF($L364&lt;&gt;"",INDEX(Сборка!$S$2:$S$501,MATCH($L364,Сборка!$P$2:$P$501,0)),IF(ISNUMBER($K364),INDEX(Сборка!$D$2:$D$501,$K364)&amp;IF(INDEX(Сборка!$I$2:$I$501,$K364)&lt;&gt;""," — "&amp;INDEX(Сборка!$I$2:$I$501,$K364),""),""))</f>
        <v/>
      </c>
      <c r="D364" t="str">
        <f>IF(ISNUMBER($K364),INDEX(Сборка!$E$2:$E$501,$K364),"")</f>
        <v/>
      </c>
      <c r="E364" t="str">
        <f>IF(ISNUMBER($K364),INDEX(Сборка!$G$2:$G$501,$K364),"")</f>
        <v/>
      </c>
      <c r="F364" s="6" t="str">
        <f>IF(ISNUMBER($K364),INDEX(Сборка!$J$2:$J$501,$K364),"")</f>
        <v/>
      </c>
      <c r="G364" s="6" t="str">
        <f>IF(ISNUMBER($K364),INDEX(Сборка!$K$2:$K$501,$K364),"")</f>
        <v/>
      </c>
      <c r="H364" s="6" t="str">
        <f t="shared" si="20"/>
        <v/>
      </c>
      <c r="I364" s="6" t="str">
        <f t="shared" si="21"/>
        <v/>
      </c>
      <c r="J364" s="6" t="str">
        <f t="shared" si="22"/>
        <v/>
      </c>
      <c r="K364" t="str">
        <f>IFERROR(MATCH(344,Сборка!$R$2:$R$501,0),"")</f>
        <v/>
      </c>
      <c r="L364" t="str">
        <f>IFERROR(IF(INDEX(Сборка!$Q$2:$Q$501,MATCH(344+1,Сборка!$R$2:$R$501,0))=1,INDEX(Сборка!$P$2:$P$501,MATCH(344+1,Сборка!$R$2:$R$501,0)),""),"")</f>
        <v/>
      </c>
      <c r="M364" t="str">
        <f t="shared" si="23"/>
        <v/>
      </c>
    </row>
    <row r="365" spans="1:13" hidden="1" x14ac:dyDescent="0.3">
      <c r="A365" t="str">
        <f>IF(ISNUMBER($K365),INDEX(Сборка!$O$2:$O$501,$K365),"")</f>
        <v/>
      </c>
      <c r="B365" t="str">
        <f>IF(ISNUMBER($K365),INDEX(Сборка!$C$2:$C$501,$K365),"")</f>
        <v/>
      </c>
      <c r="C365" s="5" t="str">
        <f>IF($L365&lt;&gt;"",INDEX(Сборка!$S$2:$S$501,MATCH($L365,Сборка!$P$2:$P$501,0)),IF(ISNUMBER($K365),INDEX(Сборка!$D$2:$D$501,$K365)&amp;IF(INDEX(Сборка!$I$2:$I$501,$K365)&lt;&gt;""," — "&amp;INDEX(Сборка!$I$2:$I$501,$K365),""),""))</f>
        <v/>
      </c>
      <c r="D365" t="str">
        <f>IF(ISNUMBER($K365),INDEX(Сборка!$E$2:$E$501,$K365),"")</f>
        <v/>
      </c>
      <c r="E365" t="str">
        <f>IF(ISNUMBER($K365),INDEX(Сборка!$G$2:$G$501,$K365),"")</f>
        <v/>
      </c>
      <c r="F365" s="6" t="str">
        <f>IF(ISNUMBER($K365),INDEX(Сборка!$J$2:$J$501,$K365),"")</f>
        <v/>
      </c>
      <c r="G365" s="6" t="str">
        <f>IF(ISNUMBER($K365),INDEX(Сборка!$K$2:$K$501,$K365),"")</f>
        <v/>
      </c>
      <c r="H365" s="6" t="str">
        <f t="shared" si="20"/>
        <v/>
      </c>
      <c r="I365" s="6" t="str">
        <f t="shared" si="21"/>
        <v/>
      </c>
      <c r="J365" s="6" t="str">
        <f t="shared" si="22"/>
        <v/>
      </c>
      <c r="K365" t="str">
        <f>IFERROR(MATCH(345,Сборка!$R$2:$R$501,0),"")</f>
        <v/>
      </c>
      <c r="L365" t="str">
        <f>IFERROR(IF(INDEX(Сборка!$Q$2:$Q$501,MATCH(345+1,Сборка!$R$2:$R$501,0))=1,INDEX(Сборка!$P$2:$P$501,MATCH(345+1,Сборка!$R$2:$R$501,0)),""),"")</f>
        <v/>
      </c>
      <c r="M365" t="str">
        <f t="shared" si="23"/>
        <v/>
      </c>
    </row>
    <row r="366" spans="1:13" hidden="1" x14ac:dyDescent="0.3">
      <c r="A366" t="str">
        <f>IF(ISNUMBER($K366),INDEX(Сборка!$O$2:$O$501,$K366),"")</f>
        <v/>
      </c>
      <c r="B366" t="str">
        <f>IF(ISNUMBER($K366),INDEX(Сборка!$C$2:$C$501,$K366),"")</f>
        <v/>
      </c>
      <c r="C366" s="5" t="str">
        <f>IF($L366&lt;&gt;"",INDEX(Сборка!$S$2:$S$501,MATCH($L366,Сборка!$P$2:$P$501,0)),IF(ISNUMBER($K366),INDEX(Сборка!$D$2:$D$501,$K366)&amp;IF(INDEX(Сборка!$I$2:$I$501,$K366)&lt;&gt;""," — "&amp;INDEX(Сборка!$I$2:$I$501,$K366),""),""))</f>
        <v/>
      </c>
      <c r="D366" t="str">
        <f>IF(ISNUMBER($K366),INDEX(Сборка!$E$2:$E$501,$K366),"")</f>
        <v/>
      </c>
      <c r="E366" t="str">
        <f>IF(ISNUMBER($K366),INDEX(Сборка!$G$2:$G$501,$K366),"")</f>
        <v/>
      </c>
      <c r="F366" s="6" t="str">
        <f>IF(ISNUMBER($K366),INDEX(Сборка!$J$2:$J$501,$K366),"")</f>
        <v/>
      </c>
      <c r="G366" s="6" t="str">
        <f>IF(ISNUMBER($K366),INDEX(Сборка!$K$2:$K$501,$K366),"")</f>
        <v/>
      </c>
      <c r="H366" s="6" t="str">
        <f t="shared" si="20"/>
        <v/>
      </c>
      <c r="I366" s="6" t="str">
        <f t="shared" si="21"/>
        <v/>
      </c>
      <c r="J366" s="6" t="str">
        <f t="shared" si="22"/>
        <v/>
      </c>
      <c r="K366" t="str">
        <f>IFERROR(MATCH(346,Сборка!$R$2:$R$501,0),"")</f>
        <v/>
      </c>
      <c r="L366" t="str">
        <f>IFERROR(IF(INDEX(Сборка!$Q$2:$Q$501,MATCH(346+1,Сборка!$R$2:$R$501,0))=1,INDEX(Сборка!$P$2:$P$501,MATCH(346+1,Сборка!$R$2:$R$501,0)),""),"")</f>
        <v/>
      </c>
      <c r="M366" t="str">
        <f t="shared" si="23"/>
        <v/>
      </c>
    </row>
    <row r="367" spans="1:13" hidden="1" x14ac:dyDescent="0.3">
      <c r="A367" t="str">
        <f>IF(ISNUMBER($K367),INDEX(Сборка!$O$2:$O$501,$K367),"")</f>
        <v/>
      </c>
      <c r="B367" t="str">
        <f>IF(ISNUMBER($K367),INDEX(Сборка!$C$2:$C$501,$K367),"")</f>
        <v/>
      </c>
      <c r="C367" s="5" t="str">
        <f>IF($L367&lt;&gt;"",INDEX(Сборка!$S$2:$S$501,MATCH($L367,Сборка!$P$2:$P$501,0)),IF(ISNUMBER($K367),INDEX(Сборка!$D$2:$D$501,$K367)&amp;IF(INDEX(Сборка!$I$2:$I$501,$K367)&lt;&gt;""," — "&amp;INDEX(Сборка!$I$2:$I$501,$K367),""),""))</f>
        <v/>
      </c>
      <c r="D367" t="str">
        <f>IF(ISNUMBER($K367),INDEX(Сборка!$E$2:$E$501,$K367),"")</f>
        <v/>
      </c>
      <c r="E367" t="str">
        <f>IF(ISNUMBER($K367),INDEX(Сборка!$G$2:$G$501,$K367),"")</f>
        <v/>
      </c>
      <c r="F367" s="6" t="str">
        <f>IF(ISNUMBER($K367),INDEX(Сборка!$J$2:$J$501,$K367),"")</f>
        <v/>
      </c>
      <c r="G367" s="6" t="str">
        <f>IF(ISNUMBER($K367),INDEX(Сборка!$K$2:$K$501,$K367),"")</f>
        <v/>
      </c>
      <c r="H367" s="6" t="str">
        <f t="shared" si="20"/>
        <v/>
      </c>
      <c r="I367" s="6" t="str">
        <f t="shared" si="21"/>
        <v/>
      </c>
      <c r="J367" s="6" t="str">
        <f t="shared" si="22"/>
        <v/>
      </c>
      <c r="K367" t="str">
        <f>IFERROR(MATCH(347,Сборка!$R$2:$R$501,0),"")</f>
        <v/>
      </c>
      <c r="L367" t="str">
        <f>IFERROR(IF(INDEX(Сборка!$Q$2:$Q$501,MATCH(347+1,Сборка!$R$2:$R$501,0))=1,INDEX(Сборка!$P$2:$P$501,MATCH(347+1,Сборка!$R$2:$R$501,0)),""),"")</f>
        <v/>
      </c>
      <c r="M367" t="str">
        <f t="shared" si="23"/>
        <v/>
      </c>
    </row>
    <row r="368" spans="1:13" hidden="1" x14ac:dyDescent="0.3">
      <c r="A368" t="str">
        <f>IF(ISNUMBER($K368),INDEX(Сборка!$O$2:$O$501,$K368),"")</f>
        <v/>
      </c>
      <c r="B368" t="str">
        <f>IF(ISNUMBER($K368),INDEX(Сборка!$C$2:$C$501,$K368),"")</f>
        <v/>
      </c>
      <c r="C368" s="5" t="str">
        <f>IF($L368&lt;&gt;"",INDEX(Сборка!$S$2:$S$501,MATCH($L368,Сборка!$P$2:$P$501,0)),IF(ISNUMBER($K368),INDEX(Сборка!$D$2:$D$501,$K368)&amp;IF(INDEX(Сборка!$I$2:$I$501,$K368)&lt;&gt;""," — "&amp;INDEX(Сборка!$I$2:$I$501,$K368),""),""))</f>
        <v/>
      </c>
      <c r="D368" t="str">
        <f>IF(ISNUMBER($K368),INDEX(Сборка!$E$2:$E$501,$K368),"")</f>
        <v/>
      </c>
      <c r="E368" t="str">
        <f>IF(ISNUMBER($K368),INDEX(Сборка!$G$2:$G$501,$K368),"")</f>
        <v/>
      </c>
      <c r="F368" s="6" t="str">
        <f>IF(ISNUMBER($K368),INDEX(Сборка!$J$2:$J$501,$K368),"")</f>
        <v/>
      </c>
      <c r="G368" s="6" t="str">
        <f>IF(ISNUMBER($K368),INDEX(Сборка!$K$2:$K$501,$K368),"")</f>
        <v/>
      </c>
      <c r="H368" s="6" t="str">
        <f t="shared" si="20"/>
        <v/>
      </c>
      <c r="I368" s="6" t="str">
        <f t="shared" si="21"/>
        <v/>
      </c>
      <c r="J368" s="6" t="str">
        <f t="shared" si="22"/>
        <v/>
      </c>
      <c r="K368" t="str">
        <f>IFERROR(MATCH(348,Сборка!$R$2:$R$501,0),"")</f>
        <v/>
      </c>
      <c r="L368" t="str">
        <f>IFERROR(IF(INDEX(Сборка!$Q$2:$Q$501,MATCH(348+1,Сборка!$R$2:$R$501,0))=1,INDEX(Сборка!$P$2:$P$501,MATCH(348+1,Сборка!$R$2:$R$501,0)),""),"")</f>
        <v/>
      </c>
      <c r="M368" t="str">
        <f t="shared" si="23"/>
        <v/>
      </c>
    </row>
    <row r="369" spans="1:13" hidden="1" x14ac:dyDescent="0.3">
      <c r="A369" t="str">
        <f>IF(ISNUMBER($K369),INDEX(Сборка!$O$2:$O$501,$K369),"")</f>
        <v/>
      </c>
      <c r="B369" t="str">
        <f>IF(ISNUMBER($K369),INDEX(Сборка!$C$2:$C$501,$K369),"")</f>
        <v/>
      </c>
      <c r="C369" s="5" t="str">
        <f>IF($L369&lt;&gt;"",INDEX(Сборка!$S$2:$S$501,MATCH($L369,Сборка!$P$2:$P$501,0)),IF(ISNUMBER($K369),INDEX(Сборка!$D$2:$D$501,$K369)&amp;IF(INDEX(Сборка!$I$2:$I$501,$K369)&lt;&gt;""," — "&amp;INDEX(Сборка!$I$2:$I$501,$K369),""),""))</f>
        <v/>
      </c>
      <c r="D369" t="str">
        <f>IF(ISNUMBER($K369),INDEX(Сборка!$E$2:$E$501,$K369),"")</f>
        <v/>
      </c>
      <c r="E369" t="str">
        <f>IF(ISNUMBER($K369),INDEX(Сборка!$G$2:$G$501,$K369),"")</f>
        <v/>
      </c>
      <c r="F369" s="6" t="str">
        <f>IF(ISNUMBER($K369),INDEX(Сборка!$J$2:$J$501,$K369),"")</f>
        <v/>
      </c>
      <c r="G369" s="6" t="str">
        <f>IF(ISNUMBER($K369),INDEX(Сборка!$K$2:$K$501,$K369),"")</f>
        <v/>
      </c>
      <c r="H369" s="6" t="str">
        <f t="shared" si="20"/>
        <v/>
      </c>
      <c r="I369" s="6" t="str">
        <f t="shared" si="21"/>
        <v/>
      </c>
      <c r="J369" s="6" t="str">
        <f t="shared" si="22"/>
        <v/>
      </c>
      <c r="K369" t="str">
        <f>IFERROR(MATCH(349,Сборка!$R$2:$R$501,0),"")</f>
        <v/>
      </c>
      <c r="L369" t="str">
        <f>IFERROR(IF(INDEX(Сборка!$Q$2:$Q$501,MATCH(349+1,Сборка!$R$2:$R$501,0))=1,INDEX(Сборка!$P$2:$P$501,MATCH(349+1,Сборка!$R$2:$R$501,0)),""),"")</f>
        <v/>
      </c>
      <c r="M369" t="str">
        <f t="shared" si="23"/>
        <v/>
      </c>
    </row>
    <row r="370" spans="1:13" hidden="1" x14ac:dyDescent="0.3">
      <c r="A370" t="str">
        <f>IF(ISNUMBER($K370),INDEX(Сборка!$O$2:$O$501,$K370),"")</f>
        <v/>
      </c>
      <c r="B370" t="str">
        <f>IF(ISNUMBER($K370),INDEX(Сборка!$C$2:$C$501,$K370),"")</f>
        <v/>
      </c>
      <c r="C370" s="5" t="str">
        <f>IF($L370&lt;&gt;"",INDEX(Сборка!$S$2:$S$501,MATCH($L370,Сборка!$P$2:$P$501,0)),IF(ISNUMBER($K370),INDEX(Сборка!$D$2:$D$501,$K370)&amp;IF(INDEX(Сборка!$I$2:$I$501,$K370)&lt;&gt;""," — "&amp;INDEX(Сборка!$I$2:$I$501,$K370),""),""))</f>
        <v/>
      </c>
      <c r="D370" t="str">
        <f>IF(ISNUMBER($K370),INDEX(Сборка!$E$2:$E$501,$K370),"")</f>
        <v/>
      </c>
      <c r="E370" t="str">
        <f>IF(ISNUMBER($K370),INDEX(Сборка!$G$2:$G$501,$K370),"")</f>
        <v/>
      </c>
      <c r="F370" s="6" t="str">
        <f>IF(ISNUMBER($K370),INDEX(Сборка!$J$2:$J$501,$K370),"")</f>
        <v/>
      </c>
      <c r="G370" s="6" t="str">
        <f>IF(ISNUMBER($K370),INDEX(Сборка!$K$2:$K$501,$K370),"")</f>
        <v/>
      </c>
      <c r="H370" s="6" t="str">
        <f t="shared" si="20"/>
        <v/>
      </c>
      <c r="I370" s="6" t="str">
        <f t="shared" si="21"/>
        <v/>
      </c>
      <c r="J370" s="6" t="str">
        <f t="shared" si="22"/>
        <v/>
      </c>
      <c r="K370" t="str">
        <f>IFERROR(MATCH(350,Сборка!$R$2:$R$501,0),"")</f>
        <v/>
      </c>
      <c r="L370" t="str">
        <f>IFERROR(IF(INDEX(Сборка!$Q$2:$Q$501,MATCH(350+1,Сборка!$R$2:$R$501,0))=1,INDEX(Сборка!$P$2:$P$501,MATCH(350+1,Сборка!$R$2:$R$501,0)),""),"")</f>
        <v/>
      </c>
      <c r="M370" t="str">
        <f t="shared" si="23"/>
        <v/>
      </c>
    </row>
    <row r="371" spans="1:13" hidden="1" x14ac:dyDescent="0.3">
      <c r="A371" t="str">
        <f>IF(ISNUMBER($K371),INDEX(Сборка!$O$2:$O$501,$K371),"")</f>
        <v/>
      </c>
      <c r="B371" t="str">
        <f>IF(ISNUMBER($K371),INDEX(Сборка!$C$2:$C$501,$K371),"")</f>
        <v/>
      </c>
      <c r="C371" s="5" t="str">
        <f>IF($L371&lt;&gt;"",INDEX(Сборка!$S$2:$S$501,MATCH($L371,Сборка!$P$2:$P$501,0)),IF(ISNUMBER($K371),INDEX(Сборка!$D$2:$D$501,$K371)&amp;IF(INDEX(Сборка!$I$2:$I$501,$K371)&lt;&gt;""," — "&amp;INDEX(Сборка!$I$2:$I$501,$K371),""),""))</f>
        <v/>
      </c>
      <c r="D371" t="str">
        <f>IF(ISNUMBER($K371),INDEX(Сборка!$E$2:$E$501,$K371),"")</f>
        <v/>
      </c>
      <c r="E371" t="str">
        <f>IF(ISNUMBER($K371),INDEX(Сборка!$G$2:$G$501,$K371),"")</f>
        <v/>
      </c>
      <c r="F371" s="6" t="str">
        <f>IF(ISNUMBER($K371),INDEX(Сборка!$J$2:$J$501,$K371),"")</f>
        <v/>
      </c>
      <c r="G371" s="6" t="str">
        <f>IF(ISNUMBER($K371),INDEX(Сборка!$K$2:$K$501,$K371),"")</f>
        <v/>
      </c>
      <c r="H371" s="6" t="str">
        <f t="shared" si="20"/>
        <v/>
      </c>
      <c r="I371" s="6" t="str">
        <f t="shared" si="21"/>
        <v/>
      </c>
      <c r="J371" s="6" t="str">
        <f t="shared" si="22"/>
        <v/>
      </c>
      <c r="K371" t="str">
        <f>IFERROR(MATCH(351,Сборка!$R$2:$R$501,0),"")</f>
        <v/>
      </c>
      <c r="L371" t="str">
        <f>IFERROR(IF(INDEX(Сборка!$Q$2:$Q$501,MATCH(351+1,Сборка!$R$2:$R$501,0))=1,INDEX(Сборка!$P$2:$P$501,MATCH(351+1,Сборка!$R$2:$R$501,0)),""),"")</f>
        <v/>
      </c>
      <c r="M371" t="str">
        <f t="shared" si="23"/>
        <v/>
      </c>
    </row>
    <row r="372" spans="1:13" hidden="1" x14ac:dyDescent="0.3">
      <c r="A372" t="str">
        <f>IF(ISNUMBER($K372),INDEX(Сборка!$O$2:$O$501,$K372),"")</f>
        <v/>
      </c>
      <c r="B372" t="str">
        <f>IF(ISNUMBER($K372),INDEX(Сборка!$C$2:$C$501,$K372),"")</f>
        <v/>
      </c>
      <c r="C372" s="5" t="str">
        <f>IF($L372&lt;&gt;"",INDEX(Сборка!$S$2:$S$501,MATCH($L372,Сборка!$P$2:$P$501,0)),IF(ISNUMBER($K372),INDEX(Сборка!$D$2:$D$501,$K372)&amp;IF(INDEX(Сборка!$I$2:$I$501,$K372)&lt;&gt;""," — "&amp;INDEX(Сборка!$I$2:$I$501,$K372),""),""))</f>
        <v/>
      </c>
      <c r="D372" t="str">
        <f>IF(ISNUMBER($K372),INDEX(Сборка!$E$2:$E$501,$K372),"")</f>
        <v/>
      </c>
      <c r="E372" t="str">
        <f>IF(ISNUMBER($K372),INDEX(Сборка!$G$2:$G$501,$K372),"")</f>
        <v/>
      </c>
      <c r="F372" s="6" t="str">
        <f>IF(ISNUMBER($K372),INDEX(Сборка!$J$2:$J$501,$K372),"")</f>
        <v/>
      </c>
      <c r="G372" s="6" t="str">
        <f>IF(ISNUMBER($K372),INDEX(Сборка!$K$2:$K$501,$K372),"")</f>
        <v/>
      </c>
      <c r="H372" s="6" t="str">
        <f t="shared" si="20"/>
        <v/>
      </c>
      <c r="I372" s="6" t="str">
        <f t="shared" si="21"/>
        <v/>
      </c>
      <c r="J372" s="6" t="str">
        <f t="shared" si="22"/>
        <v/>
      </c>
      <c r="K372" t="str">
        <f>IFERROR(MATCH(352,Сборка!$R$2:$R$501,0),"")</f>
        <v/>
      </c>
      <c r="L372" t="str">
        <f>IFERROR(IF(INDEX(Сборка!$Q$2:$Q$501,MATCH(352+1,Сборка!$R$2:$R$501,0))=1,INDEX(Сборка!$P$2:$P$501,MATCH(352+1,Сборка!$R$2:$R$501,0)),""),"")</f>
        <v/>
      </c>
      <c r="M372" t="str">
        <f t="shared" si="23"/>
        <v/>
      </c>
    </row>
    <row r="373" spans="1:13" hidden="1" x14ac:dyDescent="0.3">
      <c r="A373" t="str">
        <f>IF(ISNUMBER($K373),INDEX(Сборка!$O$2:$O$501,$K373),"")</f>
        <v/>
      </c>
      <c r="B373" t="str">
        <f>IF(ISNUMBER($K373),INDEX(Сборка!$C$2:$C$501,$K373),"")</f>
        <v/>
      </c>
      <c r="C373" s="5" t="str">
        <f>IF($L373&lt;&gt;"",INDEX(Сборка!$S$2:$S$501,MATCH($L373,Сборка!$P$2:$P$501,0)),IF(ISNUMBER($K373),INDEX(Сборка!$D$2:$D$501,$K373)&amp;IF(INDEX(Сборка!$I$2:$I$501,$K373)&lt;&gt;""," — "&amp;INDEX(Сборка!$I$2:$I$501,$K373),""),""))</f>
        <v/>
      </c>
      <c r="D373" t="str">
        <f>IF(ISNUMBER($K373),INDEX(Сборка!$E$2:$E$501,$K373),"")</f>
        <v/>
      </c>
      <c r="E373" t="str">
        <f>IF(ISNUMBER($K373),INDEX(Сборка!$G$2:$G$501,$K373),"")</f>
        <v/>
      </c>
      <c r="F373" s="6" t="str">
        <f>IF(ISNUMBER($K373),INDEX(Сборка!$J$2:$J$501,$K373),"")</f>
        <v/>
      </c>
      <c r="G373" s="6" t="str">
        <f>IF(ISNUMBER($K373),INDEX(Сборка!$K$2:$K$501,$K373),"")</f>
        <v/>
      </c>
      <c r="H373" s="6" t="str">
        <f t="shared" si="20"/>
        <v/>
      </c>
      <c r="I373" s="6" t="str">
        <f t="shared" si="21"/>
        <v/>
      </c>
      <c r="J373" s="6" t="str">
        <f t="shared" si="22"/>
        <v/>
      </c>
      <c r="K373" t="str">
        <f>IFERROR(MATCH(353,Сборка!$R$2:$R$501,0),"")</f>
        <v/>
      </c>
      <c r="L373" t="str">
        <f>IFERROR(IF(INDEX(Сборка!$Q$2:$Q$501,MATCH(353+1,Сборка!$R$2:$R$501,0))=1,INDEX(Сборка!$P$2:$P$501,MATCH(353+1,Сборка!$R$2:$R$501,0)),""),"")</f>
        <v/>
      </c>
      <c r="M373" t="str">
        <f t="shared" si="23"/>
        <v/>
      </c>
    </row>
    <row r="374" spans="1:13" hidden="1" x14ac:dyDescent="0.3">
      <c r="A374" t="str">
        <f>IF(ISNUMBER($K374),INDEX(Сборка!$O$2:$O$501,$K374),"")</f>
        <v/>
      </c>
      <c r="B374" t="str">
        <f>IF(ISNUMBER($K374),INDEX(Сборка!$C$2:$C$501,$K374),"")</f>
        <v/>
      </c>
      <c r="C374" s="5" t="str">
        <f>IF($L374&lt;&gt;"",INDEX(Сборка!$S$2:$S$501,MATCH($L374,Сборка!$P$2:$P$501,0)),IF(ISNUMBER($K374),INDEX(Сборка!$D$2:$D$501,$K374)&amp;IF(INDEX(Сборка!$I$2:$I$501,$K374)&lt;&gt;""," — "&amp;INDEX(Сборка!$I$2:$I$501,$K374),""),""))</f>
        <v/>
      </c>
      <c r="D374" t="str">
        <f>IF(ISNUMBER($K374),INDEX(Сборка!$E$2:$E$501,$K374),"")</f>
        <v/>
      </c>
      <c r="E374" t="str">
        <f>IF(ISNUMBER($K374),INDEX(Сборка!$G$2:$G$501,$K374),"")</f>
        <v/>
      </c>
      <c r="F374" s="6" t="str">
        <f>IF(ISNUMBER($K374),INDEX(Сборка!$J$2:$J$501,$K374),"")</f>
        <v/>
      </c>
      <c r="G374" s="6" t="str">
        <f>IF(ISNUMBER($K374),INDEX(Сборка!$K$2:$K$501,$K374),"")</f>
        <v/>
      </c>
      <c r="H374" s="6" t="str">
        <f t="shared" si="20"/>
        <v/>
      </c>
      <c r="I374" s="6" t="str">
        <f t="shared" si="21"/>
        <v/>
      </c>
      <c r="J374" s="6" t="str">
        <f t="shared" si="22"/>
        <v/>
      </c>
      <c r="K374" t="str">
        <f>IFERROR(MATCH(354,Сборка!$R$2:$R$501,0),"")</f>
        <v/>
      </c>
      <c r="L374" t="str">
        <f>IFERROR(IF(INDEX(Сборка!$Q$2:$Q$501,MATCH(354+1,Сборка!$R$2:$R$501,0))=1,INDEX(Сборка!$P$2:$P$501,MATCH(354+1,Сборка!$R$2:$R$501,0)),""),"")</f>
        <v/>
      </c>
      <c r="M374" t="str">
        <f t="shared" si="23"/>
        <v/>
      </c>
    </row>
    <row r="375" spans="1:13" hidden="1" x14ac:dyDescent="0.3">
      <c r="A375" t="str">
        <f>IF(ISNUMBER($K375),INDEX(Сборка!$O$2:$O$501,$K375),"")</f>
        <v/>
      </c>
      <c r="B375" t="str">
        <f>IF(ISNUMBER($K375),INDEX(Сборка!$C$2:$C$501,$K375),"")</f>
        <v/>
      </c>
      <c r="C375" s="5" t="str">
        <f>IF($L375&lt;&gt;"",INDEX(Сборка!$S$2:$S$501,MATCH($L375,Сборка!$P$2:$P$501,0)),IF(ISNUMBER($K375),INDEX(Сборка!$D$2:$D$501,$K375)&amp;IF(INDEX(Сборка!$I$2:$I$501,$K375)&lt;&gt;""," — "&amp;INDEX(Сборка!$I$2:$I$501,$K375),""),""))</f>
        <v/>
      </c>
      <c r="D375" t="str">
        <f>IF(ISNUMBER($K375),INDEX(Сборка!$E$2:$E$501,$K375),"")</f>
        <v/>
      </c>
      <c r="E375" t="str">
        <f>IF(ISNUMBER($K375),INDEX(Сборка!$G$2:$G$501,$K375),"")</f>
        <v/>
      </c>
      <c r="F375" s="6" t="str">
        <f>IF(ISNUMBER($K375),INDEX(Сборка!$J$2:$J$501,$K375),"")</f>
        <v/>
      </c>
      <c r="G375" s="6" t="str">
        <f>IF(ISNUMBER($K375),INDEX(Сборка!$K$2:$K$501,$K375),"")</f>
        <v/>
      </c>
      <c r="H375" s="6" t="str">
        <f t="shared" si="20"/>
        <v/>
      </c>
      <c r="I375" s="6" t="str">
        <f t="shared" si="21"/>
        <v/>
      </c>
      <c r="J375" s="6" t="str">
        <f t="shared" si="22"/>
        <v/>
      </c>
      <c r="K375" t="str">
        <f>IFERROR(MATCH(355,Сборка!$R$2:$R$501,0),"")</f>
        <v/>
      </c>
      <c r="L375" t="str">
        <f>IFERROR(IF(INDEX(Сборка!$Q$2:$Q$501,MATCH(355+1,Сборка!$R$2:$R$501,0))=1,INDEX(Сборка!$P$2:$P$501,MATCH(355+1,Сборка!$R$2:$R$501,0)),""),"")</f>
        <v/>
      </c>
      <c r="M375" t="str">
        <f t="shared" si="23"/>
        <v/>
      </c>
    </row>
    <row r="376" spans="1:13" hidden="1" x14ac:dyDescent="0.3">
      <c r="A376" t="str">
        <f>IF(ISNUMBER($K376),INDEX(Сборка!$O$2:$O$501,$K376),"")</f>
        <v/>
      </c>
      <c r="B376" t="str">
        <f>IF(ISNUMBER($K376),INDEX(Сборка!$C$2:$C$501,$K376),"")</f>
        <v/>
      </c>
      <c r="C376" s="5" t="str">
        <f>IF($L376&lt;&gt;"",INDEX(Сборка!$S$2:$S$501,MATCH($L376,Сборка!$P$2:$P$501,0)),IF(ISNUMBER($K376),INDEX(Сборка!$D$2:$D$501,$K376)&amp;IF(INDEX(Сборка!$I$2:$I$501,$K376)&lt;&gt;""," — "&amp;INDEX(Сборка!$I$2:$I$501,$K376),""),""))</f>
        <v/>
      </c>
      <c r="D376" t="str">
        <f>IF(ISNUMBER($K376),INDEX(Сборка!$E$2:$E$501,$K376),"")</f>
        <v/>
      </c>
      <c r="E376" t="str">
        <f>IF(ISNUMBER($K376),INDEX(Сборка!$G$2:$G$501,$K376),"")</f>
        <v/>
      </c>
      <c r="F376" s="6" t="str">
        <f>IF(ISNUMBER($K376),INDEX(Сборка!$J$2:$J$501,$K376),"")</f>
        <v/>
      </c>
      <c r="G376" s="6" t="str">
        <f>IF(ISNUMBER($K376),INDEX(Сборка!$K$2:$K$501,$K376),"")</f>
        <v/>
      </c>
      <c r="H376" s="6" t="str">
        <f t="shared" si="20"/>
        <v/>
      </c>
      <c r="I376" s="6" t="str">
        <f t="shared" si="21"/>
        <v/>
      </c>
      <c r="J376" s="6" t="str">
        <f t="shared" si="22"/>
        <v/>
      </c>
      <c r="K376" t="str">
        <f>IFERROR(MATCH(356,Сборка!$R$2:$R$501,0),"")</f>
        <v/>
      </c>
      <c r="L376" t="str">
        <f>IFERROR(IF(INDEX(Сборка!$Q$2:$Q$501,MATCH(356+1,Сборка!$R$2:$R$501,0))=1,INDEX(Сборка!$P$2:$P$501,MATCH(356+1,Сборка!$R$2:$R$501,0)),""),"")</f>
        <v/>
      </c>
      <c r="M376" t="str">
        <f t="shared" si="23"/>
        <v/>
      </c>
    </row>
    <row r="377" spans="1:13" hidden="1" x14ac:dyDescent="0.3">
      <c r="A377" t="str">
        <f>IF(ISNUMBER($K377),INDEX(Сборка!$O$2:$O$501,$K377),"")</f>
        <v/>
      </c>
      <c r="B377" t="str">
        <f>IF(ISNUMBER($K377),INDEX(Сборка!$C$2:$C$501,$K377),"")</f>
        <v/>
      </c>
      <c r="C377" s="5" t="str">
        <f>IF($L377&lt;&gt;"",INDEX(Сборка!$S$2:$S$501,MATCH($L377,Сборка!$P$2:$P$501,0)),IF(ISNUMBER($K377),INDEX(Сборка!$D$2:$D$501,$K377)&amp;IF(INDEX(Сборка!$I$2:$I$501,$K377)&lt;&gt;""," — "&amp;INDEX(Сборка!$I$2:$I$501,$K377),""),""))</f>
        <v/>
      </c>
      <c r="D377" t="str">
        <f>IF(ISNUMBER($K377),INDEX(Сборка!$E$2:$E$501,$K377),"")</f>
        <v/>
      </c>
      <c r="E377" t="str">
        <f>IF(ISNUMBER($K377),INDEX(Сборка!$G$2:$G$501,$K377),"")</f>
        <v/>
      </c>
      <c r="F377" s="6" t="str">
        <f>IF(ISNUMBER($K377),INDEX(Сборка!$J$2:$J$501,$K377),"")</f>
        <v/>
      </c>
      <c r="G377" s="6" t="str">
        <f>IF(ISNUMBER($K377),INDEX(Сборка!$K$2:$K$501,$K377),"")</f>
        <v/>
      </c>
      <c r="H377" s="6" t="str">
        <f t="shared" si="20"/>
        <v/>
      </c>
      <c r="I377" s="6" t="str">
        <f t="shared" si="21"/>
        <v/>
      </c>
      <c r="J377" s="6" t="str">
        <f t="shared" si="22"/>
        <v/>
      </c>
      <c r="K377" t="str">
        <f>IFERROR(MATCH(357,Сборка!$R$2:$R$501,0),"")</f>
        <v/>
      </c>
      <c r="L377" t="str">
        <f>IFERROR(IF(INDEX(Сборка!$Q$2:$Q$501,MATCH(357+1,Сборка!$R$2:$R$501,0))=1,INDEX(Сборка!$P$2:$P$501,MATCH(357+1,Сборка!$R$2:$R$501,0)),""),"")</f>
        <v/>
      </c>
      <c r="M377" t="str">
        <f t="shared" si="23"/>
        <v/>
      </c>
    </row>
    <row r="378" spans="1:13" hidden="1" x14ac:dyDescent="0.3">
      <c r="A378" t="str">
        <f>IF(ISNUMBER($K378),INDEX(Сборка!$O$2:$O$501,$K378),"")</f>
        <v/>
      </c>
      <c r="B378" t="str">
        <f>IF(ISNUMBER($K378),INDEX(Сборка!$C$2:$C$501,$K378),"")</f>
        <v/>
      </c>
      <c r="C378" s="5" t="str">
        <f>IF($L378&lt;&gt;"",INDEX(Сборка!$S$2:$S$501,MATCH($L378,Сборка!$P$2:$P$501,0)),IF(ISNUMBER($K378),INDEX(Сборка!$D$2:$D$501,$K378)&amp;IF(INDEX(Сборка!$I$2:$I$501,$K378)&lt;&gt;""," — "&amp;INDEX(Сборка!$I$2:$I$501,$K378),""),""))</f>
        <v/>
      </c>
      <c r="D378" t="str">
        <f>IF(ISNUMBER($K378),INDEX(Сборка!$E$2:$E$501,$K378),"")</f>
        <v/>
      </c>
      <c r="E378" t="str">
        <f>IF(ISNUMBER($K378),INDEX(Сборка!$G$2:$G$501,$K378),"")</f>
        <v/>
      </c>
      <c r="F378" s="6" t="str">
        <f>IF(ISNUMBER($K378),INDEX(Сборка!$J$2:$J$501,$K378),"")</f>
        <v/>
      </c>
      <c r="G378" s="6" t="str">
        <f>IF(ISNUMBER($K378),INDEX(Сборка!$K$2:$K$501,$K378),"")</f>
        <v/>
      </c>
      <c r="H378" s="6" t="str">
        <f t="shared" si="20"/>
        <v/>
      </c>
      <c r="I378" s="6" t="str">
        <f t="shared" si="21"/>
        <v/>
      </c>
      <c r="J378" s="6" t="str">
        <f t="shared" si="22"/>
        <v/>
      </c>
      <c r="K378" t="str">
        <f>IFERROR(MATCH(358,Сборка!$R$2:$R$501,0),"")</f>
        <v/>
      </c>
      <c r="L378" t="str">
        <f>IFERROR(IF(INDEX(Сборка!$Q$2:$Q$501,MATCH(358+1,Сборка!$R$2:$R$501,0))=1,INDEX(Сборка!$P$2:$P$501,MATCH(358+1,Сборка!$R$2:$R$501,0)),""),"")</f>
        <v/>
      </c>
      <c r="M378" t="str">
        <f t="shared" si="23"/>
        <v/>
      </c>
    </row>
    <row r="379" spans="1:13" hidden="1" x14ac:dyDescent="0.3">
      <c r="A379" t="str">
        <f>IF(ISNUMBER($K379),INDEX(Сборка!$O$2:$O$501,$K379),"")</f>
        <v/>
      </c>
      <c r="B379" t="str">
        <f>IF(ISNUMBER($K379),INDEX(Сборка!$C$2:$C$501,$K379),"")</f>
        <v/>
      </c>
      <c r="C379" s="5" t="str">
        <f>IF($L379&lt;&gt;"",INDEX(Сборка!$S$2:$S$501,MATCH($L379,Сборка!$P$2:$P$501,0)),IF(ISNUMBER($K379),INDEX(Сборка!$D$2:$D$501,$K379)&amp;IF(INDEX(Сборка!$I$2:$I$501,$K379)&lt;&gt;""," — "&amp;INDEX(Сборка!$I$2:$I$501,$K379),""),""))</f>
        <v/>
      </c>
      <c r="D379" t="str">
        <f>IF(ISNUMBER($K379),INDEX(Сборка!$E$2:$E$501,$K379),"")</f>
        <v/>
      </c>
      <c r="E379" t="str">
        <f>IF(ISNUMBER($K379),INDEX(Сборка!$G$2:$G$501,$K379),"")</f>
        <v/>
      </c>
      <c r="F379" s="6" t="str">
        <f>IF(ISNUMBER($K379),INDEX(Сборка!$J$2:$J$501,$K379),"")</f>
        <v/>
      </c>
      <c r="G379" s="6" t="str">
        <f>IF(ISNUMBER($K379),INDEX(Сборка!$K$2:$K$501,$K379),"")</f>
        <v/>
      </c>
      <c r="H379" s="6" t="str">
        <f t="shared" si="20"/>
        <v/>
      </c>
      <c r="I379" s="6" t="str">
        <f t="shared" si="21"/>
        <v/>
      </c>
      <c r="J379" s="6" t="str">
        <f t="shared" si="22"/>
        <v/>
      </c>
      <c r="K379" t="str">
        <f>IFERROR(MATCH(359,Сборка!$R$2:$R$501,0),"")</f>
        <v/>
      </c>
      <c r="L379" t="str">
        <f>IFERROR(IF(INDEX(Сборка!$Q$2:$Q$501,MATCH(359+1,Сборка!$R$2:$R$501,0))=1,INDEX(Сборка!$P$2:$P$501,MATCH(359+1,Сборка!$R$2:$R$501,0)),""),"")</f>
        <v/>
      </c>
      <c r="M379" t="str">
        <f t="shared" si="23"/>
        <v/>
      </c>
    </row>
    <row r="380" spans="1:13" hidden="1" x14ac:dyDescent="0.3">
      <c r="A380" t="str">
        <f>IF(ISNUMBER($K380),INDEX(Сборка!$O$2:$O$501,$K380),"")</f>
        <v/>
      </c>
      <c r="B380" t="str">
        <f>IF(ISNUMBER($K380),INDEX(Сборка!$C$2:$C$501,$K380),"")</f>
        <v/>
      </c>
      <c r="C380" s="5" t="str">
        <f>IF($L380&lt;&gt;"",INDEX(Сборка!$S$2:$S$501,MATCH($L380,Сборка!$P$2:$P$501,0)),IF(ISNUMBER($K380),INDEX(Сборка!$D$2:$D$501,$K380)&amp;IF(INDEX(Сборка!$I$2:$I$501,$K380)&lt;&gt;""," — "&amp;INDEX(Сборка!$I$2:$I$501,$K380),""),""))</f>
        <v/>
      </c>
      <c r="D380" t="str">
        <f>IF(ISNUMBER($K380),INDEX(Сборка!$E$2:$E$501,$K380),"")</f>
        <v/>
      </c>
      <c r="E380" t="str">
        <f>IF(ISNUMBER($K380),INDEX(Сборка!$G$2:$G$501,$K380),"")</f>
        <v/>
      </c>
      <c r="F380" s="6" t="str">
        <f>IF(ISNUMBER($K380),INDEX(Сборка!$J$2:$J$501,$K380),"")</f>
        <v/>
      </c>
      <c r="G380" s="6" t="str">
        <f>IF(ISNUMBER($K380),INDEX(Сборка!$K$2:$K$501,$K380),"")</f>
        <v/>
      </c>
      <c r="H380" s="6" t="str">
        <f t="shared" si="20"/>
        <v/>
      </c>
      <c r="I380" s="6" t="str">
        <f t="shared" si="21"/>
        <v/>
      </c>
      <c r="J380" s="6" t="str">
        <f t="shared" si="22"/>
        <v/>
      </c>
      <c r="K380" t="str">
        <f>IFERROR(MATCH(360,Сборка!$R$2:$R$501,0),"")</f>
        <v/>
      </c>
      <c r="L380" t="str">
        <f>IFERROR(IF(INDEX(Сборка!$Q$2:$Q$501,MATCH(360+1,Сборка!$R$2:$R$501,0))=1,INDEX(Сборка!$P$2:$P$501,MATCH(360+1,Сборка!$R$2:$R$501,0)),""),"")</f>
        <v/>
      </c>
      <c r="M380" t="str">
        <f t="shared" si="23"/>
        <v/>
      </c>
    </row>
    <row r="381" spans="1:13" hidden="1" x14ac:dyDescent="0.3">
      <c r="A381" t="str">
        <f>IF(ISNUMBER($K381),INDEX(Сборка!$O$2:$O$501,$K381),"")</f>
        <v/>
      </c>
      <c r="B381" t="str">
        <f>IF(ISNUMBER($K381),INDEX(Сборка!$C$2:$C$501,$K381),"")</f>
        <v/>
      </c>
      <c r="C381" s="5" t="str">
        <f>IF($L381&lt;&gt;"",INDEX(Сборка!$S$2:$S$501,MATCH($L381,Сборка!$P$2:$P$501,0)),IF(ISNUMBER($K381),INDEX(Сборка!$D$2:$D$501,$K381)&amp;IF(INDEX(Сборка!$I$2:$I$501,$K381)&lt;&gt;""," — "&amp;INDEX(Сборка!$I$2:$I$501,$K381),""),""))</f>
        <v/>
      </c>
      <c r="D381" t="str">
        <f>IF(ISNUMBER($K381),INDEX(Сборка!$E$2:$E$501,$K381),"")</f>
        <v/>
      </c>
      <c r="E381" t="str">
        <f>IF(ISNUMBER($K381),INDEX(Сборка!$G$2:$G$501,$K381),"")</f>
        <v/>
      </c>
      <c r="F381" s="6" t="str">
        <f>IF(ISNUMBER($K381),INDEX(Сборка!$J$2:$J$501,$K381),"")</f>
        <v/>
      </c>
      <c r="G381" s="6" t="str">
        <f>IF(ISNUMBER($K381),INDEX(Сборка!$K$2:$K$501,$K381),"")</f>
        <v/>
      </c>
      <c r="H381" s="6" t="str">
        <f t="shared" si="20"/>
        <v/>
      </c>
      <c r="I381" s="6" t="str">
        <f t="shared" si="21"/>
        <v/>
      </c>
      <c r="J381" s="6" t="str">
        <f t="shared" si="22"/>
        <v/>
      </c>
      <c r="K381" t="str">
        <f>IFERROR(MATCH(361,Сборка!$R$2:$R$501,0),"")</f>
        <v/>
      </c>
      <c r="L381" t="str">
        <f>IFERROR(IF(INDEX(Сборка!$Q$2:$Q$501,MATCH(361+1,Сборка!$R$2:$R$501,0))=1,INDEX(Сборка!$P$2:$P$501,MATCH(361+1,Сборка!$R$2:$R$501,0)),""),"")</f>
        <v/>
      </c>
      <c r="M381" t="str">
        <f t="shared" si="23"/>
        <v/>
      </c>
    </row>
    <row r="382" spans="1:13" hidden="1" x14ac:dyDescent="0.3">
      <c r="A382" t="str">
        <f>IF(ISNUMBER($K382),INDEX(Сборка!$O$2:$O$501,$K382),"")</f>
        <v/>
      </c>
      <c r="B382" t="str">
        <f>IF(ISNUMBER($K382),INDEX(Сборка!$C$2:$C$501,$K382),"")</f>
        <v/>
      </c>
      <c r="C382" s="5" t="str">
        <f>IF($L382&lt;&gt;"",INDEX(Сборка!$S$2:$S$501,MATCH($L382,Сборка!$P$2:$P$501,0)),IF(ISNUMBER($K382),INDEX(Сборка!$D$2:$D$501,$K382)&amp;IF(INDEX(Сборка!$I$2:$I$501,$K382)&lt;&gt;""," — "&amp;INDEX(Сборка!$I$2:$I$501,$K382),""),""))</f>
        <v/>
      </c>
      <c r="D382" t="str">
        <f>IF(ISNUMBER($K382),INDEX(Сборка!$E$2:$E$501,$K382),"")</f>
        <v/>
      </c>
      <c r="E382" t="str">
        <f>IF(ISNUMBER($K382),INDEX(Сборка!$G$2:$G$501,$K382),"")</f>
        <v/>
      </c>
      <c r="F382" s="6" t="str">
        <f>IF(ISNUMBER($K382),INDEX(Сборка!$J$2:$J$501,$K382),"")</f>
        <v/>
      </c>
      <c r="G382" s="6" t="str">
        <f>IF(ISNUMBER($K382),INDEX(Сборка!$K$2:$K$501,$K382),"")</f>
        <v/>
      </c>
      <c r="H382" s="6" t="str">
        <f t="shared" si="20"/>
        <v/>
      </c>
      <c r="I382" s="6" t="str">
        <f t="shared" si="21"/>
        <v/>
      </c>
      <c r="J382" s="6" t="str">
        <f t="shared" si="22"/>
        <v/>
      </c>
      <c r="K382" t="str">
        <f>IFERROR(MATCH(362,Сборка!$R$2:$R$501,0),"")</f>
        <v/>
      </c>
      <c r="L382" t="str">
        <f>IFERROR(IF(INDEX(Сборка!$Q$2:$Q$501,MATCH(362+1,Сборка!$R$2:$R$501,0))=1,INDEX(Сборка!$P$2:$P$501,MATCH(362+1,Сборка!$R$2:$R$501,0)),""),"")</f>
        <v/>
      </c>
      <c r="M382" t="str">
        <f t="shared" si="23"/>
        <v/>
      </c>
    </row>
    <row r="383" spans="1:13" hidden="1" x14ac:dyDescent="0.3">
      <c r="A383" t="str">
        <f>IF(ISNUMBER($K383),INDEX(Сборка!$O$2:$O$501,$K383),"")</f>
        <v/>
      </c>
      <c r="B383" t="str">
        <f>IF(ISNUMBER($K383),INDEX(Сборка!$C$2:$C$501,$K383),"")</f>
        <v/>
      </c>
      <c r="C383" s="5" t="str">
        <f>IF($L383&lt;&gt;"",INDEX(Сборка!$S$2:$S$501,MATCH($L383,Сборка!$P$2:$P$501,0)),IF(ISNUMBER($K383),INDEX(Сборка!$D$2:$D$501,$K383)&amp;IF(INDEX(Сборка!$I$2:$I$501,$K383)&lt;&gt;""," — "&amp;INDEX(Сборка!$I$2:$I$501,$K383),""),""))</f>
        <v/>
      </c>
      <c r="D383" t="str">
        <f>IF(ISNUMBER($K383),INDEX(Сборка!$E$2:$E$501,$K383),"")</f>
        <v/>
      </c>
      <c r="E383" t="str">
        <f>IF(ISNUMBER($K383),INDEX(Сборка!$G$2:$G$501,$K383),"")</f>
        <v/>
      </c>
      <c r="F383" s="6" t="str">
        <f>IF(ISNUMBER($K383),INDEX(Сборка!$J$2:$J$501,$K383),"")</f>
        <v/>
      </c>
      <c r="G383" s="6" t="str">
        <f>IF(ISNUMBER($K383),INDEX(Сборка!$K$2:$K$501,$K383),"")</f>
        <v/>
      </c>
      <c r="H383" s="6" t="str">
        <f t="shared" si="20"/>
        <v/>
      </c>
      <c r="I383" s="6" t="str">
        <f t="shared" si="21"/>
        <v/>
      </c>
      <c r="J383" s="6" t="str">
        <f t="shared" si="22"/>
        <v/>
      </c>
      <c r="K383" t="str">
        <f>IFERROR(MATCH(363,Сборка!$R$2:$R$501,0),"")</f>
        <v/>
      </c>
      <c r="L383" t="str">
        <f>IFERROR(IF(INDEX(Сборка!$Q$2:$Q$501,MATCH(363+1,Сборка!$R$2:$R$501,0))=1,INDEX(Сборка!$P$2:$P$501,MATCH(363+1,Сборка!$R$2:$R$501,0)),""),"")</f>
        <v/>
      </c>
      <c r="M383" t="str">
        <f t="shared" si="23"/>
        <v/>
      </c>
    </row>
    <row r="384" spans="1:13" hidden="1" x14ac:dyDescent="0.3">
      <c r="A384" t="str">
        <f>IF(ISNUMBER($K384),INDEX(Сборка!$O$2:$O$501,$K384),"")</f>
        <v/>
      </c>
      <c r="B384" t="str">
        <f>IF(ISNUMBER($K384),INDEX(Сборка!$C$2:$C$501,$K384),"")</f>
        <v/>
      </c>
      <c r="C384" s="5" t="str">
        <f>IF($L384&lt;&gt;"",INDEX(Сборка!$S$2:$S$501,MATCH($L384,Сборка!$P$2:$P$501,0)),IF(ISNUMBER($K384),INDEX(Сборка!$D$2:$D$501,$K384)&amp;IF(INDEX(Сборка!$I$2:$I$501,$K384)&lt;&gt;""," — "&amp;INDEX(Сборка!$I$2:$I$501,$K384),""),""))</f>
        <v/>
      </c>
      <c r="D384" t="str">
        <f>IF(ISNUMBER($K384),INDEX(Сборка!$E$2:$E$501,$K384),"")</f>
        <v/>
      </c>
      <c r="E384" t="str">
        <f>IF(ISNUMBER($K384),INDEX(Сборка!$G$2:$G$501,$K384),"")</f>
        <v/>
      </c>
      <c r="F384" s="6" t="str">
        <f>IF(ISNUMBER($K384),INDEX(Сборка!$J$2:$J$501,$K384),"")</f>
        <v/>
      </c>
      <c r="G384" s="6" t="str">
        <f>IF(ISNUMBER($K384),INDEX(Сборка!$K$2:$K$501,$K384),"")</f>
        <v/>
      </c>
      <c r="H384" s="6" t="str">
        <f t="shared" si="20"/>
        <v/>
      </c>
      <c r="I384" s="6" t="str">
        <f t="shared" si="21"/>
        <v/>
      </c>
      <c r="J384" s="6" t="str">
        <f t="shared" si="22"/>
        <v/>
      </c>
      <c r="K384" t="str">
        <f>IFERROR(MATCH(364,Сборка!$R$2:$R$501,0),"")</f>
        <v/>
      </c>
      <c r="L384" t="str">
        <f>IFERROR(IF(INDEX(Сборка!$Q$2:$Q$501,MATCH(364+1,Сборка!$R$2:$R$501,0))=1,INDEX(Сборка!$P$2:$P$501,MATCH(364+1,Сборка!$R$2:$R$501,0)),""),"")</f>
        <v/>
      </c>
      <c r="M384" t="str">
        <f t="shared" si="23"/>
        <v/>
      </c>
    </row>
    <row r="385" spans="1:13" hidden="1" x14ac:dyDescent="0.3">
      <c r="A385" t="str">
        <f>IF(ISNUMBER($K385),INDEX(Сборка!$O$2:$O$501,$K385),"")</f>
        <v/>
      </c>
      <c r="B385" t="str">
        <f>IF(ISNUMBER($K385),INDEX(Сборка!$C$2:$C$501,$K385),"")</f>
        <v/>
      </c>
      <c r="C385" s="5" t="str">
        <f>IF($L385&lt;&gt;"",INDEX(Сборка!$S$2:$S$501,MATCH($L385,Сборка!$P$2:$P$501,0)),IF(ISNUMBER($K385),INDEX(Сборка!$D$2:$D$501,$K385)&amp;IF(INDEX(Сборка!$I$2:$I$501,$K385)&lt;&gt;""," — "&amp;INDEX(Сборка!$I$2:$I$501,$K385),""),""))</f>
        <v/>
      </c>
      <c r="D385" t="str">
        <f>IF(ISNUMBER($K385),INDEX(Сборка!$E$2:$E$501,$K385),"")</f>
        <v/>
      </c>
      <c r="E385" t="str">
        <f>IF(ISNUMBER($K385),INDEX(Сборка!$G$2:$G$501,$K385),"")</f>
        <v/>
      </c>
      <c r="F385" s="6" t="str">
        <f>IF(ISNUMBER($K385),INDEX(Сборка!$J$2:$J$501,$K385),"")</f>
        <v/>
      </c>
      <c r="G385" s="6" t="str">
        <f>IF(ISNUMBER($K385),INDEX(Сборка!$K$2:$K$501,$K385),"")</f>
        <v/>
      </c>
      <c r="H385" s="6" t="str">
        <f t="shared" si="20"/>
        <v/>
      </c>
      <c r="I385" s="6" t="str">
        <f t="shared" si="21"/>
        <v/>
      </c>
      <c r="J385" s="6" t="str">
        <f t="shared" si="22"/>
        <v/>
      </c>
      <c r="K385" t="str">
        <f>IFERROR(MATCH(365,Сборка!$R$2:$R$501,0),"")</f>
        <v/>
      </c>
      <c r="L385" t="str">
        <f>IFERROR(IF(INDEX(Сборка!$Q$2:$Q$501,MATCH(365+1,Сборка!$R$2:$R$501,0))=1,INDEX(Сборка!$P$2:$P$501,MATCH(365+1,Сборка!$R$2:$R$501,0)),""),"")</f>
        <v/>
      </c>
      <c r="M385" t="str">
        <f t="shared" si="23"/>
        <v/>
      </c>
    </row>
    <row r="386" spans="1:13" hidden="1" x14ac:dyDescent="0.3">
      <c r="A386" t="str">
        <f>IF(ISNUMBER($K386),INDEX(Сборка!$O$2:$O$501,$K386),"")</f>
        <v/>
      </c>
      <c r="B386" t="str">
        <f>IF(ISNUMBER($K386),INDEX(Сборка!$C$2:$C$501,$K386),"")</f>
        <v/>
      </c>
      <c r="C386" s="5" t="str">
        <f>IF($L386&lt;&gt;"",INDEX(Сборка!$S$2:$S$501,MATCH($L386,Сборка!$P$2:$P$501,0)),IF(ISNUMBER($K386),INDEX(Сборка!$D$2:$D$501,$K386)&amp;IF(INDEX(Сборка!$I$2:$I$501,$K386)&lt;&gt;""," — "&amp;INDEX(Сборка!$I$2:$I$501,$K386),""),""))</f>
        <v/>
      </c>
      <c r="D386" t="str">
        <f>IF(ISNUMBER($K386),INDEX(Сборка!$E$2:$E$501,$K386),"")</f>
        <v/>
      </c>
      <c r="E386" t="str">
        <f>IF(ISNUMBER($K386),INDEX(Сборка!$G$2:$G$501,$K386),"")</f>
        <v/>
      </c>
      <c r="F386" s="6" t="str">
        <f>IF(ISNUMBER($K386),INDEX(Сборка!$J$2:$J$501,$K386),"")</f>
        <v/>
      </c>
      <c r="G386" s="6" t="str">
        <f>IF(ISNUMBER($K386),INDEX(Сборка!$K$2:$K$501,$K386),"")</f>
        <v/>
      </c>
      <c r="H386" s="6" t="str">
        <f t="shared" si="20"/>
        <v/>
      </c>
      <c r="I386" s="6" t="str">
        <f t="shared" si="21"/>
        <v/>
      </c>
      <c r="J386" s="6" t="str">
        <f t="shared" si="22"/>
        <v/>
      </c>
      <c r="K386" t="str">
        <f>IFERROR(MATCH(366,Сборка!$R$2:$R$501,0),"")</f>
        <v/>
      </c>
      <c r="L386" t="str">
        <f>IFERROR(IF(INDEX(Сборка!$Q$2:$Q$501,MATCH(366+1,Сборка!$R$2:$R$501,0))=1,INDEX(Сборка!$P$2:$P$501,MATCH(366+1,Сборка!$R$2:$R$501,0)),""),"")</f>
        <v/>
      </c>
      <c r="M386" t="str">
        <f t="shared" si="23"/>
        <v/>
      </c>
    </row>
    <row r="387" spans="1:13" hidden="1" x14ac:dyDescent="0.3">
      <c r="A387" t="str">
        <f>IF(ISNUMBER($K387),INDEX(Сборка!$O$2:$O$501,$K387),"")</f>
        <v/>
      </c>
      <c r="B387" t="str">
        <f>IF(ISNUMBER($K387),INDEX(Сборка!$C$2:$C$501,$K387),"")</f>
        <v/>
      </c>
      <c r="C387" s="5" t="str">
        <f>IF($L387&lt;&gt;"",INDEX(Сборка!$S$2:$S$501,MATCH($L387,Сборка!$P$2:$P$501,0)),IF(ISNUMBER($K387),INDEX(Сборка!$D$2:$D$501,$K387)&amp;IF(INDEX(Сборка!$I$2:$I$501,$K387)&lt;&gt;""," — "&amp;INDEX(Сборка!$I$2:$I$501,$K387),""),""))</f>
        <v/>
      </c>
      <c r="D387" t="str">
        <f>IF(ISNUMBER($K387),INDEX(Сборка!$E$2:$E$501,$K387),"")</f>
        <v/>
      </c>
      <c r="E387" t="str">
        <f>IF(ISNUMBER($K387),INDEX(Сборка!$G$2:$G$501,$K387),"")</f>
        <v/>
      </c>
      <c r="F387" s="6" t="str">
        <f>IF(ISNUMBER($K387),INDEX(Сборка!$J$2:$J$501,$K387),"")</f>
        <v/>
      </c>
      <c r="G387" s="6" t="str">
        <f>IF(ISNUMBER($K387),INDEX(Сборка!$K$2:$K$501,$K387),"")</f>
        <v/>
      </c>
      <c r="H387" s="6" t="str">
        <f t="shared" si="20"/>
        <v/>
      </c>
      <c r="I387" s="6" t="str">
        <f t="shared" si="21"/>
        <v/>
      </c>
      <c r="J387" s="6" t="str">
        <f t="shared" si="22"/>
        <v/>
      </c>
      <c r="K387" t="str">
        <f>IFERROR(MATCH(367,Сборка!$R$2:$R$501,0),"")</f>
        <v/>
      </c>
      <c r="L387" t="str">
        <f>IFERROR(IF(INDEX(Сборка!$Q$2:$Q$501,MATCH(367+1,Сборка!$R$2:$R$501,0))=1,INDEX(Сборка!$P$2:$P$501,MATCH(367+1,Сборка!$R$2:$R$501,0)),""),"")</f>
        <v/>
      </c>
      <c r="M387" t="str">
        <f t="shared" si="23"/>
        <v/>
      </c>
    </row>
    <row r="388" spans="1:13" hidden="1" x14ac:dyDescent="0.3">
      <c r="A388" t="str">
        <f>IF(ISNUMBER($K388),INDEX(Сборка!$O$2:$O$501,$K388),"")</f>
        <v/>
      </c>
      <c r="B388" t="str">
        <f>IF(ISNUMBER($K388),INDEX(Сборка!$C$2:$C$501,$K388),"")</f>
        <v/>
      </c>
      <c r="C388" s="5" t="str">
        <f>IF($L388&lt;&gt;"",INDEX(Сборка!$S$2:$S$501,MATCH($L388,Сборка!$P$2:$P$501,0)),IF(ISNUMBER($K388),INDEX(Сборка!$D$2:$D$501,$K388)&amp;IF(INDEX(Сборка!$I$2:$I$501,$K388)&lt;&gt;""," — "&amp;INDEX(Сборка!$I$2:$I$501,$K388),""),""))</f>
        <v/>
      </c>
      <c r="D388" t="str">
        <f>IF(ISNUMBER($K388),INDEX(Сборка!$E$2:$E$501,$K388),"")</f>
        <v/>
      </c>
      <c r="E388" t="str">
        <f>IF(ISNUMBER($K388),INDEX(Сборка!$G$2:$G$501,$K388),"")</f>
        <v/>
      </c>
      <c r="F388" s="6" t="str">
        <f>IF(ISNUMBER($K388),INDEX(Сборка!$J$2:$J$501,$K388),"")</f>
        <v/>
      </c>
      <c r="G388" s="6" t="str">
        <f>IF(ISNUMBER($K388),INDEX(Сборка!$K$2:$K$501,$K388),"")</f>
        <v/>
      </c>
      <c r="H388" s="6" t="str">
        <f t="shared" si="20"/>
        <v/>
      </c>
      <c r="I388" s="6" t="str">
        <f t="shared" si="21"/>
        <v/>
      </c>
      <c r="J388" s="6" t="str">
        <f t="shared" si="22"/>
        <v/>
      </c>
      <c r="K388" t="str">
        <f>IFERROR(MATCH(368,Сборка!$R$2:$R$501,0),"")</f>
        <v/>
      </c>
      <c r="L388" t="str">
        <f>IFERROR(IF(INDEX(Сборка!$Q$2:$Q$501,MATCH(368+1,Сборка!$R$2:$R$501,0))=1,INDEX(Сборка!$P$2:$P$501,MATCH(368+1,Сборка!$R$2:$R$501,0)),""),"")</f>
        <v/>
      </c>
      <c r="M388" t="str">
        <f t="shared" si="23"/>
        <v/>
      </c>
    </row>
    <row r="389" spans="1:13" hidden="1" x14ac:dyDescent="0.3">
      <c r="A389" t="str">
        <f>IF(ISNUMBER($K389),INDEX(Сборка!$O$2:$O$501,$K389),"")</f>
        <v/>
      </c>
      <c r="B389" t="str">
        <f>IF(ISNUMBER($K389),INDEX(Сборка!$C$2:$C$501,$K389),"")</f>
        <v/>
      </c>
      <c r="C389" s="5" t="str">
        <f>IF($L389&lt;&gt;"",INDEX(Сборка!$S$2:$S$501,MATCH($L389,Сборка!$P$2:$P$501,0)),IF(ISNUMBER($K389),INDEX(Сборка!$D$2:$D$501,$K389)&amp;IF(INDEX(Сборка!$I$2:$I$501,$K389)&lt;&gt;""," — "&amp;INDEX(Сборка!$I$2:$I$501,$K389),""),""))</f>
        <v/>
      </c>
      <c r="D389" t="str">
        <f>IF(ISNUMBER($K389),INDEX(Сборка!$E$2:$E$501,$K389),"")</f>
        <v/>
      </c>
      <c r="E389" t="str">
        <f>IF(ISNUMBER($K389),INDEX(Сборка!$G$2:$G$501,$K389),"")</f>
        <v/>
      </c>
      <c r="F389" s="6" t="str">
        <f>IF(ISNUMBER($K389),INDEX(Сборка!$J$2:$J$501,$K389),"")</f>
        <v/>
      </c>
      <c r="G389" s="6" t="str">
        <f>IF(ISNUMBER($K389),INDEX(Сборка!$K$2:$K$501,$K389),"")</f>
        <v/>
      </c>
      <c r="H389" s="6" t="str">
        <f t="shared" si="20"/>
        <v/>
      </c>
      <c r="I389" s="6" t="str">
        <f t="shared" si="21"/>
        <v/>
      </c>
      <c r="J389" s="6" t="str">
        <f t="shared" si="22"/>
        <v/>
      </c>
      <c r="K389" t="str">
        <f>IFERROR(MATCH(369,Сборка!$R$2:$R$501,0),"")</f>
        <v/>
      </c>
      <c r="L389" t="str">
        <f>IFERROR(IF(INDEX(Сборка!$Q$2:$Q$501,MATCH(369+1,Сборка!$R$2:$R$501,0))=1,INDEX(Сборка!$P$2:$P$501,MATCH(369+1,Сборка!$R$2:$R$501,0)),""),"")</f>
        <v/>
      </c>
      <c r="M389" t="str">
        <f t="shared" si="23"/>
        <v/>
      </c>
    </row>
    <row r="390" spans="1:13" hidden="1" x14ac:dyDescent="0.3">
      <c r="A390" t="str">
        <f>IF(ISNUMBER($K390),INDEX(Сборка!$O$2:$O$501,$K390),"")</f>
        <v/>
      </c>
      <c r="B390" t="str">
        <f>IF(ISNUMBER($K390),INDEX(Сборка!$C$2:$C$501,$K390),"")</f>
        <v/>
      </c>
      <c r="C390" s="5" t="str">
        <f>IF($L390&lt;&gt;"",INDEX(Сборка!$S$2:$S$501,MATCH($L390,Сборка!$P$2:$P$501,0)),IF(ISNUMBER($K390),INDEX(Сборка!$D$2:$D$501,$K390)&amp;IF(INDEX(Сборка!$I$2:$I$501,$K390)&lt;&gt;""," — "&amp;INDEX(Сборка!$I$2:$I$501,$K390),""),""))</f>
        <v/>
      </c>
      <c r="D390" t="str">
        <f>IF(ISNUMBER($K390),INDEX(Сборка!$E$2:$E$501,$K390),"")</f>
        <v/>
      </c>
      <c r="E390" t="str">
        <f>IF(ISNUMBER($K390),INDEX(Сборка!$G$2:$G$501,$K390),"")</f>
        <v/>
      </c>
      <c r="F390" s="6" t="str">
        <f>IF(ISNUMBER($K390),INDEX(Сборка!$J$2:$J$501,$K390),"")</f>
        <v/>
      </c>
      <c r="G390" s="6" t="str">
        <f>IF(ISNUMBER($K390),INDEX(Сборка!$K$2:$K$501,$K390),"")</f>
        <v/>
      </c>
      <c r="H390" s="6" t="str">
        <f t="shared" si="20"/>
        <v/>
      </c>
      <c r="I390" s="6" t="str">
        <f t="shared" si="21"/>
        <v/>
      </c>
      <c r="J390" s="6" t="str">
        <f t="shared" si="22"/>
        <v/>
      </c>
      <c r="K390" t="str">
        <f>IFERROR(MATCH(370,Сборка!$R$2:$R$501,0),"")</f>
        <v/>
      </c>
      <c r="L390" t="str">
        <f>IFERROR(IF(INDEX(Сборка!$Q$2:$Q$501,MATCH(370+1,Сборка!$R$2:$R$501,0))=1,INDEX(Сборка!$P$2:$P$501,MATCH(370+1,Сборка!$R$2:$R$501,0)),""),"")</f>
        <v/>
      </c>
      <c r="M390" t="str">
        <f t="shared" si="23"/>
        <v/>
      </c>
    </row>
    <row r="391" spans="1:13" hidden="1" x14ac:dyDescent="0.3">
      <c r="A391" t="str">
        <f>IF(ISNUMBER($K391),INDEX(Сборка!$O$2:$O$501,$K391),"")</f>
        <v/>
      </c>
      <c r="B391" t="str">
        <f>IF(ISNUMBER($K391),INDEX(Сборка!$C$2:$C$501,$K391),"")</f>
        <v/>
      </c>
      <c r="C391" s="5" t="str">
        <f>IF($L391&lt;&gt;"",INDEX(Сборка!$S$2:$S$501,MATCH($L391,Сборка!$P$2:$P$501,0)),IF(ISNUMBER($K391),INDEX(Сборка!$D$2:$D$501,$K391)&amp;IF(INDEX(Сборка!$I$2:$I$501,$K391)&lt;&gt;""," — "&amp;INDEX(Сборка!$I$2:$I$501,$K391),""),""))</f>
        <v/>
      </c>
      <c r="D391" t="str">
        <f>IF(ISNUMBER($K391),INDEX(Сборка!$E$2:$E$501,$K391),"")</f>
        <v/>
      </c>
      <c r="E391" t="str">
        <f>IF(ISNUMBER($K391),INDEX(Сборка!$G$2:$G$501,$K391),"")</f>
        <v/>
      </c>
      <c r="F391" s="6" t="str">
        <f>IF(ISNUMBER($K391),INDEX(Сборка!$J$2:$J$501,$K391),"")</f>
        <v/>
      </c>
      <c r="G391" s="6" t="str">
        <f>IF(ISNUMBER($K391),INDEX(Сборка!$K$2:$K$501,$K391),"")</f>
        <v/>
      </c>
      <c r="H391" s="6" t="str">
        <f t="shared" si="20"/>
        <v/>
      </c>
      <c r="I391" s="6" t="str">
        <f t="shared" si="21"/>
        <v/>
      </c>
      <c r="J391" s="6" t="str">
        <f t="shared" si="22"/>
        <v/>
      </c>
      <c r="K391" t="str">
        <f>IFERROR(MATCH(371,Сборка!$R$2:$R$501,0),"")</f>
        <v/>
      </c>
      <c r="L391" t="str">
        <f>IFERROR(IF(INDEX(Сборка!$Q$2:$Q$501,MATCH(371+1,Сборка!$R$2:$R$501,0))=1,INDEX(Сборка!$P$2:$P$501,MATCH(371+1,Сборка!$R$2:$R$501,0)),""),"")</f>
        <v/>
      </c>
      <c r="M391" t="str">
        <f t="shared" si="23"/>
        <v/>
      </c>
    </row>
    <row r="392" spans="1:13" hidden="1" x14ac:dyDescent="0.3">
      <c r="A392" t="str">
        <f>IF(ISNUMBER($K392),INDEX(Сборка!$O$2:$O$501,$K392),"")</f>
        <v/>
      </c>
      <c r="B392" t="str">
        <f>IF(ISNUMBER($K392),INDEX(Сборка!$C$2:$C$501,$K392),"")</f>
        <v/>
      </c>
      <c r="C392" s="5" t="str">
        <f>IF($L392&lt;&gt;"",INDEX(Сборка!$S$2:$S$501,MATCH($L392,Сборка!$P$2:$P$501,0)),IF(ISNUMBER($K392),INDEX(Сборка!$D$2:$D$501,$K392)&amp;IF(INDEX(Сборка!$I$2:$I$501,$K392)&lt;&gt;""," — "&amp;INDEX(Сборка!$I$2:$I$501,$K392),""),""))</f>
        <v/>
      </c>
      <c r="D392" t="str">
        <f>IF(ISNUMBER($K392),INDEX(Сборка!$E$2:$E$501,$K392),"")</f>
        <v/>
      </c>
      <c r="E392" t="str">
        <f>IF(ISNUMBER($K392),INDEX(Сборка!$G$2:$G$501,$K392),"")</f>
        <v/>
      </c>
      <c r="F392" s="6" t="str">
        <f>IF(ISNUMBER($K392),INDEX(Сборка!$J$2:$J$501,$K392),"")</f>
        <v/>
      </c>
      <c r="G392" s="6" t="str">
        <f>IF(ISNUMBER($K392),INDEX(Сборка!$K$2:$K$501,$K392),"")</f>
        <v/>
      </c>
      <c r="H392" s="6" t="str">
        <f t="shared" si="20"/>
        <v/>
      </c>
      <c r="I392" s="6" t="str">
        <f t="shared" si="21"/>
        <v/>
      </c>
      <c r="J392" s="6" t="str">
        <f t="shared" si="22"/>
        <v/>
      </c>
      <c r="K392" t="str">
        <f>IFERROR(MATCH(372,Сборка!$R$2:$R$501,0),"")</f>
        <v/>
      </c>
      <c r="L392" t="str">
        <f>IFERROR(IF(INDEX(Сборка!$Q$2:$Q$501,MATCH(372+1,Сборка!$R$2:$R$501,0))=1,INDEX(Сборка!$P$2:$P$501,MATCH(372+1,Сборка!$R$2:$R$501,0)),""),"")</f>
        <v/>
      </c>
      <c r="M392" t="str">
        <f t="shared" si="23"/>
        <v/>
      </c>
    </row>
    <row r="393" spans="1:13" hidden="1" x14ac:dyDescent="0.3">
      <c r="A393" t="str">
        <f>IF(ISNUMBER($K393),INDEX(Сборка!$O$2:$O$501,$K393),"")</f>
        <v/>
      </c>
      <c r="B393" t="str">
        <f>IF(ISNUMBER($K393),INDEX(Сборка!$C$2:$C$501,$K393),"")</f>
        <v/>
      </c>
      <c r="C393" s="5" t="str">
        <f>IF($L393&lt;&gt;"",INDEX(Сборка!$S$2:$S$501,MATCH($L393,Сборка!$P$2:$P$501,0)),IF(ISNUMBER($K393),INDEX(Сборка!$D$2:$D$501,$K393)&amp;IF(INDEX(Сборка!$I$2:$I$501,$K393)&lt;&gt;""," — "&amp;INDEX(Сборка!$I$2:$I$501,$K393),""),""))</f>
        <v/>
      </c>
      <c r="D393" t="str">
        <f>IF(ISNUMBER($K393),INDEX(Сборка!$E$2:$E$501,$K393),"")</f>
        <v/>
      </c>
      <c r="E393" t="str">
        <f>IF(ISNUMBER($K393),INDEX(Сборка!$G$2:$G$501,$K393),"")</f>
        <v/>
      </c>
      <c r="F393" s="6" t="str">
        <f>IF(ISNUMBER($K393),INDEX(Сборка!$J$2:$J$501,$K393),"")</f>
        <v/>
      </c>
      <c r="G393" s="6" t="str">
        <f>IF(ISNUMBER($K393),INDEX(Сборка!$K$2:$K$501,$K393),"")</f>
        <v/>
      </c>
      <c r="H393" s="6" t="str">
        <f t="shared" si="20"/>
        <v/>
      </c>
      <c r="I393" s="6" t="str">
        <f t="shared" si="21"/>
        <v/>
      </c>
      <c r="J393" s="6" t="str">
        <f t="shared" si="22"/>
        <v/>
      </c>
      <c r="K393" t="str">
        <f>IFERROR(MATCH(373,Сборка!$R$2:$R$501,0),"")</f>
        <v/>
      </c>
      <c r="L393" t="str">
        <f>IFERROR(IF(INDEX(Сборка!$Q$2:$Q$501,MATCH(373+1,Сборка!$R$2:$R$501,0))=1,INDEX(Сборка!$P$2:$P$501,MATCH(373+1,Сборка!$R$2:$R$501,0)),""),"")</f>
        <v/>
      </c>
      <c r="M393" t="str">
        <f t="shared" si="23"/>
        <v/>
      </c>
    </row>
    <row r="394" spans="1:13" hidden="1" x14ac:dyDescent="0.3">
      <c r="A394" t="str">
        <f>IF(ISNUMBER($K394),INDEX(Сборка!$O$2:$O$501,$K394),"")</f>
        <v/>
      </c>
      <c r="B394" t="str">
        <f>IF(ISNUMBER($K394),INDEX(Сборка!$C$2:$C$501,$K394),"")</f>
        <v/>
      </c>
      <c r="C394" s="5" t="str">
        <f>IF($L394&lt;&gt;"",INDEX(Сборка!$S$2:$S$501,MATCH($L394,Сборка!$P$2:$P$501,0)),IF(ISNUMBER($K394),INDEX(Сборка!$D$2:$D$501,$K394)&amp;IF(INDEX(Сборка!$I$2:$I$501,$K394)&lt;&gt;""," — "&amp;INDEX(Сборка!$I$2:$I$501,$K394),""),""))</f>
        <v/>
      </c>
      <c r="D394" t="str">
        <f>IF(ISNUMBER($K394),INDEX(Сборка!$E$2:$E$501,$K394),"")</f>
        <v/>
      </c>
      <c r="E394" t="str">
        <f>IF(ISNUMBER($K394),INDEX(Сборка!$G$2:$G$501,$K394),"")</f>
        <v/>
      </c>
      <c r="F394" s="6" t="str">
        <f>IF(ISNUMBER($K394),INDEX(Сборка!$J$2:$J$501,$K394),"")</f>
        <v/>
      </c>
      <c r="G394" s="6" t="str">
        <f>IF(ISNUMBER($K394),INDEX(Сборка!$K$2:$K$501,$K394),"")</f>
        <v/>
      </c>
      <c r="H394" s="6" t="str">
        <f t="shared" si="20"/>
        <v/>
      </c>
      <c r="I394" s="6" t="str">
        <f t="shared" si="21"/>
        <v/>
      </c>
      <c r="J394" s="6" t="str">
        <f t="shared" si="22"/>
        <v/>
      </c>
      <c r="K394" t="str">
        <f>IFERROR(MATCH(374,Сборка!$R$2:$R$501,0),"")</f>
        <v/>
      </c>
      <c r="L394" t="str">
        <f>IFERROR(IF(INDEX(Сборка!$Q$2:$Q$501,MATCH(374+1,Сборка!$R$2:$R$501,0))=1,INDEX(Сборка!$P$2:$P$501,MATCH(374+1,Сборка!$R$2:$R$501,0)),""),"")</f>
        <v/>
      </c>
      <c r="M394" t="str">
        <f t="shared" si="23"/>
        <v/>
      </c>
    </row>
    <row r="395" spans="1:13" hidden="1" x14ac:dyDescent="0.3">
      <c r="A395" t="str">
        <f>IF(ISNUMBER($K395),INDEX(Сборка!$O$2:$O$501,$K395),"")</f>
        <v/>
      </c>
      <c r="B395" t="str">
        <f>IF(ISNUMBER($K395),INDEX(Сборка!$C$2:$C$501,$K395),"")</f>
        <v/>
      </c>
      <c r="C395" s="5" t="str">
        <f>IF($L395&lt;&gt;"",INDEX(Сборка!$S$2:$S$501,MATCH($L395,Сборка!$P$2:$P$501,0)),IF(ISNUMBER($K395),INDEX(Сборка!$D$2:$D$501,$K395)&amp;IF(INDEX(Сборка!$I$2:$I$501,$K395)&lt;&gt;""," — "&amp;INDEX(Сборка!$I$2:$I$501,$K395),""),""))</f>
        <v/>
      </c>
      <c r="D395" t="str">
        <f>IF(ISNUMBER($K395),INDEX(Сборка!$E$2:$E$501,$K395),"")</f>
        <v/>
      </c>
      <c r="E395" t="str">
        <f>IF(ISNUMBER($K395),INDEX(Сборка!$G$2:$G$501,$K395),"")</f>
        <v/>
      </c>
      <c r="F395" s="6" t="str">
        <f>IF(ISNUMBER($K395),INDEX(Сборка!$J$2:$J$501,$K395),"")</f>
        <v/>
      </c>
      <c r="G395" s="6" t="str">
        <f>IF(ISNUMBER($K395),INDEX(Сборка!$K$2:$K$501,$K395),"")</f>
        <v/>
      </c>
      <c r="H395" s="6" t="str">
        <f t="shared" si="20"/>
        <v/>
      </c>
      <c r="I395" s="6" t="str">
        <f t="shared" si="21"/>
        <v/>
      </c>
      <c r="J395" s="6" t="str">
        <f t="shared" si="22"/>
        <v/>
      </c>
      <c r="K395" t="str">
        <f>IFERROR(MATCH(375,Сборка!$R$2:$R$501,0),"")</f>
        <v/>
      </c>
      <c r="L395" t="str">
        <f>IFERROR(IF(INDEX(Сборка!$Q$2:$Q$501,MATCH(375+1,Сборка!$R$2:$R$501,0))=1,INDEX(Сборка!$P$2:$P$501,MATCH(375+1,Сборка!$R$2:$R$501,0)),""),"")</f>
        <v/>
      </c>
      <c r="M395" t="str">
        <f t="shared" si="23"/>
        <v/>
      </c>
    </row>
    <row r="396" spans="1:13" hidden="1" x14ac:dyDescent="0.3">
      <c r="A396" t="str">
        <f>IF(ISNUMBER($K396),INDEX(Сборка!$O$2:$O$501,$K396),"")</f>
        <v/>
      </c>
      <c r="B396" t="str">
        <f>IF(ISNUMBER($K396),INDEX(Сборка!$C$2:$C$501,$K396),"")</f>
        <v/>
      </c>
      <c r="C396" s="5" t="str">
        <f>IF($L396&lt;&gt;"",INDEX(Сборка!$S$2:$S$501,MATCH($L396,Сборка!$P$2:$P$501,0)),IF(ISNUMBER($K396),INDEX(Сборка!$D$2:$D$501,$K396)&amp;IF(INDEX(Сборка!$I$2:$I$501,$K396)&lt;&gt;""," — "&amp;INDEX(Сборка!$I$2:$I$501,$K396),""),""))</f>
        <v/>
      </c>
      <c r="D396" t="str">
        <f>IF(ISNUMBER($K396),INDEX(Сборка!$E$2:$E$501,$K396),"")</f>
        <v/>
      </c>
      <c r="E396" t="str">
        <f>IF(ISNUMBER($K396),INDEX(Сборка!$G$2:$G$501,$K396),"")</f>
        <v/>
      </c>
      <c r="F396" s="6" t="str">
        <f>IF(ISNUMBER($K396),INDEX(Сборка!$J$2:$J$501,$K396),"")</f>
        <v/>
      </c>
      <c r="G396" s="6" t="str">
        <f>IF(ISNUMBER($K396),INDEX(Сборка!$K$2:$K$501,$K396),"")</f>
        <v/>
      </c>
      <c r="H396" s="6" t="str">
        <f t="shared" si="20"/>
        <v/>
      </c>
      <c r="I396" s="6" t="str">
        <f t="shared" si="21"/>
        <v/>
      </c>
      <c r="J396" s="6" t="str">
        <f t="shared" si="22"/>
        <v/>
      </c>
      <c r="K396" t="str">
        <f>IFERROR(MATCH(376,Сборка!$R$2:$R$501,0),"")</f>
        <v/>
      </c>
      <c r="L396" t="str">
        <f>IFERROR(IF(INDEX(Сборка!$Q$2:$Q$501,MATCH(376+1,Сборка!$R$2:$R$501,0))=1,INDEX(Сборка!$P$2:$P$501,MATCH(376+1,Сборка!$R$2:$R$501,0)),""),"")</f>
        <v/>
      </c>
      <c r="M396" t="str">
        <f t="shared" si="23"/>
        <v/>
      </c>
    </row>
    <row r="397" spans="1:13" hidden="1" x14ac:dyDescent="0.3">
      <c r="A397" t="str">
        <f>IF(ISNUMBER($K397),INDEX(Сборка!$O$2:$O$501,$K397),"")</f>
        <v/>
      </c>
      <c r="B397" t="str">
        <f>IF(ISNUMBER($K397),INDEX(Сборка!$C$2:$C$501,$K397),"")</f>
        <v/>
      </c>
      <c r="C397" s="5" t="str">
        <f>IF($L397&lt;&gt;"",INDEX(Сборка!$S$2:$S$501,MATCH($L397,Сборка!$P$2:$P$501,0)),IF(ISNUMBER($K397),INDEX(Сборка!$D$2:$D$501,$K397)&amp;IF(INDEX(Сборка!$I$2:$I$501,$K397)&lt;&gt;""," — "&amp;INDEX(Сборка!$I$2:$I$501,$K397),""),""))</f>
        <v/>
      </c>
      <c r="D397" t="str">
        <f>IF(ISNUMBER($K397),INDEX(Сборка!$E$2:$E$501,$K397),"")</f>
        <v/>
      </c>
      <c r="E397" t="str">
        <f>IF(ISNUMBER($K397),INDEX(Сборка!$G$2:$G$501,$K397),"")</f>
        <v/>
      </c>
      <c r="F397" s="6" t="str">
        <f>IF(ISNUMBER($K397),INDEX(Сборка!$J$2:$J$501,$K397),"")</f>
        <v/>
      </c>
      <c r="G397" s="6" t="str">
        <f>IF(ISNUMBER($K397),INDEX(Сборка!$K$2:$K$501,$K397),"")</f>
        <v/>
      </c>
      <c r="H397" s="6" t="str">
        <f t="shared" si="20"/>
        <v/>
      </c>
      <c r="I397" s="6" t="str">
        <f t="shared" si="21"/>
        <v/>
      </c>
      <c r="J397" s="6" t="str">
        <f t="shared" si="22"/>
        <v/>
      </c>
      <c r="K397" t="str">
        <f>IFERROR(MATCH(377,Сборка!$R$2:$R$501,0),"")</f>
        <v/>
      </c>
      <c r="L397" t="str">
        <f>IFERROR(IF(INDEX(Сборка!$Q$2:$Q$501,MATCH(377+1,Сборка!$R$2:$R$501,0))=1,INDEX(Сборка!$P$2:$P$501,MATCH(377+1,Сборка!$R$2:$R$501,0)),""),"")</f>
        <v/>
      </c>
      <c r="M397" t="str">
        <f t="shared" si="23"/>
        <v/>
      </c>
    </row>
    <row r="398" spans="1:13" hidden="1" x14ac:dyDescent="0.3">
      <c r="A398" t="str">
        <f>IF(ISNUMBER($K398),INDEX(Сборка!$O$2:$O$501,$K398),"")</f>
        <v/>
      </c>
      <c r="B398" t="str">
        <f>IF(ISNUMBER($K398),INDEX(Сборка!$C$2:$C$501,$K398),"")</f>
        <v/>
      </c>
      <c r="C398" s="5" t="str">
        <f>IF($L398&lt;&gt;"",INDEX(Сборка!$S$2:$S$501,MATCH($L398,Сборка!$P$2:$P$501,0)),IF(ISNUMBER($K398),INDEX(Сборка!$D$2:$D$501,$K398)&amp;IF(INDEX(Сборка!$I$2:$I$501,$K398)&lt;&gt;""," — "&amp;INDEX(Сборка!$I$2:$I$501,$K398),""),""))</f>
        <v/>
      </c>
      <c r="D398" t="str">
        <f>IF(ISNUMBER($K398),INDEX(Сборка!$E$2:$E$501,$K398),"")</f>
        <v/>
      </c>
      <c r="E398" t="str">
        <f>IF(ISNUMBER($K398),INDEX(Сборка!$G$2:$G$501,$K398),"")</f>
        <v/>
      </c>
      <c r="F398" s="6" t="str">
        <f>IF(ISNUMBER($K398),INDEX(Сборка!$J$2:$J$501,$K398),"")</f>
        <v/>
      </c>
      <c r="G398" s="6" t="str">
        <f>IF(ISNUMBER($K398),INDEX(Сборка!$K$2:$K$501,$K398),"")</f>
        <v/>
      </c>
      <c r="H398" s="6" t="str">
        <f t="shared" si="20"/>
        <v/>
      </c>
      <c r="I398" s="6" t="str">
        <f t="shared" si="21"/>
        <v/>
      </c>
      <c r="J398" s="6" t="str">
        <f t="shared" si="22"/>
        <v/>
      </c>
      <c r="K398" t="str">
        <f>IFERROR(MATCH(378,Сборка!$R$2:$R$501,0),"")</f>
        <v/>
      </c>
      <c r="L398" t="str">
        <f>IFERROR(IF(INDEX(Сборка!$Q$2:$Q$501,MATCH(378+1,Сборка!$R$2:$R$501,0))=1,INDEX(Сборка!$P$2:$P$501,MATCH(378+1,Сборка!$R$2:$R$501,0)),""),"")</f>
        <v/>
      </c>
      <c r="M398" t="str">
        <f t="shared" si="23"/>
        <v/>
      </c>
    </row>
    <row r="399" spans="1:13" hidden="1" x14ac:dyDescent="0.3">
      <c r="A399" t="str">
        <f>IF(ISNUMBER($K399),INDEX(Сборка!$O$2:$O$501,$K399),"")</f>
        <v/>
      </c>
      <c r="B399" t="str">
        <f>IF(ISNUMBER($K399),INDEX(Сборка!$C$2:$C$501,$K399),"")</f>
        <v/>
      </c>
      <c r="C399" s="5" t="str">
        <f>IF($L399&lt;&gt;"",INDEX(Сборка!$S$2:$S$501,MATCH($L399,Сборка!$P$2:$P$501,0)),IF(ISNUMBER($K399),INDEX(Сборка!$D$2:$D$501,$K399)&amp;IF(INDEX(Сборка!$I$2:$I$501,$K399)&lt;&gt;""," — "&amp;INDEX(Сборка!$I$2:$I$501,$K399),""),""))</f>
        <v/>
      </c>
      <c r="D399" t="str">
        <f>IF(ISNUMBER($K399),INDEX(Сборка!$E$2:$E$501,$K399),"")</f>
        <v/>
      </c>
      <c r="E399" t="str">
        <f>IF(ISNUMBER($K399),INDEX(Сборка!$G$2:$G$501,$K399),"")</f>
        <v/>
      </c>
      <c r="F399" s="6" t="str">
        <f>IF(ISNUMBER($K399),INDEX(Сборка!$J$2:$J$501,$K399),"")</f>
        <v/>
      </c>
      <c r="G399" s="6" t="str">
        <f>IF(ISNUMBER($K399),INDEX(Сборка!$K$2:$K$501,$K399),"")</f>
        <v/>
      </c>
      <c r="H399" s="6" t="str">
        <f t="shared" si="20"/>
        <v/>
      </c>
      <c r="I399" s="6" t="str">
        <f t="shared" si="21"/>
        <v/>
      </c>
      <c r="J399" s="6" t="str">
        <f t="shared" si="22"/>
        <v/>
      </c>
      <c r="K399" t="str">
        <f>IFERROR(MATCH(379,Сборка!$R$2:$R$501,0),"")</f>
        <v/>
      </c>
      <c r="L399" t="str">
        <f>IFERROR(IF(INDEX(Сборка!$Q$2:$Q$501,MATCH(379+1,Сборка!$R$2:$R$501,0))=1,INDEX(Сборка!$P$2:$P$501,MATCH(379+1,Сборка!$R$2:$R$501,0)),""),"")</f>
        <v/>
      </c>
      <c r="M399" t="str">
        <f t="shared" si="23"/>
        <v/>
      </c>
    </row>
    <row r="400" spans="1:13" hidden="1" x14ac:dyDescent="0.3">
      <c r="A400" t="str">
        <f>IF(ISNUMBER($K400),INDEX(Сборка!$O$2:$O$501,$K400),"")</f>
        <v/>
      </c>
      <c r="B400" t="str">
        <f>IF(ISNUMBER($K400),INDEX(Сборка!$C$2:$C$501,$K400),"")</f>
        <v/>
      </c>
      <c r="C400" s="5" t="str">
        <f>IF($L400&lt;&gt;"",INDEX(Сборка!$S$2:$S$501,MATCH($L400,Сборка!$P$2:$P$501,0)),IF(ISNUMBER($K400),INDEX(Сборка!$D$2:$D$501,$K400)&amp;IF(INDEX(Сборка!$I$2:$I$501,$K400)&lt;&gt;""," — "&amp;INDEX(Сборка!$I$2:$I$501,$K400),""),""))</f>
        <v/>
      </c>
      <c r="D400" t="str">
        <f>IF(ISNUMBER($K400),INDEX(Сборка!$E$2:$E$501,$K400),"")</f>
        <v/>
      </c>
      <c r="E400" t="str">
        <f>IF(ISNUMBER($K400),INDEX(Сборка!$G$2:$G$501,$K400),"")</f>
        <v/>
      </c>
      <c r="F400" s="6" t="str">
        <f>IF(ISNUMBER($K400),INDEX(Сборка!$J$2:$J$501,$K400),"")</f>
        <v/>
      </c>
      <c r="G400" s="6" t="str">
        <f>IF(ISNUMBER($K400),INDEX(Сборка!$K$2:$K$501,$K400),"")</f>
        <v/>
      </c>
      <c r="H400" s="6" t="str">
        <f t="shared" si="20"/>
        <v/>
      </c>
      <c r="I400" s="6" t="str">
        <f t="shared" si="21"/>
        <v/>
      </c>
      <c r="J400" s="6" t="str">
        <f t="shared" si="22"/>
        <v/>
      </c>
      <c r="K400" t="str">
        <f>IFERROR(MATCH(380,Сборка!$R$2:$R$501,0),"")</f>
        <v/>
      </c>
      <c r="L400" t="str">
        <f>IFERROR(IF(INDEX(Сборка!$Q$2:$Q$501,MATCH(380+1,Сборка!$R$2:$R$501,0))=1,INDEX(Сборка!$P$2:$P$501,MATCH(380+1,Сборка!$R$2:$R$501,0)),""),"")</f>
        <v/>
      </c>
      <c r="M400" t="str">
        <f t="shared" si="23"/>
        <v/>
      </c>
    </row>
    <row r="401" spans="1:13" hidden="1" x14ac:dyDescent="0.3">
      <c r="A401" t="str">
        <f>IF(ISNUMBER($K401),INDEX(Сборка!$O$2:$O$501,$K401),"")</f>
        <v/>
      </c>
      <c r="B401" t="str">
        <f>IF(ISNUMBER($K401),INDEX(Сборка!$C$2:$C$501,$K401),"")</f>
        <v/>
      </c>
      <c r="C401" s="5" t="str">
        <f>IF($L401&lt;&gt;"",INDEX(Сборка!$S$2:$S$501,MATCH($L401,Сборка!$P$2:$P$501,0)),IF(ISNUMBER($K401),INDEX(Сборка!$D$2:$D$501,$K401)&amp;IF(INDEX(Сборка!$I$2:$I$501,$K401)&lt;&gt;""," — "&amp;INDEX(Сборка!$I$2:$I$501,$K401),""),""))</f>
        <v/>
      </c>
      <c r="D401" t="str">
        <f>IF(ISNUMBER($K401),INDEX(Сборка!$E$2:$E$501,$K401),"")</f>
        <v/>
      </c>
      <c r="E401" t="str">
        <f>IF(ISNUMBER($K401),INDEX(Сборка!$G$2:$G$501,$K401),"")</f>
        <v/>
      </c>
      <c r="F401" s="6" t="str">
        <f>IF(ISNUMBER($K401),INDEX(Сборка!$J$2:$J$501,$K401),"")</f>
        <v/>
      </c>
      <c r="G401" s="6" t="str">
        <f>IF(ISNUMBER($K401),INDEX(Сборка!$K$2:$K$501,$K401),"")</f>
        <v/>
      </c>
      <c r="H401" s="6" t="str">
        <f t="shared" si="20"/>
        <v/>
      </c>
      <c r="I401" s="6" t="str">
        <f t="shared" si="21"/>
        <v/>
      </c>
      <c r="J401" s="6" t="str">
        <f t="shared" si="22"/>
        <v/>
      </c>
      <c r="K401" t="str">
        <f>IFERROR(MATCH(381,Сборка!$R$2:$R$501,0),"")</f>
        <v/>
      </c>
      <c r="L401" t="str">
        <f>IFERROR(IF(INDEX(Сборка!$Q$2:$Q$501,MATCH(381+1,Сборка!$R$2:$R$501,0))=1,INDEX(Сборка!$P$2:$P$501,MATCH(381+1,Сборка!$R$2:$R$501,0)),""),"")</f>
        <v/>
      </c>
      <c r="M401" t="str">
        <f t="shared" si="23"/>
        <v/>
      </c>
    </row>
    <row r="402" spans="1:13" hidden="1" x14ac:dyDescent="0.3">
      <c r="A402" t="str">
        <f>IF(ISNUMBER($K402),INDEX(Сборка!$O$2:$O$501,$K402),"")</f>
        <v/>
      </c>
      <c r="B402" t="str">
        <f>IF(ISNUMBER($K402),INDEX(Сборка!$C$2:$C$501,$K402),"")</f>
        <v/>
      </c>
      <c r="C402" s="5" t="str">
        <f>IF($L402&lt;&gt;"",INDEX(Сборка!$S$2:$S$501,MATCH($L402,Сборка!$P$2:$P$501,0)),IF(ISNUMBER($K402),INDEX(Сборка!$D$2:$D$501,$K402)&amp;IF(INDEX(Сборка!$I$2:$I$501,$K402)&lt;&gt;""," — "&amp;INDEX(Сборка!$I$2:$I$501,$K402),""),""))</f>
        <v/>
      </c>
      <c r="D402" t="str">
        <f>IF(ISNUMBER($K402),INDEX(Сборка!$E$2:$E$501,$K402),"")</f>
        <v/>
      </c>
      <c r="E402" t="str">
        <f>IF(ISNUMBER($K402),INDEX(Сборка!$G$2:$G$501,$K402),"")</f>
        <v/>
      </c>
      <c r="F402" s="6" t="str">
        <f>IF(ISNUMBER($K402),INDEX(Сборка!$J$2:$J$501,$K402),"")</f>
        <v/>
      </c>
      <c r="G402" s="6" t="str">
        <f>IF(ISNUMBER($K402),INDEX(Сборка!$K$2:$K$501,$K402),"")</f>
        <v/>
      </c>
      <c r="H402" s="6" t="str">
        <f t="shared" si="20"/>
        <v/>
      </c>
      <c r="I402" s="6" t="str">
        <f t="shared" si="21"/>
        <v/>
      </c>
      <c r="J402" s="6" t="str">
        <f t="shared" si="22"/>
        <v/>
      </c>
      <c r="K402" t="str">
        <f>IFERROR(MATCH(382,Сборка!$R$2:$R$501,0),"")</f>
        <v/>
      </c>
      <c r="L402" t="str">
        <f>IFERROR(IF(INDEX(Сборка!$Q$2:$Q$501,MATCH(382+1,Сборка!$R$2:$R$501,0))=1,INDEX(Сборка!$P$2:$P$501,MATCH(382+1,Сборка!$R$2:$R$501,0)),""),"")</f>
        <v/>
      </c>
      <c r="M402" t="str">
        <f t="shared" si="23"/>
        <v/>
      </c>
    </row>
    <row r="403" spans="1:13" hidden="1" x14ac:dyDescent="0.3">
      <c r="A403" t="str">
        <f>IF(ISNUMBER($K403),INDEX(Сборка!$O$2:$O$501,$K403),"")</f>
        <v/>
      </c>
      <c r="B403" t="str">
        <f>IF(ISNUMBER($K403),INDEX(Сборка!$C$2:$C$501,$K403),"")</f>
        <v/>
      </c>
      <c r="C403" s="5" t="str">
        <f>IF($L403&lt;&gt;"",INDEX(Сборка!$S$2:$S$501,MATCH($L403,Сборка!$P$2:$P$501,0)),IF(ISNUMBER($K403),INDEX(Сборка!$D$2:$D$501,$K403)&amp;IF(INDEX(Сборка!$I$2:$I$501,$K403)&lt;&gt;""," — "&amp;INDEX(Сборка!$I$2:$I$501,$K403),""),""))</f>
        <v/>
      </c>
      <c r="D403" t="str">
        <f>IF(ISNUMBER($K403),INDEX(Сборка!$E$2:$E$501,$K403),"")</f>
        <v/>
      </c>
      <c r="E403" t="str">
        <f>IF(ISNUMBER($K403),INDEX(Сборка!$G$2:$G$501,$K403),"")</f>
        <v/>
      </c>
      <c r="F403" s="6" t="str">
        <f>IF(ISNUMBER($K403),INDEX(Сборка!$J$2:$J$501,$K403),"")</f>
        <v/>
      </c>
      <c r="G403" s="6" t="str">
        <f>IF(ISNUMBER($K403),INDEX(Сборка!$K$2:$K$501,$K403),"")</f>
        <v/>
      </c>
      <c r="H403" s="6" t="str">
        <f t="shared" si="20"/>
        <v/>
      </c>
      <c r="I403" s="6" t="str">
        <f t="shared" si="21"/>
        <v/>
      </c>
      <c r="J403" s="6" t="str">
        <f t="shared" si="22"/>
        <v/>
      </c>
      <c r="K403" t="str">
        <f>IFERROR(MATCH(383,Сборка!$R$2:$R$501,0),"")</f>
        <v/>
      </c>
      <c r="L403" t="str">
        <f>IFERROR(IF(INDEX(Сборка!$Q$2:$Q$501,MATCH(383+1,Сборка!$R$2:$R$501,0))=1,INDEX(Сборка!$P$2:$P$501,MATCH(383+1,Сборка!$R$2:$R$501,0)),""),"")</f>
        <v/>
      </c>
      <c r="M403" t="str">
        <f t="shared" si="23"/>
        <v/>
      </c>
    </row>
    <row r="404" spans="1:13" hidden="1" x14ac:dyDescent="0.3">
      <c r="A404" t="str">
        <f>IF(ISNUMBER($K404),INDEX(Сборка!$O$2:$O$501,$K404),"")</f>
        <v/>
      </c>
      <c r="B404" t="str">
        <f>IF(ISNUMBER($K404),INDEX(Сборка!$C$2:$C$501,$K404),"")</f>
        <v/>
      </c>
      <c r="C404" s="5" t="str">
        <f>IF($L404&lt;&gt;"",INDEX(Сборка!$S$2:$S$501,MATCH($L404,Сборка!$P$2:$P$501,0)),IF(ISNUMBER($K404),INDEX(Сборка!$D$2:$D$501,$K404)&amp;IF(INDEX(Сборка!$I$2:$I$501,$K404)&lt;&gt;""," — "&amp;INDEX(Сборка!$I$2:$I$501,$K404),""),""))</f>
        <v/>
      </c>
      <c r="D404" t="str">
        <f>IF(ISNUMBER($K404),INDEX(Сборка!$E$2:$E$501,$K404),"")</f>
        <v/>
      </c>
      <c r="E404" t="str">
        <f>IF(ISNUMBER($K404),INDEX(Сборка!$G$2:$G$501,$K404),"")</f>
        <v/>
      </c>
      <c r="F404" s="6" t="str">
        <f>IF(ISNUMBER($K404),INDEX(Сборка!$J$2:$J$501,$K404),"")</f>
        <v/>
      </c>
      <c r="G404" s="6" t="str">
        <f>IF(ISNUMBER($K404),INDEX(Сборка!$K$2:$K$501,$K404),"")</f>
        <v/>
      </c>
      <c r="H404" s="6" t="str">
        <f t="shared" si="20"/>
        <v/>
      </c>
      <c r="I404" s="6" t="str">
        <f t="shared" si="21"/>
        <v/>
      </c>
      <c r="J404" s="6" t="str">
        <f t="shared" si="22"/>
        <v/>
      </c>
      <c r="K404" t="str">
        <f>IFERROR(MATCH(384,Сборка!$R$2:$R$501,0),"")</f>
        <v/>
      </c>
      <c r="L404" t="str">
        <f>IFERROR(IF(INDEX(Сборка!$Q$2:$Q$501,MATCH(384+1,Сборка!$R$2:$R$501,0))=1,INDEX(Сборка!$P$2:$P$501,MATCH(384+1,Сборка!$R$2:$R$501,0)),""),"")</f>
        <v/>
      </c>
      <c r="M404" t="str">
        <f t="shared" si="23"/>
        <v/>
      </c>
    </row>
    <row r="405" spans="1:13" hidden="1" x14ac:dyDescent="0.3">
      <c r="A405" t="str">
        <f>IF(ISNUMBER($K405),INDEX(Сборка!$O$2:$O$501,$K405),"")</f>
        <v/>
      </c>
      <c r="B405" t="str">
        <f>IF(ISNUMBER($K405),INDEX(Сборка!$C$2:$C$501,$K405),"")</f>
        <v/>
      </c>
      <c r="C405" s="5" t="str">
        <f>IF($L405&lt;&gt;"",INDEX(Сборка!$S$2:$S$501,MATCH($L405,Сборка!$P$2:$P$501,0)),IF(ISNUMBER($K405),INDEX(Сборка!$D$2:$D$501,$K405)&amp;IF(INDEX(Сборка!$I$2:$I$501,$K405)&lt;&gt;""," — "&amp;INDEX(Сборка!$I$2:$I$501,$K405),""),""))</f>
        <v/>
      </c>
      <c r="D405" t="str">
        <f>IF(ISNUMBER($K405),INDEX(Сборка!$E$2:$E$501,$K405),"")</f>
        <v/>
      </c>
      <c r="E405" t="str">
        <f>IF(ISNUMBER($K405),INDEX(Сборка!$G$2:$G$501,$K405),"")</f>
        <v/>
      </c>
      <c r="F405" s="6" t="str">
        <f>IF(ISNUMBER($K405),INDEX(Сборка!$J$2:$J$501,$K405),"")</f>
        <v/>
      </c>
      <c r="G405" s="6" t="str">
        <f>IF(ISNUMBER($K405),INDEX(Сборка!$K$2:$K$501,$K405),"")</f>
        <v/>
      </c>
      <c r="H405" s="6" t="str">
        <f t="shared" ref="H405:H468" si="24">IF(ISNUMBER($K405),ROUND($E405*$F405,2),"")</f>
        <v/>
      </c>
      <c r="I405" s="6" t="str">
        <f t="shared" ref="I405:I468" si="25">IF(ISNUMBER($K405),ROUND($E405*$G405,2),"")</f>
        <v/>
      </c>
      <c r="J405" s="6" t="str">
        <f t="shared" ref="J405:J468" si="26">IF(ISNUMBER($K405),$H405+$I405,"")</f>
        <v/>
      </c>
      <c r="K405" t="str">
        <f>IFERROR(MATCH(385,Сборка!$R$2:$R$501,0),"")</f>
        <v/>
      </c>
      <c r="L405" t="str">
        <f>IFERROR(IF(INDEX(Сборка!$Q$2:$Q$501,MATCH(385+1,Сборка!$R$2:$R$501,0))=1,INDEX(Сборка!$P$2:$P$501,MATCH(385+1,Сборка!$R$2:$R$501,0)),""),"")</f>
        <v/>
      </c>
      <c r="M405" t="str">
        <f t="shared" ref="M405:M468" si="27">IF(OR(ISNUMBER($K405),$L405&lt;&gt;""),"показать","")</f>
        <v/>
      </c>
    </row>
    <row r="406" spans="1:13" hidden="1" x14ac:dyDescent="0.3">
      <c r="A406" t="str">
        <f>IF(ISNUMBER($K406),INDEX(Сборка!$O$2:$O$501,$K406),"")</f>
        <v/>
      </c>
      <c r="B406" t="str">
        <f>IF(ISNUMBER($K406),INDEX(Сборка!$C$2:$C$501,$K406),"")</f>
        <v/>
      </c>
      <c r="C406" s="5" t="str">
        <f>IF($L406&lt;&gt;"",INDEX(Сборка!$S$2:$S$501,MATCH($L406,Сборка!$P$2:$P$501,0)),IF(ISNUMBER($K406),INDEX(Сборка!$D$2:$D$501,$K406)&amp;IF(INDEX(Сборка!$I$2:$I$501,$K406)&lt;&gt;""," — "&amp;INDEX(Сборка!$I$2:$I$501,$K406),""),""))</f>
        <v/>
      </c>
      <c r="D406" t="str">
        <f>IF(ISNUMBER($K406),INDEX(Сборка!$E$2:$E$501,$K406),"")</f>
        <v/>
      </c>
      <c r="E406" t="str">
        <f>IF(ISNUMBER($K406),INDEX(Сборка!$G$2:$G$501,$K406),"")</f>
        <v/>
      </c>
      <c r="F406" s="6" t="str">
        <f>IF(ISNUMBER($K406),INDEX(Сборка!$J$2:$J$501,$K406),"")</f>
        <v/>
      </c>
      <c r="G406" s="6" t="str">
        <f>IF(ISNUMBER($K406),INDEX(Сборка!$K$2:$K$501,$K406),"")</f>
        <v/>
      </c>
      <c r="H406" s="6" t="str">
        <f t="shared" si="24"/>
        <v/>
      </c>
      <c r="I406" s="6" t="str">
        <f t="shared" si="25"/>
        <v/>
      </c>
      <c r="J406" s="6" t="str">
        <f t="shared" si="26"/>
        <v/>
      </c>
      <c r="K406" t="str">
        <f>IFERROR(MATCH(386,Сборка!$R$2:$R$501,0),"")</f>
        <v/>
      </c>
      <c r="L406" t="str">
        <f>IFERROR(IF(INDEX(Сборка!$Q$2:$Q$501,MATCH(386+1,Сборка!$R$2:$R$501,0))=1,INDEX(Сборка!$P$2:$P$501,MATCH(386+1,Сборка!$R$2:$R$501,0)),""),"")</f>
        <v/>
      </c>
      <c r="M406" t="str">
        <f t="shared" si="27"/>
        <v/>
      </c>
    </row>
    <row r="407" spans="1:13" hidden="1" x14ac:dyDescent="0.3">
      <c r="A407" t="str">
        <f>IF(ISNUMBER($K407),INDEX(Сборка!$O$2:$O$501,$K407),"")</f>
        <v/>
      </c>
      <c r="B407" t="str">
        <f>IF(ISNUMBER($K407),INDEX(Сборка!$C$2:$C$501,$K407),"")</f>
        <v/>
      </c>
      <c r="C407" s="5" t="str">
        <f>IF($L407&lt;&gt;"",INDEX(Сборка!$S$2:$S$501,MATCH($L407,Сборка!$P$2:$P$501,0)),IF(ISNUMBER($K407),INDEX(Сборка!$D$2:$D$501,$K407)&amp;IF(INDEX(Сборка!$I$2:$I$501,$K407)&lt;&gt;""," — "&amp;INDEX(Сборка!$I$2:$I$501,$K407),""),""))</f>
        <v/>
      </c>
      <c r="D407" t="str">
        <f>IF(ISNUMBER($K407),INDEX(Сборка!$E$2:$E$501,$K407),"")</f>
        <v/>
      </c>
      <c r="E407" t="str">
        <f>IF(ISNUMBER($K407),INDEX(Сборка!$G$2:$G$501,$K407),"")</f>
        <v/>
      </c>
      <c r="F407" s="6" t="str">
        <f>IF(ISNUMBER($K407),INDEX(Сборка!$J$2:$J$501,$K407),"")</f>
        <v/>
      </c>
      <c r="G407" s="6" t="str">
        <f>IF(ISNUMBER($K407),INDEX(Сборка!$K$2:$K$501,$K407),"")</f>
        <v/>
      </c>
      <c r="H407" s="6" t="str">
        <f t="shared" si="24"/>
        <v/>
      </c>
      <c r="I407" s="6" t="str">
        <f t="shared" si="25"/>
        <v/>
      </c>
      <c r="J407" s="6" t="str">
        <f t="shared" si="26"/>
        <v/>
      </c>
      <c r="K407" t="str">
        <f>IFERROR(MATCH(387,Сборка!$R$2:$R$501,0),"")</f>
        <v/>
      </c>
      <c r="L407" t="str">
        <f>IFERROR(IF(INDEX(Сборка!$Q$2:$Q$501,MATCH(387+1,Сборка!$R$2:$R$501,0))=1,INDEX(Сборка!$P$2:$P$501,MATCH(387+1,Сборка!$R$2:$R$501,0)),""),"")</f>
        <v/>
      </c>
      <c r="M407" t="str">
        <f t="shared" si="27"/>
        <v/>
      </c>
    </row>
    <row r="408" spans="1:13" hidden="1" x14ac:dyDescent="0.3">
      <c r="A408" t="str">
        <f>IF(ISNUMBER($K408),INDEX(Сборка!$O$2:$O$501,$K408),"")</f>
        <v/>
      </c>
      <c r="B408" t="str">
        <f>IF(ISNUMBER($K408),INDEX(Сборка!$C$2:$C$501,$K408),"")</f>
        <v/>
      </c>
      <c r="C408" s="5" t="str">
        <f>IF($L408&lt;&gt;"",INDEX(Сборка!$S$2:$S$501,MATCH($L408,Сборка!$P$2:$P$501,0)),IF(ISNUMBER($K408),INDEX(Сборка!$D$2:$D$501,$K408)&amp;IF(INDEX(Сборка!$I$2:$I$501,$K408)&lt;&gt;""," — "&amp;INDEX(Сборка!$I$2:$I$501,$K408),""),""))</f>
        <v/>
      </c>
      <c r="D408" t="str">
        <f>IF(ISNUMBER($K408),INDEX(Сборка!$E$2:$E$501,$K408),"")</f>
        <v/>
      </c>
      <c r="E408" t="str">
        <f>IF(ISNUMBER($K408),INDEX(Сборка!$G$2:$G$501,$K408),"")</f>
        <v/>
      </c>
      <c r="F408" s="6" t="str">
        <f>IF(ISNUMBER($K408),INDEX(Сборка!$J$2:$J$501,$K408),"")</f>
        <v/>
      </c>
      <c r="G408" s="6" t="str">
        <f>IF(ISNUMBER($K408),INDEX(Сборка!$K$2:$K$501,$K408),"")</f>
        <v/>
      </c>
      <c r="H408" s="6" t="str">
        <f t="shared" si="24"/>
        <v/>
      </c>
      <c r="I408" s="6" t="str">
        <f t="shared" si="25"/>
        <v/>
      </c>
      <c r="J408" s="6" t="str">
        <f t="shared" si="26"/>
        <v/>
      </c>
      <c r="K408" t="str">
        <f>IFERROR(MATCH(388,Сборка!$R$2:$R$501,0),"")</f>
        <v/>
      </c>
      <c r="L408" t="str">
        <f>IFERROR(IF(INDEX(Сборка!$Q$2:$Q$501,MATCH(388+1,Сборка!$R$2:$R$501,0))=1,INDEX(Сборка!$P$2:$P$501,MATCH(388+1,Сборка!$R$2:$R$501,0)),""),"")</f>
        <v/>
      </c>
      <c r="M408" t="str">
        <f t="shared" si="27"/>
        <v/>
      </c>
    </row>
    <row r="409" spans="1:13" hidden="1" x14ac:dyDescent="0.3">
      <c r="A409" t="str">
        <f>IF(ISNUMBER($K409),INDEX(Сборка!$O$2:$O$501,$K409),"")</f>
        <v/>
      </c>
      <c r="B409" t="str">
        <f>IF(ISNUMBER($K409),INDEX(Сборка!$C$2:$C$501,$K409),"")</f>
        <v/>
      </c>
      <c r="C409" s="5" t="str">
        <f>IF($L409&lt;&gt;"",INDEX(Сборка!$S$2:$S$501,MATCH($L409,Сборка!$P$2:$P$501,0)),IF(ISNUMBER($K409),INDEX(Сборка!$D$2:$D$501,$K409)&amp;IF(INDEX(Сборка!$I$2:$I$501,$K409)&lt;&gt;""," — "&amp;INDEX(Сборка!$I$2:$I$501,$K409),""),""))</f>
        <v/>
      </c>
      <c r="D409" t="str">
        <f>IF(ISNUMBER($K409),INDEX(Сборка!$E$2:$E$501,$K409),"")</f>
        <v/>
      </c>
      <c r="E409" t="str">
        <f>IF(ISNUMBER($K409),INDEX(Сборка!$G$2:$G$501,$K409),"")</f>
        <v/>
      </c>
      <c r="F409" s="6" t="str">
        <f>IF(ISNUMBER($K409),INDEX(Сборка!$J$2:$J$501,$K409),"")</f>
        <v/>
      </c>
      <c r="G409" s="6" t="str">
        <f>IF(ISNUMBER($K409),INDEX(Сборка!$K$2:$K$501,$K409),"")</f>
        <v/>
      </c>
      <c r="H409" s="6" t="str">
        <f t="shared" si="24"/>
        <v/>
      </c>
      <c r="I409" s="6" t="str">
        <f t="shared" si="25"/>
        <v/>
      </c>
      <c r="J409" s="6" t="str">
        <f t="shared" si="26"/>
        <v/>
      </c>
      <c r="K409" t="str">
        <f>IFERROR(MATCH(389,Сборка!$R$2:$R$501,0),"")</f>
        <v/>
      </c>
      <c r="L409" t="str">
        <f>IFERROR(IF(INDEX(Сборка!$Q$2:$Q$501,MATCH(389+1,Сборка!$R$2:$R$501,0))=1,INDEX(Сборка!$P$2:$P$501,MATCH(389+1,Сборка!$R$2:$R$501,0)),""),"")</f>
        <v/>
      </c>
      <c r="M409" t="str">
        <f t="shared" si="27"/>
        <v/>
      </c>
    </row>
    <row r="410" spans="1:13" hidden="1" x14ac:dyDescent="0.3">
      <c r="A410" t="str">
        <f>IF(ISNUMBER($K410),INDEX(Сборка!$O$2:$O$501,$K410),"")</f>
        <v/>
      </c>
      <c r="B410" t="str">
        <f>IF(ISNUMBER($K410),INDEX(Сборка!$C$2:$C$501,$K410),"")</f>
        <v/>
      </c>
      <c r="C410" s="5" t="str">
        <f>IF($L410&lt;&gt;"",INDEX(Сборка!$S$2:$S$501,MATCH($L410,Сборка!$P$2:$P$501,0)),IF(ISNUMBER($K410),INDEX(Сборка!$D$2:$D$501,$K410)&amp;IF(INDEX(Сборка!$I$2:$I$501,$K410)&lt;&gt;""," — "&amp;INDEX(Сборка!$I$2:$I$501,$K410),""),""))</f>
        <v/>
      </c>
      <c r="D410" t="str">
        <f>IF(ISNUMBER($K410),INDEX(Сборка!$E$2:$E$501,$K410),"")</f>
        <v/>
      </c>
      <c r="E410" t="str">
        <f>IF(ISNUMBER($K410),INDEX(Сборка!$G$2:$G$501,$K410),"")</f>
        <v/>
      </c>
      <c r="F410" s="6" t="str">
        <f>IF(ISNUMBER($K410),INDEX(Сборка!$J$2:$J$501,$K410),"")</f>
        <v/>
      </c>
      <c r="G410" s="6" t="str">
        <f>IF(ISNUMBER($K410),INDEX(Сборка!$K$2:$K$501,$K410),"")</f>
        <v/>
      </c>
      <c r="H410" s="6" t="str">
        <f t="shared" si="24"/>
        <v/>
      </c>
      <c r="I410" s="6" t="str">
        <f t="shared" si="25"/>
        <v/>
      </c>
      <c r="J410" s="6" t="str">
        <f t="shared" si="26"/>
        <v/>
      </c>
      <c r="K410" t="str">
        <f>IFERROR(MATCH(390,Сборка!$R$2:$R$501,0),"")</f>
        <v/>
      </c>
      <c r="L410" t="str">
        <f>IFERROR(IF(INDEX(Сборка!$Q$2:$Q$501,MATCH(390+1,Сборка!$R$2:$R$501,0))=1,INDEX(Сборка!$P$2:$P$501,MATCH(390+1,Сборка!$R$2:$R$501,0)),""),"")</f>
        <v/>
      </c>
      <c r="M410" t="str">
        <f t="shared" si="27"/>
        <v/>
      </c>
    </row>
    <row r="411" spans="1:13" hidden="1" x14ac:dyDescent="0.3">
      <c r="A411" t="str">
        <f>IF(ISNUMBER($K411),INDEX(Сборка!$O$2:$O$501,$K411),"")</f>
        <v/>
      </c>
      <c r="B411" t="str">
        <f>IF(ISNUMBER($K411),INDEX(Сборка!$C$2:$C$501,$K411),"")</f>
        <v/>
      </c>
      <c r="C411" s="5" t="str">
        <f>IF($L411&lt;&gt;"",INDEX(Сборка!$S$2:$S$501,MATCH($L411,Сборка!$P$2:$P$501,0)),IF(ISNUMBER($K411),INDEX(Сборка!$D$2:$D$501,$K411)&amp;IF(INDEX(Сборка!$I$2:$I$501,$K411)&lt;&gt;""," — "&amp;INDEX(Сборка!$I$2:$I$501,$K411),""),""))</f>
        <v/>
      </c>
      <c r="D411" t="str">
        <f>IF(ISNUMBER($K411),INDEX(Сборка!$E$2:$E$501,$K411),"")</f>
        <v/>
      </c>
      <c r="E411" t="str">
        <f>IF(ISNUMBER($K411),INDEX(Сборка!$G$2:$G$501,$K411),"")</f>
        <v/>
      </c>
      <c r="F411" s="6" t="str">
        <f>IF(ISNUMBER($K411),INDEX(Сборка!$J$2:$J$501,$K411),"")</f>
        <v/>
      </c>
      <c r="G411" s="6" t="str">
        <f>IF(ISNUMBER($K411),INDEX(Сборка!$K$2:$K$501,$K411),"")</f>
        <v/>
      </c>
      <c r="H411" s="6" t="str">
        <f t="shared" si="24"/>
        <v/>
      </c>
      <c r="I411" s="6" t="str">
        <f t="shared" si="25"/>
        <v/>
      </c>
      <c r="J411" s="6" t="str">
        <f t="shared" si="26"/>
        <v/>
      </c>
      <c r="K411" t="str">
        <f>IFERROR(MATCH(391,Сборка!$R$2:$R$501,0),"")</f>
        <v/>
      </c>
      <c r="L411" t="str">
        <f>IFERROR(IF(INDEX(Сборка!$Q$2:$Q$501,MATCH(391+1,Сборка!$R$2:$R$501,0))=1,INDEX(Сборка!$P$2:$P$501,MATCH(391+1,Сборка!$R$2:$R$501,0)),""),"")</f>
        <v/>
      </c>
      <c r="M411" t="str">
        <f t="shared" si="27"/>
        <v/>
      </c>
    </row>
    <row r="412" spans="1:13" hidden="1" x14ac:dyDescent="0.3">
      <c r="A412" t="str">
        <f>IF(ISNUMBER($K412),INDEX(Сборка!$O$2:$O$501,$K412),"")</f>
        <v/>
      </c>
      <c r="B412" t="str">
        <f>IF(ISNUMBER($K412),INDEX(Сборка!$C$2:$C$501,$K412),"")</f>
        <v/>
      </c>
      <c r="C412" s="5" t="str">
        <f>IF($L412&lt;&gt;"",INDEX(Сборка!$S$2:$S$501,MATCH($L412,Сборка!$P$2:$P$501,0)),IF(ISNUMBER($K412),INDEX(Сборка!$D$2:$D$501,$K412)&amp;IF(INDEX(Сборка!$I$2:$I$501,$K412)&lt;&gt;""," — "&amp;INDEX(Сборка!$I$2:$I$501,$K412),""),""))</f>
        <v/>
      </c>
      <c r="D412" t="str">
        <f>IF(ISNUMBER($K412),INDEX(Сборка!$E$2:$E$501,$K412),"")</f>
        <v/>
      </c>
      <c r="E412" t="str">
        <f>IF(ISNUMBER($K412),INDEX(Сборка!$G$2:$G$501,$K412),"")</f>
        <v/>
      </c>
      <c r="F412" s="6" t="str">
        <f>IF(ISNUMBER($K412),INDEX(Сборка!$J$2:$J$501,$K412),"")</f>
        <v/>
      </c>
      <c r="G412" s="6" t="str">
        <f>IF(ISNUMBER($K412),INDEX(Сборка!$K$2:$K$501,$K412),"")</f>
        <v/>
      </c>
      <c r="H412" s="6" t="str">
        <f t="shared" si="24"/>
        <v/>
      </c>
      <c r="I412" s="6" t="str">
        <f t="shared" si="25"/>
        <v/>
      </c>
      <c r="J412" s="6" t="str">
        <f t="shared" si="26"/>
        <v/>
      </c>
      <c r="K412" t="str">
        <f>IFERROR(MATCH(392,Сборка!$R$2:$R$501,0),"")</f>
        <v/>
      </c>
      <c r="L412" t="str">
        <f>IFERROR(IF(INDEX(Сборка!$Q$2:$Q$501,MATCH(392+1,Сборка!$R$2:$R$501,0))=1,INDEX(Сборка!$P$2:$P$501,MATCH(392+1,Сборка!$R$2:$R$501,0)),""),"")</f>
        <v/>
      </c>
      <c r="M412" t="str">
        <f t="shared" si="27"/>
        <v/>
      </c>
    </row>
    <row r="413" spans="1:13" hidden="1" x14ac:dyDescent="0.3">
      <c r="A413" t="str">
        <f>IF(ISNUMBER($K413),INDEX(Сборка!$O$2:$O$501,$K413),"")</f>
        <v/>
      </c>
      <c r="B413" t="str">
        <f>IF(ISNUMBER($K413),INDEX(Сборка!$C$2:$C$501,$K413),"")</f>
        <v/>
      </c>
      <c r="C413" s="5" t="str">
        <f>IF($L413&lt;&gt;"",INDEX(Сборка!$S$2:$S$501,MATCH($L413,Сборка!$P$2:$P$501,0)),IF(ISNUMBER($K413),INDEX(Сборка!$D$2:$D$501,$K413)&amp;IF(INDEX(Сборка!$I$2:$I$501,$K413)&lt;&gt;""," — "&amp;INDEX(Сборка!$I$2:$I$501,$K413),""),""))</f>
        <v/>
      </c>
      <c r="D413" t="str">
        <f>IF(ISNUMBER($K413),INDEX(Сборка!$E$2:$E$501,$K413),"")</f>
        <v/>
      </c>
      <c r="E413" t="str">
        <f>IF(ISNUMBER($K413),INDEX(Сборка!$G$2:$G$501,$K413),"")</f>
        <v/>
      </c>
      <c r="F413" s="6" t="str">
        <f>IF(ISNUMBER($K413),INDEX(Сборка!$J$2:$J$501,$K413),"")</f>
        <v/>
      </c>
      <c r="G413" s="6" t="str">
        <f>IF(ISNUMBER($K413),INDEX(Сборка!$K$2:$K$501,$K413),"")</f>
        <v/>
      </c>
      <c r="H413" s="6" t="str">
        <f t="shared" si="24"/>
        <v/>
      </c>
      <c r="I413" s="6" t="str">
        <f t="shared" si="25"/>
        <v/>
      </c>
      <c r="J413" s="6" t="str">
        <f t="shared" si="26"/>
        <v/>
      </c>
      <c r="K413" t="str">
        <f>IFERROR(MATCH(393,Сборка!$R$2:$R$501,0),"")</f>
        <v/>
      </c>
      <c r="L413" t="str">
        <f>IFERROR(IF(INDEX(Сборка!$Q$2:$Q$501,MATCH(393+1,Сборка!$R$2:$R$501,0))=1,INDEX(Сборка!$P$2:$P$501,MATCH(393+1,Сборка!$R$2:$R$501,0)),""),"")</f>
        <v/>
      </c>
      <c r="M413" t="str">
        <f t="shared" si="27"/>
        <v/>
      </c>
    </row>
    <row r="414" spans="1:13" hidden="1" x14ac:dyDescent="0.3">
      <c r="A414" t="str">
        <f>IF(ISNUMBER($K414),INDEX(Сборка!$O$2:$O$501,$K414),"")</f>
        <v/>
      </c>
      <c r="B414" t="str">
        <f>IF(ISNUMBER($K414),INDEX(Сборка!$C$2:$C$501,$K414),"")</f>
        <v/>
      </c>
      <c r="C414" s="5" t="str">
        <f>IF($L414&lt;&gt;"",INDEX(Сборка!$S$2:$S$501,MATCH($L414,Сборка!$P$2:$P$501,0)),IF(ISNUMBER($K414),INDEX(Сборка!$D$2:$D$501,$K414)&amp;IF(INDEX(Сборка!$I$2:$I$501,$K414)&lt;&gt;""," — "&amp;INDEX(Сборка!$I$2:$I$501,$K414),""),""))</f>
        <v/>
      </c>
      <c r="D414" t="str">
        <f>IF(ISNUMBER($K414),INDEX(Сборка!$E$2:$E$501,$K414),"")</f>
        <v/>
      </c>
      <c r="E414" t="str">
        <f>IF(ISNUMBER($K414),INDEX(Сборка!$G$2:$G$501,$K414),"")</f>
        <v/>
      </c>
      <c r="F414" s="6" t="str">
        <f>IF(ISNUMBER($K414),INDEX(Сборка!$J$2:$J$501,$K414),"")</f>
        <v/>
      </c>
      <c r="G414" s="6" t="str">
        <f>IF(ISNUMBER($K414),INDEX(Сборка!$K$2:$K$501,$K414),"")</f>
        <v/>
      </c>
      <c r="H414" s="6" t="str">
        <f t="shared" si="24"/>
        <v/>
      </c>
      <c r="I414" s="6" t="str">
        <f t="shared" si="25"/>
        <v/>
      </c>
      <c r="J414" s="6" t="str">
        <f t="shared" si="26"/>
        <v/>
      </c>
      <c r="K414" t="str">
        <f>IFERROR(MATCH(394,Сборка!$R$2:$R$501,0),"")</f>
        <v/>
      </c>
      <c r="L414" t="str">
        <f>IFERROR(IF(INDEX(Сборка!$Q$2:$Q$501,MATCH(394+1,Сборка!$R$2:$R$501,0))=1,INDEX(Сборка!$P$2:$P$501,MATCH(394+1,Сборка!$R$2:$R$501,0)),""),"")</f>
        <v/>
      </c>
      <c r="M414" t="str">
        <f t="shared" si="27"/>
        <v/>
      </c>
    </row>
    <row r="415" spans="1:13" hidden="1" x14ac:dyDescent="0.3">
      <c r="A415" t="str">
        <f>IF(ISNUMBER($K415),INDEX(Сборка!$O$2:$O$501,$K415),"")</f>
        <v/>
      </c>
      <c r="B415" t="str">
        <f>IF(ISNUMBER($K415),INDEX(Сборка!$C$2:$C$501,$K415),"")</f>
        <v/>
      </c>
      <c r="C415" s="5" t="str">
        <f>IF($L415&lt;&gt;"",INDEX(Сборка!$S$2:$S$501,MATCH($L415,Сборка!$P$2:$P$501,0)),IF(ISNUMBER($K415),INDEX(Сборка!$D$2:$D$501,$K415)&amp;IF(INDEX(Сборка!$I$2:$I$501,$K415)&lt;&gt;""," — "&amp;INDEX(Сборка!$I$2:$I$501,$K415),""),""))</f>
        <v/>
      </c>
      <c r="D415" t="str">
        <f>IF(ISNUMBER($K415),INDEX(Сборка!$E$2:$E$501,$K415),"")</f>
        <v/>
      </c>
      <c r="E415" t="str">
        <f>IF(ISNUMBER($K415),INDEX(Сборка!$G$2:$G$501,$K415),"")</f>
        <v/>
      </c>
      <c r="F415" s="6" t="str">
        <f>IF(ISNUMBER($K415),INDEX(Сборка!$J$2:$J$501,$K415),"")</f>
        <v/>
      </c>
      <c r="G415" s="6" t="str">
        <f>IF(ISNUMBER($K415),INDEX(Сборка!$K$2:$K$501,$K415),"")</f>
        <v/>
      </c>
      <c r="H415" s="6" t="str">
        <f t="shared" si="24"/>
        <v/>
      </c>
      <c r="I415" s="6" t="str">
        <f t="shared" si="25"/>
        <v/>
      </c>
      <c r="J415" s="6" t="str">
        <f t="shared" si="26"/>
        <v/>
      </c>
      <c r="K415" t="str">
        <f>IFERROR(MATCH(395,Сборка!$R$2:$R$501,0),"")</f>
        <v/>
      </c>
      <c r="L415" t="str">
        <f>IFERROR(IF(INDEX(Сборка!$Q$2:$Q$501,MATCH(395+1,Сборка!$R$2:$R$501,0))=1,INDEX(Сборка!$P$2:$P$501,MATCH(395+1,Сборка!$R$2:$R$501,0)),""),"")</f>
        <v/>
      </c>
      <c r="M415" t="str">
        <f t="shared" si="27"/>
        <v/>
      </c>
    </row>
    <row r="416" spans="1:13" hidden="1" x14ac:dyDescent="0.3">
      <c r="A416" t="str">
        <f>IF(ISNUMBER($K416),INDEX(Сборка!$O$2:$O$501,$K416),"")</f>
        <v/>
      </c>
      <c r="B416" t="str">
        <f>IF(ISNUMBER($K416),INDEX(Сборка!$C$2:$C$501,$K416),"")</f>
        <v/>
      </c>
      <c r="C416" s="5" t="str">
        <f>IF($L416&lt;&gt;"",INDEX(Сборка!$S$2:$S$501,MATCH($L416,Сборка!$P$2:$P$501,0)),IF(ISNUMBER($K416),INDEX(Сборка!$D$2:$D$501,$K416)&amp;IF(INDEX(Сборка!$I$2:$I$501,$K416)&lt;&gt;""," — "&amp;INDEX(Сборка!$I$2:$I$501,$K416),""),""))</f>
        <v/>
      </c>
      <c r="D416" t="str">
        <f>IF(ISNUMBER($K416),INDEX(Сборка!$E$2:$E$501,$K416),"")</f>
        <v/>
      </c>
      <c r="E416" t="str">
        <f>IF(ISNUMBER($K416),INDEX(Сборка!$G$2:$G$501,$K416),"")</f>
        <v/>
      </c>
      <c r="F416" s="6" t="str">
        <f>IF(ISNUMBER($K416),INDEX(Сборка!$J$2:$J$501,$K416),"")</f>
        <v/>
      </c>
      <c r="G416" s="6" t="str">
        <f>IF(ISNUMBER($K416),INDEX(Сборка!$K$2:$K$501,$K416),"")</f>
        <v/>
      </c>
      <c r="H416" s="6" t="str">
        <f t="shared" si="24"/>
        <v/>
      </c>
      <c r="I416" s="6" t="str">
        <f t="shared" si="25"/>
        <v/>
      </c>
      <c r="J416" s="6" t="str">
        <f t="shared" si="26"/>
        <v/>
      </c>
      <c r="K416" t="str">
        <f>IFERROR(MATCH(396,Сборка!$R$2:$R$501,0),"")</f>
        <v/>
      </c>
      <c r="L416" t="str">
        <f>IFERROR(IF(INDEX(Сборка!$Q$2:$Q$501,MATCH(396+1,Сборка!$R$2:$R$501,0))=1,INDEX(Сборка!$P$2:$P$501,MATCH(396+1,Сборка!$R$2:$R$501,0)),""),"")</f>
        <v/>
      </c>
      <c r="M416" t="str">
        <f t="shared" si="27"/>
        <v/>
      </c>
    </row>
    <row r="417" spans="1:13" hidden="1" x14ac:dyDescent="0.3">
      <c r="A417" t="str">
        <f>IF(ISNUMBER($K417),INDEX(Сборка!$O$2:$O$501,$K417),"")</f>
        <v/>
      </c>
      <c r="B417" t="str">
        <f>IF(ISNUMBER($K417),INDEX(Сборка!$C$2:$C$501,$K417),"")</f>
        <v/>
      </c>
      <c r="C417" s="5" t="str">
        <f>IF($L417&lt;&gt;"",INDEX(Сборка!$S$2:$S$501,MATCH($L417,Сборка!$P$2:$P$501,0)),IF(ISNUMBER($K417),INDEX(Сборка!$D$2:$D$501,$K417)&amp;IF(INDEX(Сборка!$I$2:$I$501,$K417)&lt;&gt;""," — "&amp;INDEX(Сборка!$I$2:$I$501,$K417),""),""))</f>
        <v/>
      </c>
      <c r="D417" t="str">
        <f>IF(ISNUMBER($K417),INDEX(Сборка!$E$2:$E$501,$K417),"")</f>
        <v/>
      </c>
      <c r="E417" t="str">
        <f>IF(ISNUMBER($K417),INDEX(Сборка!$G$2:$G$501,$K417),"")</f>
        <v/>
      </c>
      <c r="F417" s="6" t="str">
        <f>IF(ISNUMBER($K417),INDEX(Сборка!$J$2:$J$501,$K417),"")</f>
        <v/>
      </c>
      <c r="G417" s="6" t="str">
        <f>IF(ISNUMBER($K417),INDEX(Сборка!$K$2:$K$501,$K417),"")</f>
        <v/>
      </c>
      <c r="H417" s="6" t="str">
        <f t="shared" si="24"/>
        <v/>
      </c>
      <c r="I417" s="6" t="str">
        <f t="shared" si="25"/>
        <v/>
      </c>
      <c r="J417" s="6" t="str">
        <f t="shared" si="26"/>
        <v/>
      </c>
      <c r="K417" t="str">
        <f>IFERROR(MATCH(397,Сборка!$R$2:$R$501,0),"")</f>
        <v/>
      </c>
      <c r="L417" t="str">
        <f>IFERROR(IF(INDEX(Сборка!$Q$2:$Q$501,MATCH(397+1,Сборка!$R$2:$R$501,0))=1,INDEX(Сборка!$P$2:$P$501,MATCH(397+1,Сборка!$R$2:$R$501,0)),""),"")</f>
        <v/>
      </c>
      <c r="M417" t="str">
        <f t="shared" si="27"/>
        <v/>
      </c>
    </row>
    <row r="418" spans="1:13" hidden="1" x14ac:dyDescent="0.3">
      <c r="A418" t="str">
        <f>IF(ISNUMBER($K418),INDEX(Сборка!$O$2:$O$501,$K418),"")</f>
        <v/>
      </c>
      <c r="B418" t="str">
        <f>IF(ISNUMBER($K418),INDEX(Сборка!$C$2:$C$501,$K418),"")</f>
        <v/>
      </c>
      <c r="C418" s="5" t="str">
        <f>IF($L418&lt;&gt;"",INDEX(Сборка!$S$2:$S$501,MATCH($L418,Сборка!$P$2:$P$501,0)),IF(ISNUMBER($K418),INDEX(Сборка!$D$2:$D$501,$K418)&amp;IF(INDEX(Сборка!$I$2:$I$501,$K418)&lt;&gt;""," — "&amp;INDEX(Сборка!$I$2:$I$501,$K418),""),""))</f>
        <v/>
      </c>
      <c r="D418" t="str">
        <f>IF(ISNUMBER($K418),INDEX(Сборка!$E$2:$E$501,$K418),"")</f>
        <v/>
      </c>
      <c r="E418" t="str">
        <f>IF(ISNUMBER($K418),INDEX(Сборка!$G$2:$G$501,$K418),"")</f>
        <v/>
      </c>
      <c r="F418" s="6" t="str">
        <f>IF(ISNUMBER($K418),INDEX(Сборка!$J$2:$J$501,$K418),"")</f>
        <v/>
      </c>
      <c r="G418" s="6" t="str">
        <f>IF(ISNUMBER($K418),INDEX(Сборка!$K$2:$K$501,$K418),"")</f>
        <v/>
      </c>
      <c r="H418" s="6" t="str">
        <f t="shared" si="24"/>
        <v/>
      </c>
      <c r="I418" s="6" t="str">
        <f t="shared" si="25"/>
        <v/>
      </c>
      <c r="J418" s="6" t="str">
        <f t="shared" si="26"/>
        <v/>
      </c>
      <c r="K418" t="str">
        <f>IFERROR(MATCH(398,Сборка!$R$2:$R$501,0),"")</f>
        <v/>
      </c>
      <c r="L418" t="str">
        <f>IFERROR(IF(INDEX(Сборка!$Q$2:$Q$501,MATCH(398+1,Сборка!$R$2:$R$501,0))=1,INDEX(Сборка!$P$2:$P$501,MATCH(398+1,Сборка!$R$2:$R$501,0)),""),"")</f>
        <v/>
      </c>
      <c r="M418" t="str">
        <f t="shared" si="27"/>
        <v/>
      </c>
    </row>
    <row r="419" spans="1:13" hidden="1" x14ac:dyDescent="0.3">
      <c r="A419" t="str">
        <f>IF(ISNUMBER($K419),INDEX(Сборка!$O$2:$O$501,$K419),"")</f>
        <v/>
      </c>
      <c r="B419" t="str">
        <f>IF(ISNUMBER($K419),INDEX(Сборка!$C$2:$C$501,$K419),"")</f>
        <v/>
      </c>
      <c r="C419" s="5" t="str">
        <f>IF($L419&lt;&gt;"",INDEX(Сборка!$S$2:$S$501,MATCH($L419,Сборка!$P$2:$P$501,0)),IF(ISNUMBER($K419),INDEX(Сборка!$D$2:$D$501,$K419)&amp;IF(INDEX(Сборка!$I$2:$I$501,$K419)&lt;&gt;""," — "&amp;INDEX(Сборка!$I$2:$I$501,$K419),""),""))</f>
        <v/>
      </c>
      <c r="D419" t="str">
        <f>IF(ISNUMBER($K419),INDEX(Сборка!$E$2:$E$501,$K419),"")</f>
        <v/>
      </c>
      <c r="E419" t="str">
        <f>IF(ISNUMBER($K419),INDEX(Сборка!$G$2:$G$501,$K419),"")</f>
        <v/>
      </c>
      <c r="F419" s="6" t="str">
        <f>IF(ISNUMBER($K419),INDEX(Сборка!$J$2:$J$501,$K419),"")</f>
        <v/>
      </c>
      <c r="G419" s="6" t="str">
        <f>IF(ISNUMBER($K419),INDEX(Сборка!$K$2:$K$501,$K419),"")</f>
        <v/>
      </c>
      <c r="H419" s="6" t="str">
        <f t="shared" si="24"/>
        <v/>
      </c>
      <c r="I419" s="6" t="str">
        <f t="shared" si="25"/>
        <v/>
      </c>
      <c r="J419" s="6" t="str">
        <f t="shared" si="26"/>
        <v/>
      </c>
      <c r="K419" t="str">
        <f>IFERROR(MATCH(399,Сборка!$R$2:$R$501,0),"")</f>
        <v/>
      </c>
      <c r="L419" t="str">
        <f>IFERROR(IF(INDEX(Сборка!$Q$2:$Q$501,MATCH(399+1,Сборка!$R$2:$R$501,0))=1,INDEX(Сборка!$P$2:$P$501,MATCH(399+1,Сборка!$R$2:$R$501,0)),""),"")</f>
        <v/>
      </c>
      <c r="M419" t="str">
        <f t="shared" si="27"/>
        <v/>
      </c>
    </row>
    <row r="420" spans="1:13" hidden="1" x14ac:dyDescent="0.3">
      <c r="A420" t="str">
        <f>IF(ISNUMBER($K420),INDEX(Сборка!$O$2:$O$501,$K420),"")</f>
        <v/>
      </c>
      <c r="B420" t="str">
        <f>IF(ISNUMBER($K420),INDEX(Сборка!$C$2:$C$501,$K420),"")</f>
        <v/>
      </c>
      <c r="C420" s="5" t="str">
        <f>IF($L420&lt;&gt;"",INDEX(Сборка!$S$2:$S$501,MATCH($L420,Сборка!$P$2:$P$501,0)),IF(ISNUMBER($K420),INDEX(Сборка!$D$2:$D$501,$K420)&amp;IF(INDEX(Сборка!$I$2:$I$501,$K420)&lt;&gt;""," — "&amp;INDEX(Сборка!$I$2:$I$501,$K420),""),""))</f>
        <v/>
      </c>
      <c r="D420" t="str">
        <f>IF(ISNUMBER($K420),INDEX(Сборка!$E$2:$E$501,$K420),"")</f>
        <v/>
      </c>
      <c r="E420" t="str">
        <f>IF(ISNUMBER($K420),INDEX(Сборка!$G$2:$G$501,$K420),"")</f>
        <v/>
      </c>
      <c r="F420" s="6" t="str">
        <f>IF(ISNUMBER($K420),INDEX(Сборка!$J$2:$J$501,$K420),"")</f>
        <v/>
      </c>
      <c r="G420" s="6" t="str">
        <f>IF(ISNUMBER($K420),INDEX(Сборка!$K$2:$K$501,$K420),"")</f>
        <v/>
      </c>
      <c r="H420" s="6" t="str">
        <f t="shared" si="24"/>
        <v/>
      </c>
      <c r="I420" s="6" t="str">
        <f t="shared" si="25"/>
        <v/>
      </c>
      <c r="J420" s="6" t="str">
        <f t="shared" si="26"/>
        <v/>
      </c>
      <c r="K420" t="str">
        <f>IFERROR(MATCH(400,Сборка!$R$2:$R$501,0),"")</f>
        <v/>
      </c>
      <c r="L420" t="str">
        <f>IFERROR(IF(INDEX(Сборка!$Q$2:$Q$501,MATCH(400+1,Сборка!$R$2:$R$501,0))=1,INDEX(Сборка!$P$2:$P$501,MATCH(400+1,Сборка!$R$2:$R$501,0)),""),"")</f>
        <v/>
      </c>
      <c r="M420" t="str">
        <f t="shared" si="27"/>
        <v/>
      </c>
    </row>
    <row r="421" spans="1:13" hidden="1" x14ac:dyDescent="0.3">
      <c r="A421" t="str">
        <f>IF(ISNUMBER($K421),INDEX(Сборка!$O$2:$O$501,$K421),"")</f>
        <v/>
      </c>
      <c r="B421" t="str">
        <f>IF(ISNUMBER($K421),INDEX(Сборка!$C$2:$C$501,$K421),"")</f>
        <v/>
      </c>
      <c r="C421" s="5" t="str">
        <f>IF($L421&lt;&gt;"",INDEX(Сборка!$S$2:$S$501,MATCH($L421,Сборка!$P$2:$P$501,0)),IF(ISNUMBER($K421),INDEX(Сборка!$D$2:$D$501,$K421)&amp;IF(INDEX(Сборка!$I$2:$I$501,$K421)&lt;&gt;""," — "&amp;INDEX(Сборка!$I$2:$I$501,$K421),""),""))</f>
        <v/>
      </c>
      <c r="D421" t="str">
        <f>IF(ISNUMBER($K421),INDEX(Сборка!$E$2:$E$501,$K421),"")</f>
        <v/>
      </c>
      <c r="E421" t="str">
        <f>IF(ISNUMBER($K421),INDEX(Сборка!$G$2:$G$501,$K421),"")</f>
        <v/>
      </c>
      <c r="F421" s="6" t="str">
        <f>IF(ISNUMBER($K421),INDEX(Сборка!$J$2:$J$501,$K421),"")</f>
        <v/>
      </c>
      <c r="G421" s="6" t="str">
        <f>IF(ISNUMBER($K421),INDEX(Сборка!$K$2:$K$501,$K421),"")</f>
        <v/>
      </c>
      <c r="H421" s="6" t="str">
        <f t="shared" si="24"/>
        <v/>
      </c>
      <c r="I421" s="6" t="str">
        <f t="shared" si="25"/>
        <v/>
      </c>
      <c r="J421" s="6" t="str">
        <f t="shared" si="26"/>
        <v/>
      </c>
      <c r="K421" t="str">
        <f>IFERROR(MATCH(401,Сборка!$R$2:$R$501,0),"")</f>
        <v/>
      </c>
      <c r="L421" t="str">
        <f>IFERROR(IF(INDEX(Сборка!$Q$2:$Q$501,MATCH(401+1,Сборка!$R$2:$R$501,0))=1,INDEX(Сборка!$P$2:$P$501,MATCH(401+1,Сборка!$R$2:$R$501,0)),""),"")</f>
        <v/>
      </c>
      <c r="M421" t="str">
        <f t="shared" si="27"/>
        <v/>
      </c>
    </row>
    <row r="422" spans="1:13" hidden="1" x14ac:dyDescent="0.3">
      <c r="A422" t="str">
        <f>IF(ISNUMBER($K422),INDEX(Сборка!$O$2:$O$501,$K422),"")</f>
        <v/>
      </c>
      <c r="B422" t="str">
        <f>IF(ISNUMBER($K422),INDEX(Сборка!$C$2:$C$501,$K422),"")</f>
        <v/>
      </c>
      <c r="C422" s="5" t="str">
        <f>IF($L422&lt;&gt;"",INDEX(Сборка!$S$2:$S$501,MATCH($L422,Сборка!$P$2:$P$501,0)),IF(ISNUMBER($K422),INDEX(Сборка!$D$2:$D$501,$K422)&amp;IF(INDEX(Сборка!$I$2:$I$501,$K422)&lt;&gt;""," — "&amp;INDEX(Сборка!$I$2:$I$501,$K422),""),""))</f>
        <v/>
      </c>
      <c r="D422" t="str">
        <f>IF(ISNUMBER($K422),INDEX(Сборка!$E$2:$E$501,$K422),"")</f>
        <v/>
      </c>
      <c r="E422" t="str">
        <f>IF(ISNUMBER($K422),INDEX(Сборка!$G$2:$G$501,$K422),"")</f>
        <v/>
      </c>
      <c r="F422" s="6" t="str">
        <f>IF(ISNUMBER($K422),INDEX(Сборка!$J$2:$J$501,$K422),"")</f>
        <v/>
      </c>
      <c r="G422" s="6" t="str">
        <f>IF(ISNUMBER($K422),INDEX(Сборка!$K$2:$K$501,$K422),"")</f>
        <v/>
      </c>
      <c r="H422" s="6" t="str">
        <f t="shared" si="24"/>
        <v/>
      </c>
      <c r="I422" s="6" t="str">
        <f t="shared" si="25"/>
        <v/>
      </c>
      <c r="J422" s="6" t="str">
        <f t="shared" si="26"/>
        <v/>
      </c>
      <c r="K422" t="str">
        <f>IFERROR(MATCH(402,Сборка!$R$2:$R$501,0),"")</f>
        <v/>
      </c>
      <c r="L422" t="str">
        <f>IFERROR(IF(INDEX(Сборка!$Q$2:$Q$501,MATCH(402+1,Сборка!$R$2:$R$501,0))=1,INDEX(Сборка!$P$2:$P$501,MATCH(402+1,Сборка!$R$2:$R$501,0)),""),"")</f>
        <v/>
      </c>
      <c r="M422" t="str">
        <f t="shared" si="27"/>
        <v/>
      </c>
    </row>
    <row r="423" spans="1:13" hidden="1" x14ac:dyDescent="0.3">
      <c r="A423" t="str">
        <f>IF(ISNUMBER($K423),INDEX(Сборка!$O$2:$O$501,$K423),"")</f>
        <v/>
      </c>
      <c r="B423" t="str">
        <f>IF(ISNUMBER($K423),INDEX(Сборка!$C$2:$C$501,$K423),"")</f>
        <v/>
      </c>
      <c r="C423" s="5" t="str">
        <f>IF($L423&lt;&gt;"",INDEX(Сборка!$S$2:$S$501,MATCH($L423,Сборка!$P$2:$P$501,0)),IF(ISNUMBER($K423),INDEX(Сборка!$D$2:$D$501,$K423)&amp;IF(INDEX(Сборка!$I$2:$I$501,$K423)&lt;&gt;""," — "&amp;INDEX(Сборка!$I$2:$I$501,$K423),""),""))</f>
        <v/>
      </c>
      <c r="D423" t="str">
        <f>IF(ISNUMBER($K423),INDEX(Сборка!$E$2:$E$501,$K423),"")</f>
        <v/>
      </c>
      <c r="E423" t="str">
        <f>IF(ISNUMBER($K423),INDEX(Сборка!$G$2:$G$501,$K423),"")</f>
        <v/>
      </c>
      <c r="F423" s="6" t="str">
        <f>IF(ISNUMBER($K423),INDEX(Сборка!$J$2:$J$501,$K423),"")</f>
        <v/>
      </c>
      <c r="G423" s="6" t="str">
        <f>IF(ISNUMBER($K423),INDEX(Сборка!$K$2:$K$501,$K423),"")</f>
        <v/>
      </c>
      <c r="H423" s="6" t="str">
        <f t="shared" si="24"/>
        <v/>
      </c>
      <c r="I423" s="6" t="str">
        <f t="shared" si="25"/>
        <v/>
      </c>
      <c r="J423" s="6" t="str">
        <f t="shared" si="26"/>
        <v/>
      </c>
      <c r="K423" t="str">
        <f>IFERROR(MATCH(403,Сборка!$R$2:$R$501,0),"")</f>
        <v/>
      </c>
      <c r="L423" t="str">
        <f>IFERROR(IF(INDEX(Сборка!$Q$2:$Q$501,MATCH(403+1,Сборка!$R$2:$R$501,0))=1,INDEX(Сборка!$P$2:$P$501,MATCH(403+1,Сборка!$R$2:$R$501,0)),""),"")</f>
        <v/>
      </c>
      <c r="M423" t="str">
        <f t="shared" si="27"/>
        <v/>
      </c>
    </row>
    <row r="424" spans="1:13" hidden="1" x14ac:dyDescent="0.3">
      <c r="A424" t="str">
        <f>IF(ISNUMBER($K424),INDEX(Сборка!$O$2:$O$501,$K424),"")</f>
        <v/>
      </c>
      <c r="B424" t="str">
        <f>IF(ISNUMBER($K424),INDEX(Сборка!$C$2:$C$501,$K424),"")</f>
        <v/>
      </c>
      <c r="C424" s="5" t="str">
        <f>IF($L424&lt;&gt;"",INDEX(Сборка!$S$2:$S$501,MATCH($L424,Сборка!$P$2:$P$501,0)),IF(ISNUMBER($K424),INDEX(Сборка!$D$2:$D$501,$K424)&amp;IF(INDEX(Сборка!$I$2:$I$501,$K424)&lt;&gt;""," — "&amp;INDEX(Сборка!$I$2:$I$501,$K424),""),""))</f>
        <v/>
      </c>
      <c r="D424" t="str">
        <f>IF(ISNUMBER($K424),INDEX(Сборка!$E$2:$E$501,$K424),"")</f>
        <v/>
      </c>
      <c r="E424" t="str">
        <f>IF(ISNUMBER($K424),INDEX(Сборка!$G$2:$G$501,$K424),"")</f>
        <v/>
      </c>
      <c r="F424" s="6" t="str">
        <f>IF(ISNUMBER($K424),INDEX(Сборка!$J$2:$J$501,$K424),"")</f>
        <v/>
      </c>
      <c r="G424" s="6" t="str">
        <f>IF(ISNUMBER($K424),INDEX(Сборка!$K$2:$K$501,$K424),"")</f>
        <v/>
      </c>
      <c r="H424" s="6" t="str">
        <f t="shared" si="24"/>
        <v/>
      </c>
      <c r="I424" s="6" t="str">
        <f t="shared" si="25"/>
        <v/>
      </c>
      <c r="J424" s="6" t="str">
        <f t="shared" si="26"/>
        <v/>
      </c>
      <c r="K424" t="str">
        <f>IFERROR(MATCH(404,Сборка!$R$2:$R$501,0),"")</f>
        <v/>
      </c>
      <c r="L424" t="str">
        <f>IFERROR(IF(INDEX(Сборка!$Q$2:$Q$501,MATCH(404+1,Сборка!$R$2:$R$501,0))=1,INDEX(Сборка!$P$2:$P$501,MATCH(404+1,Сборка!$R$2:$R$501,0)),""),"")</f>
        <v/>
      </c>
      <c r="M424" t="str">
        <f t="shared" si="27"/>
        <v/>
      </c>
    </row>
    <row r="425" spans="1:13" hidden="1" x14ac:dyDescent="0.3">
      <c r="A425" t="str">
        <f>IF(ISNUMBER($K425),INDEX(Сборка!$O$2:$O$501,$K425),"")</f>
        <v/>
      </c>
      <c r="B425" t="str">
        <f>IF(ISNUMBER($K425),INDEX(Сборка!$C$2:$C$501,$K425),"")</f>
        <v/>
      </c>
      <c r="C425" s="5" t="str">
        <f>IF($L425&lt;&gt;"",INDEX(Сборка!$S$2:$S$501,MATCH($L425,Сборка!$P$2:$P$501,0)),IF(ISNUMBER($K425),INDEX(Сборка!$D$2:$D$501,$K425)&amp;IF(INDEX(Сборка!$I$2:$I$501,$K425)&lt;&gt;""," — "&amp;INDEX(Сборка!$I$2:$I$501,$K425),""),""))</f>
        <v/>
      </c>
      <c r="D425" t="str">
        <f>IF(ISNUMBER($K425),INDEX(Сборка!$E$2:$E$501,$K425),"")</f>
        <v/>
      </c>
      <c r="E425" t="str">
        <f>IF(ISNUMBER($K425),INDEX(Сборка!$G$2:$G$501,$K425),"")</f>
        <v/>
      </c>
      <c r="F425" s="6" t="str">
        <f>IF(ISNUMBER($K425),INDEX(Сборка!$J$2:$J$501,$K425),"")</f>
        <v/>
      </c>
      <c r="G425" s="6" t="str">
        <f>IF(ISNUMBER($K425),INDEX(Сборка!$K$2:$K$501,$K425),"")</f>
        <v/>
      </c>
      <c r="H425" s="6" t="str">
        <f t="shared" si="24"/>
        <v/>
      </c>
      <c r="I425" s="6" t="str">
        <f t="shared" si="25"/>
        <v/>
      </c>
      <c r="J425" s="6" t="str">
        <f t="shared" si="26"/>
        <v/>
      </c>
      <c r="K425" t="str">
        <f>IFERROR(MATCH(405,Сборка!$R$2:$R$501,0),"")</f>
        <v/>
      </c>
      <c r="L425" t="str">
        <f>IFERROR(IF(INDEX(Сборка!$Q$2:$Q$501,MATCH(405+1,Сборка!$R$2:$R$501,0))=1,INDEX(Сборка!$P$2:$P$501,MATCH(405+1,Сборка!$R$2:$R$501,0)),""),"")</f>
        <v/>
      </c>
      <c r="M425" t="str">
        <f t="shared" si="27"/>
        <v/>
      </c>
    </row>
    <row r="426" spans="1:13" hidden="1" x14ac:dyDescent="0.3">
      <c r="A426" t="str">
        <f>IF(ISNUMBER($K426),INDEX(Сборка!$O$2:$O$501,$K426),"")</f>
        <v/>
      </c>
      <c r="B426" t="str">
        <f>IF(ISNUMBER($K426),INDEX(Сборка!$C$2:$C$501,$K426),"")</f>
        <v/>
      </c>
      <c r="C426" s="5" t="str">
        <f>IF($L426&lt;&gt;"",INDEX(Сборка!$S$2:$S$501,MATCH($L426,Сборка!$P$2:$P$501,0)),IF(ISNUMBER($K426),INDEX(Сборка!$D$2:$D$501,$K426)&amp;IF(INDEX(Сборка!$I$2:$I$501,$K426)&lt;&gt;""," — "&amp;INDEX(Сборка!$I$2:$I$501,$K426),""),""))</f>
        <v/>
      </c>
      <c r="D426" t="str">
        <f>IF(ISNUMBER($K426),INDEX(Сборка!$E$2:$E$501,$K426),"")</f>
        <v/>
      </c>
      <c r="E426" t="str">
        <f>IF(ISNUMBER($K426),INDEX(Сборка!$G$2:$G$501,$K426),"")</f>
        <v/>
      </c>
      <c r="F426" s="6" t="str">
        <f>IF(ISNUMBER($K426),INDEX(Сборка!$J$2:$J$501,$K426),"")</f>
        <v/>
      </c>
      <c r="G426" s="6" t="str">
        <f>IF(ISNUMBER($K426),INDEX(Сборка!$K$2:$K$501,$K426),"")</f>
        <v/>
      </c>
      <c r="H426" s="6" t="str">
        <f t="shared" si="24"/>
        <v/>
      </c>
      <c r="I426" s="6" t="str">
        <f t="shared" si="25"/>
        <v/>
      </c>
      <c r="J426" s="6" t="str">
        <f t="shared" si="26"/>
        <v/>
      </c>
      <c r="K426" t="str">
        <f>IFERROR(MATCH(406,Сборка!$R$2:$R$501,0),"")</f>
        <v/>
      </c>
      <c r="L426" t="str">
        <f>IFERROR(IF(INDEX(Сборка!$Q$2:$Q$501,MATCH(406+1,Сборка!$R$2:$R$501,0))=1,INDEX(Сборка!$P$2:$P$501,MATCH(406+1,Сборка!$R$2:$R$501,0)),""),"")</f>
        <v/>
      </c>
      <c r="M426" t="str">
        <f t="shared" si="27"/>
        <v/>
      </c>
    </row>
    <row r="427" spans="1:13" hidden="1" x14ac:dyDescent="0.3">
      <c r="A427" t="str">
        <f>IF(ISNUMBER($K427),INDEX(Сборка!$O$2:$O$501,$K427),"")</f>
        <v/>
      </c>
      <c r="B427" t="str">
        <f>IF(ISNUMBER($K427),INDEX(Сборка!$C$2:$C$501,$K427),"")</f>
        <v/>
      </c>
      <c r="C427" s="5" t="str">
        <f>IF($L427&lt;&gt;"",INDEX(Сборка!$S$2:$S$501,MATCH($L427,Сборка!$P$2:$P$501,0)),IF(ISNUMBER($K427),INDEX(Сборка!$D$2:$D$501,$K427)&amp;IF(INDEX(Сборка!$I$2:$I$501,$K427)&lt;&gt;""," — "&amp;INDEX(Сборка!$I$2:$I$501,$K427),""),""))</f>
        <v/>
      </c>
      <c r="D427" t="str">
        <f>IF(ISNUMBER($K427),INDEX(Сборка!$E$2:$E$501,$K427),"")</f>
        <v/>
      </c>
      <c r="E427" t="str">
        <f>IF(ISNUMBER($K427),INDEX(Сборка!$G$2:$G$501,$K427),"")</f>
        <v/>
      </c>
      <c r="F427" s="6" t="str">
        <f>IF(ISNUMBER($K427),INDEX(Сборка!$J$2:$J$501,$K427),"")</f>
        <v/>
      </c>
      <c r="G427" s="6" t="str">
        <f>IF(ISNUMBER($K427),INDEX(Сборка!$K$2:$K$501,$K427),"")</f>
        <v/>
      </c>
      <c r="H427" s="6" t="str">
        <f t="shared" si="24"/>
        <v/>
      </c>
      <c r="I427" s="6" t="str">
        <f t="shared" si="25"/>
        <v/>
      </c>
      <c r="J427" s="6" t="str">
        <f t="shared" si="26"/>
        <v/>
      </c>
      <c r="K427" t="str">
        <f>IFERROR(MATCH(407,Сборка!$R$2:$R$501,0),"")</f>
        <v/>
      </c>
      <c r="L427" t="str">
        <f>IFERROR(IF(INDEX(Сборка!$Q$2:$Q$501,MATCH(407+1,Сборка!$R$2:$R$501,0))=1,INDEX(Сборка!$P$2:$P$501,MATCH(407+1,Сборка!$R$2:$R$501,0)),""),"")</f>
        <v/>
      </c>
      <c r="M427" t="str">
        <f t="shared" si="27"/>
        <v/>
      </c>
    </row>
    <row r="428" spans="1:13" hidden="1" x14ac:dyDescent="0.3">
      <c r="A428" t="str">
        <f>IF(ISNUMBER($K428),INDEX(Сборка!$O$2:$O$501,$K428),"")</f>
        <v/>
      </c>
      <c r="B428" t="str">
        <f>IF(ISNUMBER($K428),INDEX(Сборка!$C$2:$C$501,$K428),"")</f>
        <v/>
      </c>
      <c r="C428" s="5" t="str">
        <f>IF($L428&lt;&gt;"",INDEX(Сборка!$S$2:$S$501,MATCH($L428,Сборка!$P$2:$P$501,0)),IF(ISNUMBER($K428),INDEX(Сборка!$D$2:$D$501,$K428)&amp;IF(INDEX(Сборка!$I$2:$I$501,$K428)&lt;&gt;""," — "&amp;INDEX(Сборка!$I$2:$I$501,$K428),""),""))</f>
        <v/>
      </c>
      <c r="D428" t="str">
        <f>IF(ISNUMBER($K428),INDEX(Сборка!$E$2:$E$501,$K428),"")</f>
        <v/>
      </c>
      <c r="E428" t="str">
        <f>IF(ISNUMBER($K428),INDEX(Сборка!$G$2:$G$501,$K428),"")</f>
        <v/>
      </c>
      <c r="F428" s="6" t="str">
        <f>IF(ISNUMBER($K428),INDEX(Сборка!$J$2:$J$501,$K428),"")</f>
        <v/>
      </c>
      <c r="G428" s="6" t="str">
        <f>IF(ISNUMBER($K428),INDEX(Сборка!$K$2:$K$501,$K428),"")</f>
        <v/>
      </c>
      <c r="H428" s="6" t="str">
        <f t="shared" si="24"/>
        <v/>
      </c>
      <c r="I428" s="6" t="str">
        <f t="shared" si="25"/>
        <v/>
      </c>
      <c r="J428" s="6" t="str">
        <f t="shared" si="26"/>
        <v/>
      </c>
      <c r="K428" t="str">
        <f>IFERROR(MATCH(408,Сборка!$R$2:$R$501,0),"")</f>
        <v/>
      </c>
      <c r="L428" t="str">
        <f>IFERROR(IF(INDEX(Сборка!$Q$2:$Q$501,MATCH(408+1,Сборка!$R$2:$R$501,0))=1,INDEX(Сборка!$P$2:$P$501,MATCH(408+1,Сборка!$R$2:$R$501,0)),""),"")</f>
        <v/>
      </c>
      <c r="M428" t="str">
        <f t="shared" si="27"/>
        <v/>
      </c>
    </row>
    <row r="429" spans="1:13" hidden="1" x14ac:dyDescent="0.3">
      <c r="A429" t="str">
        <f>IF(ISNUMBER($K429),INDEX(Сборка!$O$2:$O$501,$K429),"")</f>
        <v/>
      </c>
      <c r="B429" t="str">
        <f>IF(ISNUMBER($K429),INDEX(Сборка!$C$2:$C$501,$K429),"")</f>
        <v/>
      </c>
      <c r="C429" s="5" t="str">
        <f>IF($L429&lt;&gt;"",INDEX(Сборка!$S$2:$S$501,MATCH($L429,Сборка!$P$2:$P$501,0)),IF(ISNUMBER($K429),INDEX(Сборка!$D$2:$D$501,$K429)&amp;IF(INDEX(Сборка!$I$2:$I$501,$K429)&lt;&gt;""," — "&amp;INDEX(Сборка!$I$2:$I$501,$K429),""),""))</f>
        <v/>
      </c>
      <c r="D429" t="str">
        <f>IF(ISNUMBER($K429),INDEX(Сборка!$E$2:$E$501,$K429),"")</f>
        <v/>
      </c>
      <c r="E429" t="str">
        <f>IF(ISNUMBER($K429),INDEX(Сборка!$G$2:$G$501,$K429),"")</f>
        <v/>
      </c>
      <c r="F429" s="6" t="str">
        <f>IF(ISNUMBER($K429),INDEX(Сборка!$J$2:$J$501,$K429),"")</f>
        <v/>
      </c>
      <c r="G429" s="6" t="str">
        <f>IF(ISNUMBER($K429),INDEX(Сборка!$K$2:$K$501,$K429),"")</f>
        <v/>
      </c>
      <c r="H429" s="6" t="str">
        <f t="shared" si="24"/>
        <v/>
      </c>
      <c r="I429" s="6" t="str">
        <f t="shared" si="25"/>
        <v/>
      </c>
      <c r="J429" s="6" t="str">
        <f t="shared" si="26"/>
        <v/>
      </c>
      <c r="K429" t="str">
        <f>IFERROR(MATCH(409,Сборка!$R$2:$R$501,0),"")</f>
        <v/>
      </c>
      <c r="L429" t="str">
        <f>IFERROR(IF(INDEX(Сборка!$Q$2:$Q$501,MATCH(409+1,Сборка!$R$2:$R$501,0))=1,INDEX(Сборка!$P$2:$P$501,MATCH(409+1,Сборка!$R$2:$R$501,0)),""),"")</f>
        <v/>
      </c>
      <c r="M429" t="str">
        <f t="shared" si="27"/>
        <v/>
      </c>
    </row>
    <row r="430" spans="1:13" hidden="1" x14ac:dyDescent="0.3">
      <c r="A430" t="str">
        <f>IF(ISNUMBER($K430),INDEX(Сборка!$O$2:$O$501,$K430),"")</f>
        <v/>
      </c>
      <c r="B430" t="str">
        <f>IF(ISNUMBER($K430),INDEX(Сборка!$C$2:$C$501,$K430),"")</f>
        <v/>
      </c>
      <c r="C430" s="5" t="str">
        <f>IF($L430&lt;&gt;"",INDEX(Сборка!$S$2:$S$501,MATCH($L430,Сборка!$P$2:$P$501,0)),IF(ISNUMBER($K430),INDEX(Сборка!$D$2:$D$501,$K430)&amp;IF(INDEX(Сборка!$I$2:$I$501,$K430)&lt;&gt;""," — "&amp;INDEX(Сборка!$I$2:$I$501,$K430),""),""))</f>
        <v/>
      </c>
      <c r="D430" t="str">
        <f>IF(ISNUMBER($K430),INDEX(Сборка!$E$2:$E$501,$K430),"")</f>
        <v/>
      </c>
      <c r="E430" t="str">
        <f>IF(ISNUMBER($K430),INDEX(Сборка!$G$2:$G$501,$K430),"")</f>
        <v/>
      </c>
      <c r="F430" s="6" t="str">
        <f>IF(ISNUMBER($K430),INDEX(Сборка!$J$2:$J$501,$K430),"")</f>
        <v/>
      </c>
      <c r="G430" s="6" t="str">
        <f>IF(ISNUMBER($K430),INDEX(Сборка!$K$2:$K$501,$K430),"")</f>
        <v/>
      </c>
      <c r="H430" s="6" t="str">
        <f t="shared" si="24"/>
        <v/>
      </c>
      <c r="I430" s="6" t="str">
        <f t="shared" si="25"/>
        <v/>
      </c>
      <c r="J430" s="6" t="str">
        <f t="shared" si="26"/>
        <v/>
      </c>
      <c r="K430" t="str">
        <f>IFERROR(MATCH(410,Сборка!$R$2:$R$501,0),"")</f>
        <v/>
      </c>
      <c r="L430" t="str">
        <f>IFERROR(IF(INDEX(Сборка!$Q$2:$Q$501,MATCH(410+1,Сборка!$R$2:$R$501,0))=1,INDEX(Сборка!$P$2:$P$501,MATCH(410+1,Сборка!$R$2:$R$501,0)),""),"")</f>
        <v/>
      </c>
      <c r="M430" t="str">
        <f t="shared" si="27"/>
        <v/>
      </c>
    </row>
    <row r="431" spans="1:13" hidden="1" x14ac:dyDescent="0.3">
      <c r="A431" t="str">
        <f>IF(ISNUMBER($K431),INDEX(Сборка!$O$2:$O$501,$K431),"")</f>
        <v/>
      </c>
      <c r="B431" t="str">
        <f>IF(ISNUMBER($K431),INDEX(Сборка!$C$2:$C$501,$K431),"")</f>
        <v/>
      </c>
      <c r="C431" s="5" t="str">
        <f>IF($L431&lt;&gt;"",INDEX(Сборка!$S$2:$S$501,MATCH($L431,Сборка!$P$2:$P$501,0)),IF(ISNUMBER($K431),INDEX(Сборка!$D$2:$D$501,$K431)&amp;IF(INDEX(Сборка!$I$2:$I$501,$K431)&lt;&gt;""," — "&amp;INDEX(Сборка!$I$2:$I$501,$K431),""),""))</f>
        <v/>
      </c>
      <c r="D431" t="str">
        <f>IF(ISNUMBER($K431),INDEX(Сборка!$E$2:$E$501,$K431),"")</f>
        <v/>
      </c>
      <c r="E431" t="str">
        <f>IF(ISNUMBER($K431),INDEX(Сборка!$G$2:$G$501,$K431),"")</f>
        <v/>
      </c>
      <c r="F431" s="6" t="str">
        <f>IF(ISNUMBER($K431),INDEX(Сборка!$J$2:$J$501,$K431),"")</f>
        <v/>
      </c>
      <c r="G431" s="6" t="str">
        <f>IF(ISNUMBER($K431),INDEX(Сборка!$K$2:$K$501,$K431),"")</f>
        <v/>
      </c>
      <c r="H431" s="6" t="str">
        <f t="shared" si="24"/>
        <v/>
      </c>
      <c r="I431" s="6" t="str">
        <f t="shared" si="25"/>
        <v/>
      </c>
      <c r="J431" s="6" t="str">
        <f t="shared" si="26"/>
        <v/>
      </c>
      <c r="K431" t="str">
        <f>IFERROR(MATCH(411,Сборка!$R$2:$R$501,0),"")</f>
        <v/>
      </c>
      <c r="L431" t="str">
        <f>IFERROR(IF(INDEX(Сборка!$Q$2:$Q$501,MATCH(411+1,Сборка!$R$2:$R$501,0))=1,INDEX(Сборка!$P$2:$P$501,MATCH(411+1,Сборка!$R$2:$R$501,0)),""),"")</f>
        <v/>
      </c>
      <c r="M431" t="str">
        <f t="shared" si="27"/>
        <v/>
      </c>
    </row>
    <row r="432" spans="1:13" hidden="1" x14ac:dyDescent="0.3">
      <c r="A432" t="str">
        <f>IF(ISNUMBER($K432),INDEX(Сборка!$O$2:$O$501,$K432),"")</f>
        <v/>
      </c>
      <c r="B432" t="str">
        <f>IF(ISNUMBER($K432),INDEX(Сборка!$C$2:$C$501,$K432),"")</f>
        <v/>
      </c>
      <c r="C432" s="5" t="str">
        <f>IF($L432&lt;&gt;"",INDEX(Сборка!$S$2:$S$501,MATCH($L432,Сборка!$P$2:$P$501,0)),IF(ISNUMBER($K432),INDEX(Сборка!$D$2:$D$501,$K432)&amp;IF(INDEX(Сборка!$I$2:$I$501,$K432)&lt;&gt;""," — "&amp;INDEX(Сборка!$I$2:$I$501,$K432),""),""))</f>
        <v/>
      </c>
      <c r="D432" t="str">
        <f>IF(ISNUMBER($K432),INDEX(Сборка!$E$2:$E$501,$K432),"")</f>
        <v/>
      </c>
      <c r="E432" t="str">
        <f>IF(ISNUMBER($K432),INDEX(Сборка!$G$2:$G$501,$K432),"")</f>
        <v/>
      </c>
      <c r="F432" s="6" t="str">
        <f>IF(ISNUMBER($K432),INDEX(Сборка!$J$2:$J$501,$K432),"")</f>
        <v/>
      </c>
      <c r="G432" s="6" t="str">
        <f>IF(ISNUMBER($K432),INDEX(Сборка!$K$2:$K$501,$K432),"")</f>
        <v/>
      </c>
      <c r="H432" s="6" t="str">
        <f t="shared" si="24"/>
        <v/>
      </c>
      <c r="I432" s="6" t="str">
        <f t="shared" si="25"/>
        <v/>
      </c>
      <c r="J432" s="6" t="str">
        <f t="shared" si="26"/>
        <v/>
      </c>
      <c r="K432" t="str">
        <f>IFERROR(MATCH(412,Сборка!$R$2:$R$501,0),"")</f>
        <v/>
      </c>
      <c r="L432" t="str">
        <f>IFERROR(IF(INDEX(Сборка!$Q$2:$Q$501,MATCH(412+1,Сборка!$R$2:$R$501,0))=1,INDEX(Сборка!$P$2:$P$501,MATCH(412+1,Сборка!$R$2:$R$501,0)),""),"")</f>
        <v/>
      </c>
      <c r="M432" t="str">
        <f t="shared" si="27"/>
        <v/>
      </c>
    </row>
    <row r="433" spans="1:13" hidden="1" x14ac:dyDescent="0.3">
      <c r="A433" t="str">
        <f>IF(ISNUMBER($K433),INDEX(Сборка!$O$2:$O$501,$K433),"")</f>
        <v/>
      </c>
      <c r="B433" t="str">
        <f>IF(ISNUMBER($K433),INDEX(Сборка!$C$2:$C$501,$K433),"")</f>
        <v/>
      </c>
      <c r="C433" s="5" t="str">
        <f>IF($L433&lt;&gt;"",INDEX(Сборка!$S$2:$S$501,MATCH($L433,Сборка!$P$2:$P$501,0)),IF(ISNUMBER($K433),INDEX(Сборка!$D$2:$D$501,$K433)&amp;IF(INDEX(Сборка!$I$2:$I$501,$K433)&lt;&gt;""," — "&amp;INDEX(Сборка!$I$2:$I$501,$K433),""),""))</f>
        <v/>
      </c>
      <c r="D433" t="str">
        <f>IF(ISNUMBER($K433),INDEX(Сборка!$E$2:$E$501,$K433),"")</f>
        <v/>
      </c>
      <c r="E433" t="str">
        <f>IF(ISNUMBER($K433),INDEX(Сборка!$G$2:$G$501,$K433),"")</f>
        <v/>
      </c>
      <c r="F433" s="6" t="str">
        <f>IF(ISNUMBER($K433),INDEX(Сборка!$J$2:$J$501,$K433),"")</f>
        <v/>
      </c>
      <c r="G433" s="6" t="str">
        <f>IF(ISNUMBER($K433),INDEX(Сборка!$K$2:$K$501,$K433),"")</f>
        <v/>
      </c>
      <c r="H433" s="6" t="str">
        <f t="shared" si="24"/>
        <v/>
      </c>
      <c r="I433" s="6" t="str">
        <f t="shared" si="25"/>
        <v/>
      </c>
      <c r="J433" s="6" t="str">
        <f t="shared" si="26"/>
        <v/>
      </c>
      <c r="K433" t="str">
        <f>IFERROR(MATCH(413,Сборка!$R$2:$R$501,0),"")</f>
        <v/>
      </c>
      <c r="L433" t="str">
        <f>IFERROR(IF(INDEX(Сборка!$Q$2:$Q$501,MATCH(413+1,Сборка!$R$2:$R$501,0))=1,INDEX(Сборка!$P$2:$P$501,MATCH(413+1,Сборка!$R$2:$R$501,0)),""),"")</f>
        <v/>
      </c>
      <c r="M433" t="str">
        <f t="shared" si="27"/>
        <v/>
      </c>
    </row>
    <row r="434" spans="1:13" hidden="1" x14ac:dyDescent="0.3">
      <c r="A434" t="str">
        <f>IF(ISNUMBER($K434),INDEX(Сборка!$O$2:$O$501,$K434),"")</f>
        <v/>
      </c>
      <c r="B434" t="str">
        <f>IF(ISNUMBER($K434),INDEX(Сборка!$C$2:$C$501,$K434),"")</f>
        <v/>
      </c>
      <c r="C434" s="5" t="str">
        <f>IF($L434&lt;&gt;"",INDEX(Сборка!$S$2:$S$501,MATCH($L434,Сборка!$P$2:$P$501,0)),IF(ISNUMBER($K434),INDEX(Сборка!$D$2:$D$501,$K434)&amp;IF(INDEX(Сборка!$I$2:$I$501,$K434)&lt;&gt;""," — "&amp;INDEX(Сборка!$I$2:$I$501,$K434),""),""))</f>
        <v/>
      </c>
      <c r="D434" t="str">
        <f>IF(ISNUMBER($K434),INDEX(Сборка!$E$2:$E$501,$K434),"")</f>
        <v/>
      </c>
      <c r="E434" t="str">
        <f>IF(ISNUMBER($K434),INDEX(Сборка!$G$2:$G$501,$K434),"")</f>
        <v/>
      </c>
      <c r="F434" s="6" t="str">
        <f>IF(ISNUMBER($K434),INDEX(Сборка!$J$2:$J$501,$K434),"")</f>
        <v/>
      </c>
      <c r="G434" s="6" t="str">
        <f>IF(ISNUMBER($K434),INDEX(Сборка!$K$2:$K$501,$K434),"")</f>
        <v/>
      </c>
      <c r="H434" s="6" t="str">
        <f t="shared" si="24"/>
        <v/>
      </c>
      <c r="I434" s="6" t="str">
        <f t="shared" si="25"/>
        <v/>
      </c>
      <c r="J434" s="6" t="str">
        <f t="shared" si="26"/>
        <v/>
      </c>
      <c r="K434" t="str">
        <f>IFERROR(MATCH(414,Сборка!$R$2:$R$501,0),"")</f>
        <v/>
      </c>
      <c r="L434" t="str">
        <f>IFERROR(IF(INDEX(Сборка!$Q$2:$Q$501,MATCH(414+1,Сборка!$R$2:$R$501,0))=1,INDEX(Сборка!$P$2:$P$501,MATCH(414+1,Сборка!$R$2:$R$501,0)),""),"")</f>
        <v/>
      </c>
      <c r="M434" t="str">
        <f t="shared" si="27"/>
        <v/>
      </c>
    </row>
    <row r="435" spans="1:13" hidden="1" x14ac:dyDescent="0.3">
      <c r="A435" t="str">
        <f>IF(ISNUMBER($K435),INDEX(Сборка!$O$2:$O$501,$K435),"")</f>
        <v/>
      </c>
      <c r="B435" t="str">
        <f>IF(ISNUMBER($K435),INDEX(Сборка!$C$2:$C$501,$K435),"")</f>
        <v/>
      </c>
      <c r="C435" s="5" t="str">
        <f>IF($L435&lt;&gt;"",INDEX(Сборка!$S$2:$S$501,MATCH($L435,Сборка!$P$2:$P$501,0)),IF(ISNUMBER($K435),INDEX(Сборка!$D$2:$D$501,$K435)&amp;IF(INDEX(Сборка!$I$2:$I$501,$K435)&lt;&gt;""," — "&amp;INDEX(Сборка!$I$2:$I$501,$K435),""),""))</f>
        <v/>
      </c>
      <c r="D435" t="str">
        <f>IF(ISNUMBER($K435),INDEX(Сборка!$E$2:$E$501,$K435),"")</f>
        <v/>
      </c>
      <c r="E435" t="str">
        <f>IF(ISNUMBER($K435),INDEX(Сборка!$G$2:$G$501,$K435),"")</f>
        <v/>
      </c>
      <c r="F435" s="6" t="str">
        <f>IF(ISNUMBER($K435),INDEX(Сборка!$J$2:$J$501,$K435),"")</f>
        <v/>
      </c>
      <c r="G435" s="6" t="str">
        <f>IF(ISNUMBER($K435),INDEX(Сборка!$K$2:$K$501,$K435),"")</f>
        <v/>
      </c>
      <c r="H435" s="6" t="str">
        <f t="shared" si="24"/>
        <v/>
      </c>
      <c r="I435" s="6" t="str">
        <f t="shared" si="25"/>
        <v/>
      </c>
      <c r="J435" s="6" t="str">
        <f t="shared" si="26"/>
        <v/>
      </c>
      <c r="K435" t="str">
        <f>IFERROR(MATCH(415,Сборка!$R$2:$R$501,0),"")</f>
        <v/>
      </c>
      <c r="L435" t="str">
        <f>IFERROR(IF(INDEX(Сборка!$Q$2:$Q$501,MATCH(415+1,Сборка!$R$2:$R$501,0))=1,INDEX(Сборка!$P$2:$P$501,MATCH(415+1,Сборка!$R$2:$R$501,0)),""),"")</f>
        <v/>
      </c>
      <c r="M435" t="str">
        <f t="shared" si="27"/>
        <v/>
      </c>
    </row>
    <row r="436" spans="1:13" hidden="1" x14ac:dyDescent="0.3">
      <c r="A436" t="str">
        <f>IF(ISNUMBER($K436),INDEX(Сборка!$O$2:$O$501,$K436),"")</f>
        <v/>
      </c>
      <c r="B436" t="str">
        <f>IF(ISNUMBER($K436),INDEX(Сборка!$C$2:$C$501,$K436),"")</f>
        <v/>
      </c>
      <c r="C436" s="5" t="str">
        <f>IF($L436&lt;&gt;"",INDEX(Сборка!$S$2:$S$501,MATCH($L436,Сборка!$P$2:$P$501,0)),IF(ISNUMBER($K436),INDEX(Сборка!$D$2:$D$501,$K436)&amp;IF(INDEX(Сборка!$I$2:$I$501,$K436)&lt;&gt;""," — "&amp;INDEX(Сборка!$I$2:$I$501,$K436),""),""))</f>
        <v/>
      </c>
      <c r="D436" t="str">
        <f>IF(ISNUMBER($K436),INDEX(Сборка!$E$2:$E$501,$K436),"")</f>
        <v/>
      </c>
      <c r="E436" t="str">
        <f>IF(ISNUMBER($K436),INDEX(Сборка!$G$2:$G$501,$K436),"")</f>
        <v/>
      </c>
      <c r="F436" s="6" t="str">
        <f>IF(ISNUMBER($K436),INDEX(Сборка!$J$2:$J$501,$K436),"")</f>
        <v/>
      </c>
      <c r="G436" s="6" t="str">
        <f>IF(ISNUMBER($K436),INDEX(Сборка!$K$2:$K$501,$K436),"")</f>
        <v/>
      </c>
      <c r="H436" s="6" t="str">
        <f t="shared" si="24"/>
        <v/>
      </c>
      <c r="I436" s="6" t="str">
        <f t="shared" si="25"/>
        <v/>
      </c>
      <c r="J436" s="6" t="str">
        <f t="shared" si="26"/>
        <v/>
      </c>
      <c r="K436" t="str">
        <f>IFERROR(MATCH(416,Сборка!$R$2:$R$501,0),"")</f>
        <v/>
      </c>
      <c r="L436" t="str">
        <f>IFERROR(IF(INDEX(Сборка!$Q$2:$Q$501,MATCH(416+1,Сборка!$R$2:$R$501,0))=1,INDEX(Сборка!$P$2:$P$501,MATCH(416+1,Сборка!$R$2:$R$501,0)),""),"")</f>
        <v/>
      </c>
      <c r="M436" t="str">
        <f t="shared" si="27"/>
        <v/>
      </c>
    </row>
    <row r="437" spans="1:13" hidden="1" x14ac:dyDescent="0.3">
      <c r="A437" t="str">
        <f>IF(ISNUMBER($K437),INDEX(Сборка!$O$2:$O$501,$K437),"")</f>
        <v/>
      </c>
      <c r="B437" t="str">
        <f>IF(ISNUMBER($K437),INDEX(Сборка!$C$2:$C$501,$K437),"")</f>
        <v/>
      </c>
      <c r="C437" s="5" t="str">
        <f>IF($L437&lt;&gt;"",INDEX(Сборка!$S$2:$S$501,MATCH($L437,Сборка!$P$2:$P$501,0)),IF(ISNUMBER($K437),INDEX(Сборка!$D$2:$D$501,$K437)&amp;IF(INDEX(Сборка!$I$2:$I$501,$K437)&lt;&gt;""," — "&amp;INDEX(Сборка!$I$2:$I$501,$K437),""),""))</f>
        <v/>
      </c>
      <c r="D437" t="str">
        <f>IF(ISNUMBER($K437),INDEX(Сборка!$E$2:$E$501,$K437),"")</f>
        <v/>
      </c>
      <c r="E437" t="str">
        <f>IF(ISNUMBER($K437),INDEX(Сборка!$G$2:$G$501,$K437),"")</f>
        <v/>
      </c>
      <c r="F437" s="6" t="str">
        <f>IF(ISNUMBER($K437),INDEX(Сборка!$J$2:$J$501,$K437),"")</f>
        <v/>
      </c>
      <c r="G437" s="6" t="str">
        <f>IF(ISNUMBER($K437),INDEX(Сборка!$K$2:$K$501,$K437),"")</f>
        <v/>
      </c>
      <c r="H437" s="6" t="str">
        <f t="shared" si="24"/>
        <v/>
      </c>
      <c r="I437" s="6" t="str">
        <f t="shared" si="25"/>
        <v/>
      </c>
      <c r="J437" s="6" t="str">
        <f t="shared" si="26"/>
        <v/>
      </c>
      <c r="K437" t="str">
        <f>IFERROR(MATCH(417,Сборка!$R$2:$R$501,0),"")</f>
        <v/>
      </c>
      <c r="L437" t="str">
        <f>IFERROR(IF(INDEX(Сборка!$Q$2:$Q$501,MATCH(417+1,Сборка!$R$2:$R$501,0))=1,INDEX(Сборка!$P$2:$P$501,MATCH(417+1,Сборка!$R$2:$R$501,0)),""),"")</f>
        <v/>
      </c>
      <c r="M437" t="str">
        <f t="shared" si="27"/>
        <v/>
      </c>
    </row>
    <row r="438" spans="1:13" hidden="1" x14ac:dyDescent="0.3">
      <c r="A438" t="str">
        <f>IF(ISNUMBER($K438),INDEX(Сборка!$O$2:$O$501,$K438),"")</f>
        <v/>
      </c>
      <c r="B438" t="str">
        <f>IF(ISNUMBER($K438),INDEX(Сборка!$C$2:$C$501,$K438),"")</f>
        <v/>
      </c>
      <c r="C438" s="5" t="str">
        <f>IF($L438&lt;&gt;"",INDEX(Сборка!$S$2:$S$501,MATCH($L438,Сборка!$P$2:$P$501,0)),IF(ISNUMBER($K438),INDEX(Сборка!$D$2:$D$501,$K438)&amp;IF(INDEX(Сборка!$I$2:$I$501,$K438)&lt;&gt;""," — "&amp;INDEX(Сборка!$I$2:$I$501,$K438),""),""))</f>
        <v/>
      </c>
      <c r="D438" t="str">
        <f>IF(ISNUMBER($K438),INDEX(Сборка!$E$2:$E$501,$K438),"")</f>
        <v/>
      </c>
      <c r="E438" t="str">
        <f>IF(ISNUMBER($K438),INDEX(Сборка!$G$2:$G$501,$K438),"")</f>
        <v/>
      </c>
      <c r="F438" s="6" t="str">
        <f>IF(ISNUMBER($K438),INDEX(Сборка!$J$2:$J$501,$K438),"")</f>
        <v/>
      </c>
      <c r="G438" s="6" t="str">
        <f>IF(ISNUMBER($K438),INDEX(Сборка!$K$2:$K$501,$K438),"")</f>
        <v/>
      </c>
      <c r="H438" s="6" t="str">
        <f t="shared" si="24"/>
        <v/>
      </c>
      <c r="I438" s="6" t="str">
        <f t="shared" si="25"/>
        <v/>
      </c>
      <c r="J438" s="6" t="str">
        <f t="shared" si="26"/>
        <v/>
      </c>
      <c r="K438" t="str">
        <f>IFERROR(MATCH(418,Сборка!$R$2:$R$501,0),"")</f>
        <v/>
      </c>
      <c r="L438" t="str">
        <f>IFERROR(IF(INDEX(Сборка!$Q$2:$Q$501,MATCH(418+1,Сборка!$R$2:$R$501,0))=1,INDEX(Сборка!$P$2:$P$501,MATCH(418+1,Сборка!$R$2:$R$501,0)),""),"")</f>
        <v/>
      </c>
      <c r="M438" t="str">
        <f t="shared" si="27"/>
        <v/>
      </c>
    </row>
    <row r="439" spans="1:13" hidden="1" x14ac:dyDescent="0.3">
      <c r="A439" t="str">
        <f>IF(ISNUMBER($K439),INDEX(Сборка!$O$2:$O$501,$K439),"")</f>
        <v/>
      </c>
      <c r="B439" t="str">
        <f>IF(ISNUMBER($K439),INDEX(Сборка!$C$2:$C$501,$K439),"")</f>
        <v/>
      </c>
      <c r="C439" s="5" t="str">
        <f>IF($L439&lt;&gt;"",INDEX(Сборка!$S$2:$S$501,MATCH($L439,Сборка!$P$2:$P$501,0)),IF(ISNUMBER($K439),INDEX(Сборка!$D$2:$D$501,$K439)&amp;IF(INDEX(Сборка!$I$2:$I$501,$K439)&lt;&gt;""," — "&amp;INDEX(Сборка!$I$2:$I$501,$K439),""),""))</f>
        <v/>
      </c>
      <c r="D439" t="str">
        <f>IF(ISNUMBER($K439),INDEX(Сборка!$E$2:$E$501,$K439),"")</f>
        <v/>
      </c>
      <c r="E439" t="str">
        <f>IF(ISNUMBER($K439),INDEX(Сборка!$G$2:$G$501,$K439),"")</f>
        <v/>
      </c>
      <c r="F439" s="6" t="str">
        <f>IF(ISNUMBER($K439),INDEX(Сборка!$J$2:$J$501,$K439),"")</f>
        <v/>
      </c>
      <c r="G439" s="6" t="str">
        <f>IF(ISNUMBER($K439),INDEX(Сборка!$K$2:$K$501,$K439),"")</f>
        <v/>
      </c>
      <c r="H439" s="6" t="str">
        <f t="shared" si="24"/>
        <v/>
      </c>
      <c r="I439" s="6" t="str">
        <f t="shared" si="25"/>
        <v/>
      </c>
      <c r="J439" s="6" t="str">
        <f t="shared" si="26"/>
        <v/>
      </c>
      <c r="K439" t="str">
        <f>IFERROR(MATCH(419,Сборка!$R$2:$R$501,0),"")</f>
        <v/>
      </c>
      <c r="L439" t="str">
        <f>IFERROR(IF(INDEX(Сборка!$Q$2:$Q$501,MATCH(419+1,Сборка!$R$2:$R$501,0))=1,INDEX(Сборка!$P$2:$P$501,MATCH(419+1,Сборка!$R$2:$R$501,0)),""),"")</f>
        <v/>
      </c>
      <c r="M439" t="str">
        <f t="shared" si="27"/>
        <v/>
      </c>
    </row>
    <row r="440" spans="1:13" hidden="1" x14ac:dyDescent="0.3">
      <c r="A440" t="str">
        <f>IF(ISNUMBER($K440),INDEX(Сборка!$O$2:$O$501,$K440),"")</f>
        <v/>
      </c>
      <c r="B440" t="str">
        <f>IF(ISNUMBER($K440),INDEX(Сборка!$C$2:$C$501,$K440),"")</f>
        <v/>
      </c>
      <c r="C440" s="5" t="str">
        <f>IF($L440&lt;&gt;"",INDEX(Сборка!$S$2:$S$501,MATCH($L440,Сборка!$P$2:$P$501,0)),IF(ISNUMBER($K440),INDEX(Сборка!$D$2:$D$501,$K440)&amp;IF(INDEX(Сборка!$I$2:$I$501,$K440)&lt;&gt;""," — "&amp;INDEX(Сборка!$I$2:$I$501,$K440),""),""))</f>
        <v/>
      </c>
      <c r="D440" t="str">
        <f>IF(ISNUMBER($K440),INDEX(Сборка!$E$2:$E$501,$K440),"")</f>
        <v/>
      </c>
      <c r="E440" t="str">
        <f>IF(ISNUMBER($K440),INDEX(Сборка!$G$2:$G$501,$K440),"")</f>
        <v/>
      </c>
      <c r="F440" s="6" t="str">
        <f>IF(ISNUMBER($K440),INDEX(Сборка!$J$2:$J$501,$K440),"")</f>
        <v/>
      </c>
      <c r="G440" s="6" t="str">
        <f>IF(ISNUMBER($K440),INDEX(Сборка!$K$2:$K$501,$K440),"")</f>
        <v/>
      </c>
      <c r="H440" s="6" t="str">
        <f t="shared" si="24"/>
        <v/>
      </c>
      <c r="I440" s="6" t="str">
        <f t="shared" si="25"/>
        <v/>
      </c>
      <c r="J440" s="6" t="str">
        <f t="shared" si="26"/>
        <v/>
      </c>
      <c r="K440" t="str">
        <f>IFERROR(MATCH(420,Сборка!$R$2:$R$501,0),"")</f>
        <v/>
      </c>
      <c r="L440" t="str">
        <f>IFERROR(IF(INDEX(Сборка!$Q$2:$Q$501,MATCH(420+1,Сборка!$R$2:$R$501,0))=1,INDEX(Сборка!$P$2:$P$501,MATCH(420+1,Сборка!$R$2:$R$501,0)),""),"")</f>
        <v/>
      </c>
      <c r="M440" t="str">
        <f t="shared" si="27"/>
        <v/>
      </c>
    </row>
    <row r="441" spans="1:13" hidden="1" x14ac:dyDescent="0.3">
      <c r="A441" t="str">
        <f>IF(ISNUMBER($K441),INDEX(Сборка!$O$2:$O$501,$K441),"")</f>
        <v/>
      </c>
      <c r="B441" t="str">
        <f>IF(ISNUMBER($K441),INDEX(Сборка!$C$2:$C$501,$K441),"")</f>
        <v/>
      </c>
      <c r="C441" s="5" t="str">
        <f>IF($L441&lt;&gt;"",INDEX(Сборка!$S$2:$S$501,MATCH($L441,Сборка!$P$2:$P$501,0)),IF(ISNUMBER($K441),INDEX(Сборка!$D$2:$D$501,$K441)&amp;IF(INDEX(Сборка!$I$2:$I$501,$K441)&lt;&gt;""," — "&amp;INDEX(Сборка!$I$2:$I$501,$K441),""),""))</f>
        <v/>
      </c>
      <c r="D441" t="str">
        <f>IF(ISNUMBER($K441),INDEX(Сборка!$E$2:$E$501,$K441),"")</f>
        <v/>
      </c>
      <c r="E441" t="str">
        <f>IF(ISNUMBER($K441),INDEX(Сборка!$G$2:$G$501,$K441),"")</f>
        <v/>
      </c>
      <c r="F441" s="6" t="str">
        <f>IF(ISNUMBER($K441),INDEX(Сборка!$J$2:$J$501,$K441),"")</f>
        <v/>
      </c>
      <c r="G441" s="6" t="str">
        <f>IF(ISNUMBER($K441),INDEX(Сборка!$K$2:$K$501,$K441),"")</f>
        <v/>
      </c>
      <c r="H441" s="6" t="str">
        <f t="shared" si="24"/>
        <v/>
      </c>
      <c r="I441" s="6" t="str">
        <f t="shared" si="25"/>
        <v/>
      </c>
      <c r="J441" s="6" t="str">
        <f t="shared" si="26"/>
        <v/>
      </c>
      <c r="K441" t="str">
        <f>IFERROR(MATCH(421,Сборка!$R$2:$R$501,0),"")</f>
        <v/>
      </c>
      <c r="L441" t="str">
        <f>IFERROR(IF(INDEX(Сборка!$Q$2:$Q$501,MATCH(421+1,Сборка!$R$2:$R$501,0))=1,INDEX(Сборка!$P$2:$P$501,MATCH(421+1,Сборка!$R$2:$R$501,0)),""),"")</f>
        <v/>
      </c>
      <c r="M441" t="str">
        <f t="shared" si="27"/>
        <v/>
      </c>
    </row>
    <row r="442" spans="1:13" hidden="1" x14ac:dyDescent="0.3">
      <c r="A442" t="str">
        <f>IF(ISNUMBER($K442),INDEX(Сборка!$O$2:$O$501,$K442),"")</f>
        <v/>
      </c>
      <c r="B442" t="str">
        <f>IF(ISNUMBER($K442),INDEX(Сборка!$C$2:$C$501,$K442),"")</f>
        <v/>
      </c>
      <c r="C442" s="5" t="str">
        <f>IF($L442&lt;&gt;"",INDEX(Сборка!$S$2:$S$501,MATCH($L442,Сборка!$P$2:$P$501,0)),IF(ISNUMBER($K442),INDEX(Сборка!$D$2:$D$501,$K442)&amp;IF(INDEX(Сборка!$I$2:$I$501,$K442)&lt;&gt;""," — "&amp;INDEX(Сборка!$I$2:$I$501,$K442),""),""))</f>
        <v/>
      </c>
      <c r="D442" t="str">
        <f>IF(ISNUMBER($K442),INDEX(Сборка!$E$2:$E$501,$K442),"")</f>
        <v/>
      </c>
      <c r="E442" t="str">
        <f>IF(ISNUMBER($K442),INDEX(Сборка!$G$2:$G$501,$K442),"")</f>
        <v/>
      </c>
      <c r="F442" s="6" t="str">
        <f>IF(ISNUMBER($K442),INDEX(Сборка!$J$2:$J$501,$K442),"")</f>
        <v/>
      </c>
      <c r="G442" s="6" t="str">
        <f>IF(ISNUMBER($K442),INDEX(Сборка!$K$2:$K$501,$K442),"")</f>
        <v/>
      </c>
      <c r="H442" s="6" t="str">
        <f t="shared" si="24"/>
        <v/>
      </c>
      <c r="I442" s="6" t="str">
        <f t="shared" si="25"/>
        <v/>
      </c>
      <c r="J442" s="6" t="str">
        <f t="shared" si="26"/>
        <v/>
      </c>
      <c r="K442" t="str">
        <f>IFERROR(MATCH(422,Сборка!$R$2:$R$501,0),"")</f>
        <v/>
      </c>
      <c r="L442" t="str">
        <f>IFERROR(IF(INDEX(Сборка!$Q$2:$Q$501,MATCH(422+1,Сборка!$R$2:$R$501,0))=1,INDEX(Сборка!$P$2:$P$501,MATCH(422+1,Сборка!$R$2:$R$501,0)),""),"")</f>
        <v/>
      </c>
      <c r="M442" t="str">
        <f t="shared" si="27"/>
        <v/>
      </c>
    </row>
    <row r="443" spans="1:13" hidden="1" x14ac:dyDescent="0.3">
      <c r="A443" t="str">
        <f>IF(ISNUMBER($K443),INDEX(Сборка!$O$2:$O$501,$K443),"")</f>
        <v/>
      </c>
      <c r="B443" t="str">
        <f>IF(ISNUMBER($K443),INDEX(Сборка!$C$2:$C$501,$K443),"")</f>
        <v/>
      </c>
      <c r="C443" s="5" t="str">
        <f>IF($L443&lt;&gt;"",INDEX(Сборка!$S$2:$S$501,MATCH($L443,Сборка!$P$2:$P$501,0)),IF(ISNUMBER($K443),INDEX(Сборка!$D$2:$D$501,$K443)&amp;IF(INDEX(Сборка!$I$2:$I$501,$K443)&lt;&gt;""," — "&amp;INDEX(Сборка!$I$2:$I$501,$K443),""),""))</f>
        <v/>
      </c>
      <c r="D443" t="str">
        <f>IF(ISNUMBER($K443),INDEX(Сборка!$E$2:$E$501,$K443),"")</f>
        <v/>
      </c>
      <c r="E443" t="str">
        <f>IF(ISNUMBER($K443),INDEX(Сборка!$G$2:$G$501,$K443),"")</f>
        <v/>
      </c>
      <c r="F443" s="6" t="str">
        <f>IF(ISNUMBER($K443),INDEX(Сборка!$J$2:$J$501,$K443),"")</f>
        <v/>
      </c>
      <c r="G443" s="6" t="str">
        <f>IF(ISNUMBER($K443),INDEX(Сборка!$K$2:$K$501,$K443),"")</f>
        <v/>
      </c>
      <c r="H443" s="6" t="str">
        <f t="shared" si="24"/>
        <v/>
      </c>
      <c r="I443" s="6" t="str">
        <f t="shared" si="25"/>
        <v/>
      </c>
      <c r="J443" s="6" t="str">
        <f t="shared" si="26"/>
        <v/>
      </c>
      <c r="K443" t="str">
        <f>IFERROR(MATCH(423,Сборка!$R$2:$R$501,0),"")</f>
        <v/>
      </c>
      <c r="L443" t="str">
        <f>IFERROR(IF(INDEX(Сборка!$Q$2:$Q$501,MATCH(423+1,Сборка!$R$2:$R$501,0))=1,INDEX(Сборка!$P$2:$P$501,MATCH(423+1,Сборка!$R$2:$R$501,0)),""),"")</f>
        <v/>
      </c>
      <c r="M443" t="str">
        <f t="shared" si="27"/>
        <v/>
      </c>
    </row>
    <row r="444" spans="1:13" hidden="1" x14ac:dyDescent="0.3">
      <c r="A444" t="str">
        <f>IF(ISNUMBER($K444),INDEX(Сборка!$O$2:$O$501,$K444),"")</f>
        <v/>
      </c>
      <c r="B444" t="str">
        <f>IF(ISNUMBER($K444),INDEX(Сборка!$C$2:$C$501,$K444),"")</f>
        <v/>
      </c>
      <c r="C444" s="5" t="str">
        <f>IF($L444&lt;&gt;"",INDEX(Сборка!$S$2:$S$501,MATCH($L444,Сборка!$P$2:$P$501,0)),IF(ISNUMBER($K444),INDEX(Сборка!$D$2:$D$501,$K444)&amp;IF(INDEX(Сборка!$I$2:$I$501,$K444)&lt;&gt;""," — "&amp;INDEX(Сборка!$I$2:$I$501,$K444),""),""))</f>
        <v/>
      </c>
      <c r="D444" t="str">
        <f>IF(ISNUMBER($K444),INDEX(Сборка!$E$2:$E$501,$K444),"")</f>
        <v/>
      </c>
      <c r="E444" t="str">
        <f>IF(ISNUMBER($K444),INDEX(Сборка!$G$2:$G$501,$K444),"")</f>
        <v/>
      </c>
      <c r="F444" s="6" t="str">
        <f>IF(ISNUMBER($K444),INDEX(Сборка!$J$2:$J$501,$K444),"")</f>
        <v/>
      </c>
      <c r="G444" s="6" t="str">
        <f>IF(ISNUMBER($K444),INDEX(Сборка!$K$2:$K$501,$K444),"")</f>
        <v/>
      </c>
      <c r="H444" s="6" t="str">
        <f t="shared" si="24"/>
        <v/>
      </c>
      <c r="I444" s="6" t="str">
        <f t="shared" si="25"/>
        <v/>
      </c>
      <c r="J444" s="6" t="str">
        <f t="shared" si="26"/>
        <v/>
      </c>
      <c r="K444" t="str">
        <f>IFERROR(MATCH(424,Сборка!$R$2:$R$501,0),"")</f>
        <v/>
      </c>
      <c r="L444" t="str">
        <f>IFERROR(IF(INDEX(Сборка!$Q$2:$Q$501,MATCH(424+1,Сборка!$R$2:$R$501,0))=1,INDEX(Сборка!$P$2:$P$501,MATCH(424+1,Сборка!$R$2:$R$501,0)),""),"")</f>
        <v/>
      </c>
      <c r="M444" t="str">
        <f t="shared" si="27"/>
        <v/>
      </c>
    </row>
    <row r="445" spans="1:13" hidden="1" x14ac:dyDescent="0.3">
      <c r="A445" t="str">
        <f>IF(ISNUMBER($K445),INDEX(Сборка!$O$2:$O$501,$K445),"")</f>
        <v/>
      </c>
      <c r="B445" t="str">
        <f>IF(ISNUMBER($K445),INDEX(Сборка!$C$2:$C$501,$K445),"")</f>
        <v/>
      </c>
      <c r="C445" s="5" t="str">
        <f>IF($L445&lt;&gt;"",INDEX(Сборка!$S$2:$S$501,MATCH($L445,Сборка!$P$2:$P$501,0)),IF(ISNUMBER($K445),INDEX(Сборка!$D$2:$D$501,$K445)&amp;IF(INDEX(Сборка!$I$2:$I$501,$K445)&lt;&gt;""," — "&amp;INDEX(Сборка!$I$2:$I$501,$K445),""),""))</f>
        <v/>
      </c>
      <c r="D445" t="str">
        <f>IF(ISNUMBER($K445),INDEX(Сборка!$E$2:$E$501,$K445),"")</f>
        <v/>
      </c>
      <c r="E445" t="str">
        <f>IF(ISNUMBER($K445),INDEX(Сборка!$G$2:$G$501,$K445),"")</f>
        <v/>
      </c>
      <c r="F445" s="6" t="str">
        <f>IF(ISNUMBER($K445),INDEX(Сборка!$J$2:$J$501,$K445),"")</f>
        <v/>
      </c>
      <c r="G445" s="6" t="str">
        <f>IF(ISNUMBER($K445),INDEX(Сборка!$K$2:$K$501,$K445),"")</f>
        <v/>
      </c>
      <c r="H445" s="6" t="str">
        <f t="shared" si="24"/>
        <v/>
      </c>
      <c r="I445" s="6" t="str">
        <f t="shared" si="25"/>
        <v/>
      </c>
      <c r="J445" s="6" t="str">
        <f t="shared" si="26"/>
        <v/>
      </c>
      <c r="K445" t="str">
        <f>IFERROR(MATCH(425,Сборка!$R$2:$R$501,0),"")</f>
        <v/>
      </c>
      <c r="L445" t="str">
        <f>IFERROR(IF(INDEX(Сборка!$Q$2:$Q$501,MATCH(425+1,Сборка!$R$2:$R$501,0))=1,INDEX(Сборка!$P$2:$P$501,MATCH(425+1,Сборка!$R$2:$R$501,0)),""),"")</f>
        <v/>
      </c>
      <c r="M445" t="str">
        <f t="shared" si="27"/>
        <v/>
      </c>
    </row>
    <row r="446" spans="1:13" hidden="1" x14ac:dyDescent="0.3">
      <c r="A446" t="str">
        <f>IF(ISNUMBER($K446),INDEX(Сборка!$O$2:$O$501,$K446),"")</f>
        <v/>
      </c>
      <c r="B446" t="str">
        <f>IF(ISNUMBER($K446),INDEX(Сборка!$C$2:$C$501,$K446),"")</f>
        <v/>
      </c>
      <c r="C446" s="5" t="str">
        <f>IF($L446&lt;&gt;"",INDEX(Сборка!$S$2:$S$501,MATCH($L446,Сборка!$P$2:$P$501,0)),IF(ISNUMBER($K446),INDEX(Сборка!$D$2:$D$501,$K446)&amp;IF(INDEX(Сборка!$I$2:$I$501,$K446)&lt;&gt;""," — "&amp;INDEX(Сборка!$I$2:$I$501,$K446),""),""))</f>
        <v/>
      </c>
      <c r="D446" t="str">
        <f>IF(ISNUMBER($K446),INDEX(Сборка!$E$2:$E$501,$K446),"")</f>
        <v/>
      </c>
      <c r="E446" t="str">
        <f>IF(ISNUMBER($K446),INDEX(Сборка!$G$2:$G$501,$K446),"")</f>
        <v/>
      </c>
      <c r="F446" s="6" t="str">
        <f>IF(ISNUMBER($K446),INDEX(Сборка!$J$2:$J$501,$K446),"")</f>
        <v/>
      </c>
      <c r="G446" s="6" t="str">
        <f>IF(ISNUMBER($K446),INDEX(Сборка!$K$2:$K$501,$K446),"")</f>
        <v/>
      </c>
      <c r="H446" s="6" t="str">
        <f t="shared" si="24"/>
        <v/>
      </c>
      <c r="I446" s="6" t="str">
        <f t="shared" si="25"/>
        <v/>
      </c>
      <c r="J446" s="6" t="str">
        <f t="shared" si="26"/>
        <v/>
      </c>
      <c r="K446" t="str">
        <f>IFERROR(MATCH(426,Сборка!$R$2:$R$501,0),"")</f>
        <v/>
      </c>
      <c r="L446" t="str">
        <f>IFERROR(IF(INDEX(Сборка!$Q$2:$Q$501,MATCH(426+1,Сборка!$R$2:$R$501,0))=1,INDEX(Сборка!$P$2:$P$501,MATCH(426+1,Сборка!$R$2:$R$501,0)),""),"")</f>
        <v/>
      </c>
      <c r="M446" t="str">
        <f t="shared" si="27"/>
        <v/>
      </c>
    </row>
    <row r="447" spans="1:13" hidden="1" x14ac:dyDescent="0.3">
      <c r="A447" t="str">
        <f>IF(ISNUMBER($K447),INDEX(Сборка!$O$2:$O$501,$K447),"")</f>
        <v/>
      </c>
      <c r="B447" t="str">
        <f>IF(ISNUMBER($K447),INDEX(Сборка!$C$2:$C$501,$K447),"")</f>
        <v/>
      </c>
      <c r="C447" s="5" t="str">
        <f>IF($L447&lt;&gt;"",INDEX(Сборка!$S$2:$S$501,MATCH($L447,Сборка!$P$2:$P$501,0)),IF(ISNUMBER($K447),INDEX(Сборка!$D$2:$D$501,$K447)&amp;IF(INDEX(Сборка!$I$2:$I$501,$K447)&lt;&gt;""," — "&amp;INDEX(Сборка!$I$2:$I$501,$K447),""),""))</f>
        <v/>
      </c>
      <c r="D447" t="str">
        <f>IF(ISNUMBER($K447),INDEX(Сборка!$E$2:$E$501,$K447),"")</f>
        <v/>
      </c>
      <c r="E447" t="str">
        <f>IF(ISNUMBER($K447),INDEX(Сборка!$G$2:$G$501,$K447),"")</f>
        <v/>
      </c>
      <c r="F447" s="6" t="str">
        <f>IF(ISNUMBER($K447),INDEX(Сборка!$J$2:$J$501,$K447),"")</f>
        <v/>
      </c>
      <c r="G447" s="6" t="str">
        <f>IF(ISNUMBER($K447),INDEX(Сборка!$K$2:$K$501,$K447),"")</f>
        <v/>
      </c>
      <c r="H447" s="6" t="str">
        <f t="shared" si="24"/>
        <v/>
      </c>
      <c r="I447" s="6" t="str">
        <f t="shared" si="25"/>
        <v/>
      </c>
      <c r="J447" s="6" t="str">
        <f t="shared" si="26"/>
        <v/>
      </c>
      <c r="K447" t="str">
        <f>IFERROR(MATCH(427,Сборка!$R$2:$R$501,0),"")</f>
        <v/>
      </c>
      <c r="L447" t="str">
        <f>IFERROR(IF(INDEX(Сборка!$Q$2:$Q$501,MATCH(427+1,Сборка!$R$2:$R$501,0))=1,INDEX(Сборка!$P$2:$P$501,MATCH(427+1,Сборка!$R$2:$R$501,0)),""),"")</f>
        <v/>
      </c>
      <c r="M447" t="str">
        <f t="shared" si="27"/>
        <v/>
      </c>
    </row>
    <row r="448" spans="1:13" hidden="1" x14ac:dyDescent="0.3">
      <c r="A448" t="str">
        <f>IF(ISNUMBER($K448),INDEX(Сборка!$O$2:$O$501,$K448),"")</f>
        <v/>
      </c>
      <c r="B448" t="str">
        <f>IF(ISNUMBER($K448),INDEX(Сборка!$C$2:$C$501,$K448),"")</f>
        <v/>
      </c>
      <c r="C448" s="5" t="str">
        <f>IF($L448&lt;&gt;"",INDEX(Сборка!$S$2:$S$501,MATCH($L448,Сборка!$P$2:$P$501,0)),IF(ISNUMBER($K448),INDEX(Сборка!$D$2:$D$501,$K448)&amp;IF(INDEX(Сборка!$I$2:$I$501,$K448)&lt;&gt;""," — "&amp;INDEX(Сборка!$I$2:$I$501,$K448),""),""))</f>
        <v/>
      </c>
      <c r="D448" t="str">
        <f>IF(ISNUMBER($K448),INDEX(Сборка!$E$2:$E$501,$K448),"")</f>
        <v/>
      </c>
      <c r="E448" t="str">
        <f>IF(ISNUMBER($K448),INDEX(Сборка!$G$2:$G$501,$K448),"")</f>
        <v/>
      </c>
      <c r="F448" s="6" t="str">
        <f>IF(ISNUMBER($K448),INDEX(Сборка!$J$2:$J$501,$K448),"")</f>
        <v/>
      </c>
      <c r="G448" s="6" t="str">
        <f>IF(ISNUMBER($K448),INDEX(Сборка!$K$2:$K$501,$K448),"")</f>
        <v/>
      </c>
      <c r="H448" s="6" t="str">
        <f t="shared" si="24"/>
        <v/>
      </c>
      <c r="I448" s="6" t="str">
        <f t="shared" si="25"/>
        <v/>
      </c>
      <c r="J448" s="6" t="str">
        <f t="shared" si="26"/>
        <v/>
      </c>
      <c r="K448" t="str">
        <f>IFERROR(MATCH(428,Сборка!$R$2:$R$501,0),"")</f>
        <v/>
      </c>
      <c r="L448" t="str">
        <f>IFERROR(IF(INDEX(Сборка!$Q$2:$Q$501,MATCH(428+1,Сборка!$R$2:$R$501,0))=1,INDEX(Сборка!$P$2:$P$501,MATCH(428+1,Сборка!$R$2:$R$501,0)),""),"")</f>
        <v/>
      </c>
      <c r="M448" t="str">
        <f t="shared" si="27"/>
        <v/>
      </c>
    </row>
    <row r="449" spans="1:13" hidden="1" x14ac:dyDescent="0.3">
      <c r="A449" t="str">
        <f>IF(ISNUMBER($K449),INDEX(Сборка!$O$2:$O$501,$K449),"")</f>
        <v/>
      </c>
      <c r="B449" t="str">
        <f>IF(ISNUMBER($K449),INDEX(Сборка!$C$2:$C$501,$K449),"")</f>
        <v/>
      </c>
      <c r="C449" s="5" t="str">
        <f>IF($L449&lt;&gt;"",INDEX(Сборка!$S$2:$S$501,MATCH($L449,Сборка!$P$2:$P$501,0)),IF(ISNUMBER($K449),INDEX(Сборка!$D$2:$D$501,$K449)&amp;IF(INDEX(Сборка!$I$2:$I$501,$K449)&lt;&gt;""," — "&amp;INDEX(Сборка!$I$2:$I$501,$K449),""),""))</f>
        <v/>
      </c>
      <c r="D449" t="str">
        <f>IF(ISNUMBER($K449),INDEX(Сборка!$E$2:$E$501,$K449),"")</f>
        <v/>
      </c>
      <c r="E449" t="str">
        <f>IF(ISNUMBER($K449),INDEX(Сборка!$G$2:$G$501,$K449),"")</f>
        <v/>
      </c>
      <c r="F449" s="6" t="str">
        <f>IF(ISNUMBER($K449),INDEX(Сборка!$J$2:$J$501,$K449),"")</f>
        <v/>
      </c>
      <c r="G449" s="6" t="str">
        <f>IF(ISNUMBER($K449),INDEX(Сборка!$K$2:$K$501,$K449),"")</f>
        <v/>
      </c>
      <c r="H449" s="6" t="str">
        <f t="shared" si="24"/>
        <v/>
      </c>
      <c r="I449" s="6" t="str">
        <f t="shared" si="25"/>
        <v/>
      </c>
      <c r="J449" s="6" t="str">
        <f t="shared" si="26"/>
        <v/>
      </c>
      <c r="K449" t="str">
        <f>IFERROR(MATCH(429,Сборка!$R$2:$R$501,0),"")</f>
        <v/>
      </c>
      <c r="L449" t="str">
        <f>IFERROR(IF(INDEX(Сборка!$Q$2:$Q$501,MATCH(429+1,Сборка!$R$2:$R$501,0))=1,INDEX(Сборка!$P$2:$P$501,MATCH(429+1,Сборка!$R$2:$R$501,0)),""),"")</f>
        <v/>
      </c>
      <c r="M449" t="str">
        <f t="shared" si="27"/>
        <v/>
      </c>
    </row>
    <row r="450" spans="1:13" hidden="1" x14ac:dyDescent="0.3">
      <c r="A450" t="str">
        <f>IF(ISNUMBER($K450),INDEX(Сборка!$O$2:$O$501,$K450),"")</f>
        <v/>
      </c>
      <c r="B450" t="str">
        <f>IF(ISNUMBER($K450),INDEX(Сборка!$C$2:$C$501,$K450),"")</f>
        <v/>
      </c>
      <c r="C450" s="5" t="str">
        <f>IF($L450&lt;&gt;"",INDEX(Сборка!$S$2:$S$501,MATCH($L450,Сборка!$P$2:$P$501,0)),IF(ISNUMBER($K450),INDEX(Сборка!$D$2:$D$501,$K450)&amp;IF(INDEX(Сборка!$I$2:$I$501,$K450)&lt;&gt;""," — "&amp;INDEX(Сборка!$I$2:$I$501,$K450),""),""))</f>
        <v/>
      </c>
      <c r="D450" t="str">
        <f>IF(ISNUMBER($K450),INDEX(Сборка!$E$2:$E$501,$K450),"")</f>
        <v/>
      </c>
      <c r="E450" t="str">
        <f>IF(ISNUMBER($K450),INDEX(Сборка!$G$2:$G$501,$K450),"")</f>
        <v/>
      </c>
      <c r="F450" s="6" t="str">
        <f>IF(ISNUMBER($K450),INDEX(Сборка!$J$2:$J$501,$K450),"")</f>
        <v/>
      </c>
      <c r="G450" s="6" t="str">
        <f>IF(ISNUMBER($K450),INDEX(Сборка!$K$2:$K$501,$K450),"")</f>
        <v/>
      </c>
      <c r="H450" s="6" t="str">
        <f t="shared" si="24"/>
        <v/>
      </c>
      <c r="I450" s="6" t="str">
        <f t="shared" si="25"/>
        <v/>
      </c>
      <c r="J450" s="6" t="str">
        <f t="shared" si="26"/>
        <v/>
      </c>
      <c r="K450" t="str">
        <f>IFERROR(MATCH(430,Сборка!$R$2:$R$501,0),"")</f>
        <v/>
      </c>
      <c r="L450" t="str">
        <f>IFERROR(IF(INDEX(Сборка!$Q$2:$Q$501,MATCH(430+1,Сборка!$R$2:$R$501,0))=1,INDEX(Сборка!$P$2:$P$501,MATCH(430+1,Сборка!$R$2:$R$501,0)),""),"")</f>
        <v/>
      </c>
      <c r="M450" t="str">
        <f t="shared" si="27"/>
        <v/>
      </c>
    </row>
    <row r="451" spans="1:13" hidden="1" x14ac:dyDescent="0.3">
      <c r="A451" t="str">
        <f>IF(ISNUMBER($K451),INDEX(Сборка!$O$2:$O$501,$K451),"")</f>
        <v/>
      </c>
      <c r="B451" t="str">
        <f>IF(ISNUMBER($K451),INDEX(Сборка!$C$2:$C$501,$K451),"")</f>
        <v/>
      </c>
      <c r="C451" s="5" t="str">
        <f>IF($L451&lt;&gt;"",INDEX(Сборка!$S$2:$S$501,MATCH($L451,Сборка!$P$2:$P$501,0)),IF(ISNUMBER($K451),INDEX(Сборка!$D$2:$D$501,$K451)&amp;IF(INDEX(Сборка!$I$2:$I$501,$K451)&lt;&gt;""," — "&amp;INDEX(Сборка!$I$2:$I$501,$K451),""),""))</f>
        <v/>
      </c>
      <c r="D451" t="str">
        <f>IF(ISNUMBER($K451),INDEX(Сборка!$E$2:$E$501,$K451),"")</f>
        <v/>
      </c>
      <c r="E451" t="str">
        <f>IF(ISNUMBER($K451),INDEX(Сборка!$G$2:$G$501,$K451),"")</f>
        <v/>
      </c>
      <c r="F451" s="6" t="str">
        <f>IF(ISNUMBER($K451),INDEX(Сборка!$J$2:$J$501,$K451),"")</f>
        <v/>
      </c>
      <c r="G451" s="6" t="str">
        <f>IF(ISNUMBER($K451),INDEX(Сборка!$K$2:$K$501,$K451),"")</f>
        <v/>
      </c>
      <c r="H451" s="6" t="str">
        <f t="shared" si="24"/>
        <v/>
      </c>
      <c r="I451" s="6" t="str">
        <f t="shared" si="25"/>
        <v/>
      </c>
      <c r="J451" s="6" t="str">
        <f t="shared" si="26"/>
        <v/>
      </c>
      <c r="K451" t="str">
        <f>IFERROR(MATCH(431,Сборка!$R$2:$R$501,0),"")</f>
        <v/>
      </c>
      <c r="L451" t="str">
        <f>IFERROR(IF(INDEX(Сборка!$Q$2:$Q$501,MATCH(431+1,Сборка!$R$2:$R$501,0))=1,INDEX(Сборка!$P$2:$P$501,MATCH(431+1,Сборка!$R$2:$R$501,0)),""),"")</f>
        <v/>
      </c>
      <c r="M451" t="str">
        <f t="shared" si="27"/>
        <v/>
      </c>
    </row>
    <row r="452" spans="1:13" hidden="1" x14ac:dyDescent="0.3">
      <c r="A452" t="str">
        <f>IF(ISNUMBER($K452),INDEX(Сборка!$O$2:$O$501,$K452),"")</f>
        <v/>
      </c>
      <c r="B452" t="str">
        <f>IF(ISNUMBER($K452),INDEX(Сборка!$C$2:$C$501,$K452),"")</f>
        <v/>
      </c>
      <c r="C452" s="5" t="str">
        <f>IF($L452&lt;&gt;"",INDEX(Сборка!$S$2:$S$501,MATCH($L452,Сборка!$P$2:$P$501,0)),IF(ISNUMBER($K452),INDEX(Сборка!$D$2:$D$501,$K452)&amp;IF(INDEX(Сборка!$I$2:$I$501,$K452)&lt;&gt;""," — "&amp;INDEX(Сборка!$I$2:$I$501,$K452),""),""))</f>
        <v/>
      </c>
      <c r="D452" t="str">
        <f>IF(ISNUMBER($K452),INDEX(Сборка!$E$2:$E$501,$K452),"")</f>
        <v/>
      </c>
      <c r="E452" t="str">
        <f>IF(ISNUMBER($K452),INDEX(Сборка!$G$2:$G$501,$K452),"")</f>
        <v/>
      </c>
      <c r="F452" s="6" t="str">
        <f>IF(ISNUMBER($K452),INDEX(Сборка!$J$2:$J$501,$K452),"")</f>
        <v/>
      </c>
      <c r="G452" s="6" t="str">
        <f>IF(ISNUMBER($K452),INDEX(Сборка!$K$2:$K$501,$K452),"")</f>
        <v/>
      </c>
      <c r="H452" s="6" t="str">
        <f t="shared" si="24"/>
        <v/>
      </c>
      <c r="I452" s="6" t="str">
        <f t="shared" si="25"/>
        <v/>
      </c>
      <c r="J452" s="6" t="str">
        <f t="shared" si="26"/>
        <v/>
      </c>
      <c r="K452" t="str">
        <f>IFERROR(MATCH(432,Сборка!$R$2:$R$501,0),"")</f>
        <v/>
      </c>
      <c r="L452" t="str">
        <f>IFERROR(IF(INDEX(Сборка!$Q$2:$Q$501,MATCH(432+1,Сборка!$R$2:$R$501,0))=1,INDEX(Сборка!$P$2:$P$501,MATCH(432+1,Сборка!$R$2:$R$501,0)),""),"")</f>
        <v/>
      </c>
      <c r="M452" t="str">
        <f t="shared" si="27"/>
        <v/>
      </c>
    </row>
    <row r="453" spans="1:13" hidden="1" x14ac:dyDescent="0.3">
      <c r="A453" t="str">
        <f>IF(ISNUMBER($K453),INDEX(Сборка!$O$2:$O$501,$K453),"")</f>
        <v/>
      </c>
      <c r="B453" t="str">
        <f>IF(ISNUMBER($K453),INDEX(Сборка!$C$2:$C$501,$K453),"")</f>
        <v/>
      </c>
      <c r="C453" s="5" t="str">
        <f>IF($L453&lt;&gt;"",INDEX(Сборка!$S$2:$S$501,MATCH($L453,Сборка!$P$2:$P$501,0)),IF(ISNUMBER($K453),INDEX(Сборка!$D$2:$D$501,$K453)&amp;IF(INDEX(Сборка!$I$2:$I$501,$K453)&lt;&gt;""," — "&amp;INDEX(Сборка!$I$2:$I$501,$K453),""),""))</f>
        <v/>
      </c>
      <c r="D453" t="str">
        <f>IF(ISNUMBER($K453),INDEX(Сборка!$E$2:$E$501,$K453),"")</f>
        <v/>
      </c>
      <c r="E453" t="str">
        <f>IF(ISNUMBER($K453),INDEX(Сборка!$G$2:$G$501,$K453),"")</f>
        <v/>
      </c>
      <c r="F453" s="6" t="str">
        <f>IF(ISNUMBER($K453),INDEX(Сборка!$J$2:$J$501,$K453),"")</f>
        <v/>
      </c>
      <c r="G453" s="6" t="str">
        <f>IF(ISNUMBER($K453),INDEX(Сборка!$K$2:$K$501,$K453),"")</f>
        <v/>
      </c>
      <c r="H453" s="6" t="str">
        <f t="shared" si="24"/>
        <v/>
      </c>
      <c r="I453" s="6" t="str">
        <f t="shared" si="25"/>
        <v/>
      </c>
      <c r="J453" s="6" t="str">
        <f t="shared" si="26"/>
        <v/>
      </c>
      <c r="K453" t="str">
        <f>IFERROR(MATCH(433,Сборка!$R$2:$R$501,0),"")</f>
        <v/>
      </c>
      <c r="L453" t="str">
        <f>IFERROR(IF(INDEX(Сборка!$Q$2:$Q$501,MATCH(433+1,Сборка!$R$2:$R$501,0))=1,INDEX(Сборка!$P$2:$P$501,MATCH(433+1,Сборка!$R$2:$R$501,0)),""),"")</f>
        <v/>
      </c>
      <c r="M453" t="str">
        <f t="shared" si="27"/>
        <v/>
      </c>
    </row>
    <row r="454" spans="1:13" hidden="1" x14ac:dyDescent="0.3">
      <c r="A454" t="str">
        <f>IF(ISNUMBER($K454),INDEX(Сборка!$O$2:$O$501,$K454),"")</f>
        <v/>
      </c>
      <c r="B454" t="str">
        <f>IF(ISNUMBER($K454),INDEX(Сборка!$C$2:$C$501,$K454),"")</f>
        <v/>
      </c>
      <c r="C454" s="5" t="str">
        <f>IF($L454&lt;&gt;"",INDEX(Сборка!$S$2:$S$501,MATCH($L454,Сборка!$P$2:$P$501,0)),IF(ISNUMBER($K454),INDEX(Сборка!$D$2:$D$501,$K454)&amp;IF(INDEX(Сборка!$I$2:$I$501,$K454)&lt;&gt;""," — "&amp;INDEX(Сборка!$I$2:$I$501,$K454),""),""))</f>
        <v/>
      </c>
      <c r="D454" t="str">
        <f>IF(ISNUMBER($K454),INDEX(Сборка!$E$2:$E$501,$K454),"")</f>
        <v/>
      </c>
      <c r="E454" t="str">
        <f>IF(ISNUMBER($K454),INDEX(Сборка!$G$2:$G$501,$K454),"")</f>
        <v/>
      </c>
      <c r="F454" s="6" t="str">
        <f>IF(ISNUMBER($K454),INDEX(Сборка!$J$2:$J$501,$K454),"")</f>
        <v/>
      </c>
      <c r="G454" s="6" t="str">
        <f>IF(ISNUMBER($K454),INDEX(Сборка!$K$2:$K$501,$K454),"")</f>
        <v/>
      </c>
      <c r="H454" s="6" t="str">
        <f t="shared" si="24"/>
        <v/>
      </c>
      <c r="I454" s="6" t="str">
        <f t="shared" si="25"/>
        <v/>
      </c>
      <c r="J454" s="6" t="str">
        <f t="shared" si="26"/>
        <v/>
      </c>
      <c r="K454" t="str">
        <f>IFERROR(MATCH(434,Сборка!$R$2:$R$501,0),"")</f>
        <v/>
      </c>
      <c r="L454" t="str">
        <f>IFERROR(IF(INDEX(Сборка!$Q$2:$Q$501,MATCH(434+1,Сборка!$R$2:$R$501,0))=1,INDEX(Сборка!$P$2:$P$501,MATCH(434+1,Сборка!$R$2:$R$501,0)),""),"")</f>
        <v/>
      </c>
      <c r="M454" t="str">
        <f t="shared" si="27"/>
        <v/>
      </c>
    </row>
    <row r="455" spans="1:13" hidden="1" x14ac:dyDescent="0.3">
      <c r="A455" t="str">
        <f>IF(ISNUMBER($K455),INDEX(Сборка!$O$2:$O$501,$K455),"")</f>
        <v/>
      </c>
      <c r="B455" t="str">
        <f>IF(ISNUMBER($K455),INDEX(Сборка!$C$2:$C$501,$K455),"")</f>
        <v/>
      </c>
      <c r="C455" s="5" t="str">
        <f>IF($L455&lt;&gt;"",INDEX(Сборка!$S$2:$S$501,MATCH($L455,Сборка!$P$2:$P$501,0)),IF(ISNUMBER($K455),INDEX(Сборка!$D$2:$D$501,$K455)&amp;IF(INDEX(Сборка!$I$2:$I$501,$K455)&lt;&gt;""," — "&amp;INDEX(Сборка!$I$2:$I$501,$K455),""),""))</f>
        <v/>
      </c>
      <c r="D455" t="str">
        <f>IF(ISNUMBER($K455),INDEX(Сборка!$E$2:$E$501,$K455),"")</f>
        <v/>
      </c>
      <c r="E455" t="str">
        <f>IF(ISNUMBER($K455),INDEX(Сборка!$G$2:$G$501,$K455),"")</f>
        <v/>
      </c>
      <c r="F455" s="6" t="str">
        <f>IF(ISNUMBER($K455),INDEX(Сборка!$J$2:$J$501,$K455),"")</f>
        <v/>
      </c>
      <c r="G455" s="6" t="str">
        <f>IF(ISNUMBER($K455),INDEX(Сборка!$K$2:$K$501,$K455),"")</f>
        <v/>
      </c>
      <c r="H455" s="6" t="str">
        <f t="shared" si="24"/>
        <v/>
      </c>
      <c r="I455" s="6" t="str">
        <f t="shared" si="25"/>
        <v/>
      </c>
      <c r="J455" s="6" t="str">
        <f t="shared" si="26"/>
        <v/>
      </c>
      <c r="K455" t="str">
        <f>IFERROR(MATCH(435,Сборка!$R$2:$R$501,0),"")</f>
        <v/>
      </c>
      <c r="L455" t="str">
        <f>IFERROR(IF(INDEX(Сборка!$Q$2:$Q$501,MATCH(435+1,Сборка!$R$2:$R$501,0))=1,INDEX(Сборка!$P$2:$P$501,MATCH(435+1,Сборка!$R$2:$R$501,0)),""),"")</f>
        <v/>
      </c>
      <c r="M455" t="str">
        <f t="shared" si="27"/>
        <v/>
      </c>
    </row>
    <row r="456" spans="1:13" hidden="1" x14ac:dyDescent="0.3">
      <c r="A456" t="str">
        <f>IF(ISNUMBER($K456),INDEX(Сборка!$O$2:$O$501,$K456),"")</f>
        <v/>
      </c>
      <c r="B456" t="str">
        <f>IF(ISNUMBER($K456),INDEX(Сборка!$C$2:$C$501,$K456),"")</f>
        <v/>
      </c>
      <c r="C456" s="5" t="str">
        <f>IF($L456&lt;&gt;"",INDEX(Сборка!$S$2:$S$501,MATCH($L456,Сборка!$P$2:$P$501,0)),IF(ISNUMBER($K456),INDEX(Сборка!$D$2:$D$501,$K456)&amp;IF(INDEX(Сборка!$I$2:$I$501,$K456)&lt;&gt;""," — "&amp;INDEX(Сборка!$I$2:$I$501,$K456),""),""))</f>
        <v/>
      </c>
      <c r="D456" t="str">
        <f>IF(ISNUMBER($K456),INDEX(Сборка!$E$2:$E$501,$K456),"")</f>
        <v/>
      </c>
      <c r="E456" t="str">
        <f>IF(ISNUMBER($K456),INDEX(Сборка!$G$2:$G$501,$K456),"")</f>
        <v/>
      </c>
      <c r="F456" s="6" t="str">
        <f>IF(ISNUMBER($K456),INDEX(Сборка!$J$2:$J$501,$K456),"")</f>
        <v/>
      </c>
      <c r="G456" s="6" t="str">
        <f>IF(ISNUMBER($K456),INDEX(Сборка!$K$2:$K$501,$K456),"")</f>
        <v/>
      </c>
      <c r="H456" s="6" t="str">
        <f t="shared" si="24"/>
        <v/>
      </c>
      <c r="I456" s="6" t="str">
        <f t="shared" si="25"/>
        <v/>
      </c>
      <c r="J456" s="6" t="str">
        <f t="shared" si="26"/>
        <v/>
      </c>
      <c r="K456" t="str">
        <f>IFERROR(MATCH(436,Сборка!$R$2:$R$501,0),"")</f>
        <v/>
      </c>
      <c r="L456" t="str">
        <f>IFERROR(IF(INDEX(Сборка!$Q$2:$Q$501,MATCH(436+1,Сборка!$R$2:$R$501,0))=1,INDEX(Сборка!$P$2:$P$501,MATCH(436+1,Сборка!$R$2:$R$501,0)),""),"")</f>
        <v/>
      </c>
      <c r="M456" t="str">
        <f t="shared" si="27"/>
        <v/>
      </c>
    </row>
    <row r="457" spans="1:13" hidden="1" x14ac:dyDescent="0.3">
      <c r="A457" t="str">
        <f>IF(ISNUMBER($K457),INDEX(Сборка!$O$2:$O$501,$K457),"")</f>
        <v/>
      </c>
      <c r="B457" t="str">
        <f>IF(ISNUMBER($K457),INDEX(Сборка!$C$2:$C$501,$K457),"")</f>
        <v/>
      </c>
      <c r="C457" s="5" t="str">
        <f>IF($L457&lt;&gt;"",INDEX(Сборка!$S$2:$S$501,MATCH($L457,Сборка!$P$2:$P$501,0)),IF(ISNUMBER($K457),INDEX(Сборка!$D$2:$D$501,$K457)&amp;IF(INDEX(Сборка!$I$2:$I$501,$K457)&lt;&gt;""," — "&amp;INDEX(Сборка!$I$2:$I$501,$K457),""),""))</f>
        <v/>
      </c>
      <c r="D457" t="str">
        <f>IF(ISNUMBER($K457),INDEX(Сборка!$E$2:$E$501,$K457),"")</f>
        <v/>
      </c>
      <c r="E457" t="str">
        <f>IF(ISNUMBER($K457),INDEX(Сборка!$G$2:$G$501,$K457),"")</f>
        <v/>
      </c>
      <c r="F457" s="6" t="str">
        <f>IF(ISNUMBER($K457),INDEX(Сборка!$J$2:$J$501,$K457),"")</f>
        <v/>
      </c>
      <c r="G457" s="6" t="str">
        <f>IF(ISNUMBER($K457),INDEX(Сборка!$K$2:$K$501,$K457),"")</f>
        <v/>
      </c>
      <c r="H457" s="6" t="str">
        <f t="shared" si="24"/>
        <v/>
      </c>
      <c r="I457" s="6" t="str">
        <f t="shared" si="25"/>
        <v/>
      </c>
      <c r="J457" s="6" t="str">
        <f t="shared" si="26"/>
        <v/>
      </c>
      <c r="K457" t="str">
        <f>IFERROR(MATCH(437,Сборка!$R$2:$R$501,0),"")</f>
        <v/>
      </c>
      <c r="L457" t="str">
        <f>IFERROR(IF(INDEX(Сборка!$Q$2:$Q$501,MATCH(437+1,Сборка!$R$2:$R$501,0))=1,INDEX(Сборка!$P$2:$P$501,MATCH(437+1,Сборка!$R$2:$R$501,0)),""),"")</f>
        <v/>
      </c>
      <c r="M457" t="str">
        <f t="shared" si="27"/>
        <v/>
      </c>
    </row>
    <row r="458" spans="1:13" hidden="1" x14ac:dyDescent="0.3">
      <c r="A458" t="str">
        <f>IF(ISNUMBER($K458),INDEX(Сборка!$O$2:$O$501,$K458),"")</f>
        <v/>
      </c>
      <c r="B458" t="str">
        <f>IF(ISNUMBER($K458),INDEX(Сборка!$C$2:$C$501,$K458),"")</f>
        <v/>
      </c>
      <c r="C458" s="5" t="str">
        <f>IF($L458&lt;&gt;"",INDEX(Сборка!$S$2:$S$501,MATCH($L458,Сборка!$P$2:$P$501,0)),IF(ISNUMBER($K458),INDEX(Сборка!$D$2:$D$501,$K458)&amp;IF(INDEX(Сборка!$I$2:$I$501,$K458)&lt;&gt;""," — "&amp;INDEX(Сборка!$I$2:$I$501,$K458),""),""))</f>
        <v/>
      </c>
      <c r="D458" t="str">
        <f>IF(ISNUMBER($K458),INDEX(Сборка!$E$2:$E$501,$K458),"")</f>
        <v/>
      </c>
      <c r="E458" t="str">
        <f>IF(ISNUMBER($K458),INDEX(Сборка!$G$2:$G$501,$K458),"")</f>
        <v/>
      </c>
      <c r="F458" s="6" t="str">
        <f>IF(ISNUMBER($K458),INDEX(Сборка!$J$2:$J$501,$K458),"")</f>
        <v/>
      </c>
      <c r="G458" s="6" t="str">
        <f>IF(ISNUMBER($K458),INDEX(Сборка!$K$2:$K$501,$K458),"")</f>
        <v/>
      </c>
      <c r="H458" s="6" t="str">
        <f t="shared" si="24"/>
        <v/>
      </c>
      <c r="I458" s="6" t="str">
        <f t="shared" si="25"/>
        <v/>
      </c>
      <c r="J458" s="6" t="str">
        <f t="shared" si="26"/>
        <v/>
      </c>
      <c r="K458" t="str">
        <f>IFERROR(MATCH(438,Сборка!$R$2:$R$501,0),"")</f>
        <v/>
      </c>
      <c r="L458" t="str">
        <f>IFERROR(IF(INDEX(Сборка!$Q$2:$Q$501,MATCH(438+1,Сборка!$R$2:$R$501,0))=1,INDEX(Сборка!$P$2:$P$501,MATCH(438+1,Сборка!$R$2:$R$501,0)),""),"")</f>
        <v/>
      </c>
      <c r="M458" t="str">
        <f t="shared" si="27"/>
        <v/>
      </c>
    </row>
    <row r="459" spans="1:13" hidden="1" x14ac:dyDescent="0.3">
      <c r="A459" t="str">
        <f>IF(ISNUMBER($K459),INDEX(Сборка!$O$2:$O$501,$K459),"")</f>
        <v/>
      </c>
      <c r="B459" t="str">
        <f>IF(ISNUMBER($K459),INDEX(Сборка!$C$2:$C$501,$K459),"")</f>
        <v/>
      </c>
      <c r="C459" s="5" t="str">
        <f>IF($L459&lt;&gt;"",INDEX(Сборка!$S$2:$S$501,MATCH($L459,Сборка!$P$2:$P$501,0)),IF(ISNUMBER($K459),INDEX(Сборка!$D$2:$D$501,$K459)&amp;IF(INDEX(Сборка!$I$2:$I$501,$K459)&lt;&gt;""," — "&amp;INDEX(Сборка!$I$2:$I$501,$K459),""),""))</f>
        <v/>
      </c>
      <c r="D459" t="str">
        <f>IF(ISNUMBER($K459),INDEX(Сборка!$E$2:$E$501,$K459),"")</f>
        <v/>
      </c>
      <c r="E459" t="str">
        <f>IF(ISNUMBER($K459),INDEX(Сборка!$G$2:$G$501,$K459),"")</f>
        <v/>
      </c>
      <c r="F459" s="6" t="str">
        <f>IF(ISNUMBER($K459),INDEX(Сборка!$J$2:$J$501,$K459),"")</f>
        <v/>
      </c>
      <c r="G459" s="6" t="str">
        <f>IF(ISNUMBER($K459),INDEX(Сборка!$K$2:$K$501,$K459),"")</f>
        <v/>
      </c>
      <c r="H459" s="6" t="str">
        <f t="shared" si="24"/>
        <v/>
      </c>
      <c r="I459" s="6" t="str">
        <f t="shared" si="25"/>
        <v/>
      </c>
      <c r="J459" s="6" t="str">
        <f t="shared" si="26"/>
        <v/>
      </c>
      <c r="K459" t="str">
        <f>IFERROR(MATCH(439,Сборка!$R$2:$R$501,0),"")</f>
        <v/>
      </c>
      <c r="L459" t="str">
        <f>IFERROR(IF(INDEX(Сборка!$Q$2:$Q$501,MATCH(439+1,Сборка!$R$2:$R$501,0))=1,INDEX(Сборка!$P$2:$P$501,MATCH(439+1,Сборка!$R$2:$R$501,0)),""),"")</f>
        <v/>
      </c>
      <c r="M459" t="str">
        <f t="shared" si="27"/>
        <v/>
      </c>
    </row>
    <row r="460" spans="1:13" hidden="1" x14ac:dyDescent="0.3">
      <c r="A460" t="str">
        <f>IF(ISNUMBER($K460),INDEX(Сборка!$O$2:$O$501,$K460),"")</f>
        <v/>
      </c>
      <c r="B460" t="str">
        <f>IF(ISNUMBER($K460),INDEX(Сборка!$C$2:$C$501,$K460),"")</f>
        <v/>
      </c>
      <c r="C460" s="5" t="str">
        <f>IF($L460&lt;&gt;"",INDEX(Сборка!$S$2:$S$501,MATCH($L460,Сборка!$P$2:$P$501,0)),IF(ISNUMBER($K460),INDEX(Сборка!$D$2:$D$501,$K460)&amp;IF(INDEX(Сборка!$I$2:$I$501,$K460)&lt;&gt;""," — "&amp;INDEX(Сборка!$I$2:$I$501,$K460),""),""))</f>
        <v/>
      </c>
      <c r="D460" t="str">
        <f>IF(ISNUMBER($K460),INDEX(Сборка!$E$2:$E$501,$K460),"")</f>
        <v/>
      </c>
      <c r="E460" t="str">
        <f>IF(ISNUMBER($K460),INDEX(Сборка!$G$2:$G$501,$K460),"")</f>
        <v/>
      </c>
      <c r="F460" s="6" t="str">
        <f>IF(ISNUMBER($K460),INDEX(Сборка!$J$2:$J$501,$K460),"")</f>
        <v/>
      </c>
      <c r="G460" s="6" t="str">
        <f>IF(ISNUMBER($K460),INDEX(Сборка!$K$2:$K$501,$K460),"")</f>
        <v/>
      </c>
      <c r="H460" s="6" t="str">
        <f t="shared" si="24"/>
        <v/>
      </c>
      <c r="I460" s="6" t="str">
        <f t="shared" si="25"/>
        <v/>
      </c>
      <c r="J460" s="6" t="str">
        <f t="shared" si="26"/>
        <v/>
      </c>
      <c r="K460" t="str">
        <f>IFERROR(MATCH(440,Сборка!$R$2:$R$501,0),"")</f>
        <v/>
      </c>
      <c r="L460" t="str">
        <f>IFERROR(IF(INDEX(Сборка!$Q$2:$Q$501,MATCH(440+1,Сборка!$R$2:$R$501,0))=1,INDEX(Сборка!$P$2:$P$501,MATCH(440+1,Сборка!$R$2:$R$501,0)),""),"")</f>
        <v/>
      </c>
      <c r="M460" t="str">
        <f t="shared" si="27"/>
        <v/>
      </c>
    </row>
    <row r="461" spans="1:13" hidden="1" x14ac:dyDescent="0.3">
      <c r="A461" t="str">
        <f>IF(ISNUMBER($K461),INDEX(Сборка!$O$2:$O$501,$K461),"")</f>
        <v/>
      </c>
      <c r="B461" t="str">
        <f>IF(ISNUMBER($K461),INDEX(Сборка!$C$2:$C$501,$K461),"")</f>
        <v/>
      </c>
      <c r="C461" s="5" t="str">
        <f>IF($L461&lt;&gt;"",INDEX(Сборка!$S$2:$S$501,MATCH($L461,Сборка!$P$2:$P$501,0)),IF(ISNUMBER($K461),INDEX(Сборка!$D$2:$D$501,$K461)&amp;IF(INDEX(Сборка!$I$2:$I$501,$K461)&lt;&gt;""," — "&amp;INDEX(Сборка!$I$2:$I$501,$K461),""),""))</f>
        <v/>
      </c>
      <c r="D461" t="str">
        <f>IF(ISNUMBER($K461),INDEX(Сборка!$E$2:$E$501,$K461),"")</f>
        <v/>
      </c>
      <c r="E461" t="str">
        <f>IF(ISNUMBER($K461),INDEX(Сборка!$G$2:$G$501,$K461),"")</f>
        <v/>
      </c>
      <c r="F461" s="6" t="str">
        <f>IF(ISNUMBER($K461),INDEX(Сборка!$J$2:$J$501,$K461),"")</f>
        <v/>
      </c>
      <c r="G461" s="6" t="str">
        <f>IF(ISNUMBER($K461),INDEX(Сборка!$K$2:$K$501,$K461),"")</f>
        <v/>
      </c>
      <c r="H461" s="6" t="str">
        <f t="shared" si="24"/>
        <v/>
      </c>
      <c r="I461" s="6" t="str">
        <f t="shared" si="25"/>
        <v/>
      </c>
      <c r="J461" s="6" t="str">
        <f t="shared" si="26"/>
        <v/>
      </c>
      <c r="K461" t="str">
        <f>IFERROR(MATCH(441,Сборка!$R$2:$R$501,0),"")</f>
        <v/>
      </c>
      <c r="L461" t="str">
        <f>IFERROR(IF(INDEX(Сборка!$Q$2:$Q$501,MATCH(441+1,Сборка!$R$2:$R$501,0))=1,INDEX(Сборка!$P$2:$P$501,MATCH(441+1,Сборка!$R$2:$R$501,0)),""),"")</f>
        <v/>
      </c>
      <c r="M461" t="str">
        <f t="shared" si="27"/>
        <v/>
      </c>
    </row>
    <row r="462" spans="1:13" hidden="1" x14ac:dyDescent="0.3">
      <c r="A462" t="str">
        <f>IF(ISNUMBER($K462),INDEX(Сборка!$O$2:$O$501,$K462),"")</f>
        <v/>
      </c>
      <c r="B462" t="str">
        <f>IF(ISNUMBER($K462),INDEX(Сборка!$C$2:$C$501,$K462),"")</f>
        <v/>
      </c>
      <c r="C462" s="5" t="str">
        <f>IF($L462&lt;&gt;"",INDEX(Сборка!$S$2:$S$501,MATCH($L462,Сборка!$P$2:$P$501,0)),IF(ISNUMBER($K462),INDEX(Сборка!$D$2:$D$501,$K462)&amp;IF(INDEX(Сборка!$I$2:$I$501,$K462)&lt;&gt;""," — "&amp;INDEX(Сборка!$I$2:$I$501,$K462),""),""))</f>
        <v/>
      </c>
      <c r="D462" t="str">
        <f>IF(ISNUMBER($K462),INDEX(Сборка!$E$2:$E$501,$K462),"")</f>
        <v/>
      </c>
      <c r="E462" t="str">
        <f>IF(ISNUMBER($K462),INDEX(Сборка!$G$2:$G$501,$K462),"")</f>
        <v/>
      </c>
      <c r="F462" s="6" t="str">
        <f>IF(ISNUMBER($K462),INDEX(Сборка!$J$2:$J$501,$K462),"")</f>
        <v/>
      </c>
      <c r="G462" s="6" t="str">
        <f>IF(ISNUMBER($K462),INDEX(Сборка!$K$2:$K$501,$K462),"")</f>
        <v/>
      </c>
      <c r="H462" s="6" t="str">
        <f t="shared" si="24"/>
        <v/>
      </c>
      <c r="I462" s="6" t="str">
        <f t="shared" si="25"/>
        <v/>
      </c>
      <c r="J462" s="6" t="str">
        <f t="shared" si="26"/>
        <v/>
      </c>
      <c r="K462" t="str">
        <f>IFERROR(MATCH(442,Сборка!$R$2:$R$501,0),"")</f>
        <v/>
      </c>
      <c r="L462" t="str">
        <f>IFERROR(IF(INDEX(Сборка!$Q$2:$Q$501,MATCH(442+1,Сборка!$R$2:$R$501,0))=1,INDEX(Сборка!$P$2:$P$501,MATCH(442+1,Сборка!$R$2:$R$501,0)),""),"")</f>
        <v/>
      </c>
      <c r="M462" t="str">
        <f t="shared" si="27"/>
        <v/>
      </c>
    </row>
    <row r="463" spans="1:13" hidden="1" x14ac:dyDescent="0.3">
      <c r="A463" t="str">
        <f>IF(ISNUMBER($K463),INDEX(Сборка!$O$2:$O$501,$K463),"")</f>
        <v/>
      </c>
      <c r="B463" t="str">
        <f>IF(ISNUMBER($K463),INDEX(Сборка!$C$2:$C$501,$K463),"")</f>
        <v/>
      </c>
      <c r="C463" s="5" t="str">
        <f>IF($L463&lt;&gt;"",INDEX(Сборка!$S$2:$S$501,MATCH($L463,Сборка!$P$2:$P$501,0)),IF(ISNUMBER($K463),INDEX(Сборка!$D$2:$D$501,$K463)&amp;IF(INDEX(Сборка!$I$2:$I$501,$K463)&lt;&gt;""," — "&amp;INDEX(Сборка!$I$2:$I$501,$K463),""),""))</f>
        <v/>
      </c>
      <c r="D463" t="str">
        <f>IF(ISNUMBER($K463),INDEX(Сборка!$E$2:$E$501,$K463),"")</f>
        <v/>
      </c>
      <c r="E463" t="str">
        <f>IF(ISNUMBER($K463),INDEX(Сборка!$G$2:$G$501,$K463),"")</f>
        <v/>
      </c>
      <c r="F463" s="6" t="str">
        <f>IF(ISNUMBER($K463),INDEX(Сборка!$J$2:$J$501,$K463),"")</f>
        <v/>
      </c>
      <c r="G463" s="6" t="str">
        <f>IF(ISNUMBER($K463),INDEX(Сборка!$K$2:$K$501,$K463),"")</f>
        <v/>
      </c>
      <c r="H463" s="6" t="str">
        <f t="shared" si="24"/>
        <v/>
      </c>
      <c r="I463" s="6" t="str">
        <f t="shared" si="25"/>
        <v/>
      </c>
      <c r="J463" s="6" t="str">
        <f t="shared" si="26"/>
        <v/>
      </c>
      <c r="K463" t="str">
        <f>IFERROR(MATCH(443,Сборка!$R$2:$R$501,0),"")</f>
        <v/>
      </c>
      <c r="L463" t="str">
        <f>IFERROR(IF(INDEX(Сборка!$Q$2:$Q$501,MATCH(443+1,Сборка!$R$2:$R$501,0))=1,INDEX(Сборка!$P$2:$P$501,MATCH(443+1,Сборка!$R$2:$R$501,0)),""),"")</f>
        <v/>
      </c>
      <c r="M463" t="str">
        <f t="shared" si="27"/>
        <v/>
      </c>
    </row>
    <row r="464" spans="1:13" hidden="1" x14ac:dyDescent="0.3">
      <c r="A464" t="str">
        <f>IF(ISNUMBER($K464),INDEX(Сборка!$O$2:$O$501,$K464),"")</f>
        <v/>
      </c>
      <c r="B464" t="str">
        <f>IF(ISNUMBER($K464),INDEX(Сборка!$C$2:$C$501,$K464),"")</f>
        <v/>
      </c>
      <c r="C464" s="5" t="str">
        <f>IF($L464&lt;&gt;"",INDEX(Сборка!$S$2:$S$501,MATCH($L464,Сборка!$P$2:$P$501,0)),IF(ISNUMBER($K464),INDEX(Сборка!$D$2:$D$501,$K464)&amp;IF(INDEX(Сборка!$I$2:$I$501,$K464)&lt;&gt;""," — "&amp;INDEX(Сборка!$I$2:$I$501,$K464),""),""))</f>
        <v/>
      </c>
      <c r="D464" t="str">
        <f>IF(ISNUMBER($K464),INDEX(Сборка!$E$2:$E$501,$K464),"")</f>
        <v/>
      </c>
      <c r="E464" t="str">
        <f>IF(ISNUMBER($K464),INDEX(Сборка!$G$2:$G$501,$K464),"")</f>
        <v/>
      </c>
      <c r="F464" s="6" t="str">
        <f>IF(ISNUMBER($K464),INDEX(Сборка!$J$2:$J$501,$K464),"")</f>
        <v/>
      </c>
      <c r="G464" s="6" t="str">
        <f>IF(ISNUMBER($K464),INDEX(Сборка!$K$2:$K$501,$K464),"")</f>
        <v/>
      </c>
      <c r="H464" s="6" t="str">
        <f t="shared" si="24"/>
        <v/>
      </c>
      <c r="I464" s="6" t="str">
        <f t="shared" si="25"/>
        <v/>
      </c>
      <c r="J464" s="6" t="str">
        <f t="shared" si="26"/>
        <v/>
      </c>
      <c r="K464" t="str">
        <f>IFERROR(MATCH(444,Сборка!$R$2:$R$501,0),"")</f>
        <v/>
      </c>
      <c r="L464" t="str">
        <f>IFERROR(IF(INDEX(Сборка!$Q$2:$Q$501,MATCH(444+1,Сборка!$R$2:$R$501,0))=1,INDEX(Сборка!$P$2:$P$501,MATCH(444+1,Сборка!$R$2:$R$501,0)),""),"")</f>
        <v/>
      </c>
      <c r="M464" t="str">
        <f t="shared" si="27"/>
        <v/>
      </c>
    </row>
    <row r="465" spans="1:13" hidden="1" x14ac:dyDescent="0.3">
      <c r="A465" t="str">
        <f>IF(ISNUMBER($K465),INDEX(Сборка!$O$2:$O$501,$K465),"")</f>
        <v/>
      </c>
      <c r="B465" t="str">
        <f>IF(ISNUMBER($K465),INDEX(Сборка!$C$2:$C$501,$K465),"")</f>
        <v/>
      </c>
      <c r="C465" s="5" t="str">
        <f>IF($L465&lt;&gt;"",INDEX(Сборка!$S$2:$S$501,MATCH($L465,Сборка!$P$2:$P$501,0)),IF(ISNUMBER($K465),INDEX(Сборка!$D$2:$D$501,$K465)&amp;IF(INDEX(Сборка!$I$2:$I$501,$K465)&lt;&gt;""," — "&amp;INDEX(Сборка!$I$2:$I$501,$K465),""),""))</f>
        <v/>
      </c>
      <c r="D465" t="str">
        <f>IF(ISNUMBER($K465),INDEX(Сборка!$E$2:$E$501,$K465),"")</f>
        <v/>
      </c>
      <c r="E465" t="str">
        <f>IF(ISNUMBER($K465),INDEX(Сборка!$G$2:$G$501,$K465),"")</f>
        <v/>
      </c>
      <c r="F465" s="6" t="str">
        <f>IF(ISNUMBER($K465),INDEX(Сборка!$J$2:$J$501,$K465),"")</f>
        <v/>
      </c>
      <c r="G465" s="6" t="str">
        <f>IF(ISNUMBER($K465),INDEX(Сборка!$K$2:$K$501,$K465),"")</f>
        <v/>
      </c>
      <c r="H465" s="6" t="str">
        <f t="shared" si="24"/>
        <v/>
      </c>
      <c r="I465" s="6" t="str">
        <f t="shared" si="25"/>
        <v/>
      </c>
      <c r="J465" s="6" t="str">
        <f t="shared" si="26"/>
        <v/>
      </c>
      <c r="K465" t="str">
        <f>IFERROR(MATCH(445,Сборка!$R$2:$R$501,0),"")</f>
        <v/>
      </c>
      <c r="L465" t="str">
        <f>IFERROR(IF(INDEX(Сборка!$Q$2:$Q$501,MATCH(445+1,Сборка!$R$2:$R$501,0))=1,INDEX(Сборка!$P$2:$P$501,MATCH(445+1,Сборка!$R$2:$R$501,0)),""),"")</f>
        <v/>
      </c>
      <c r="M465" t="str">
        <f t="shared" si="27"/>
        <v/>
      </c>
    </row>
    <row r="466" spans="1:13" hidden="1" x14ac:dyDescent="0.3">
      <c r="A466" t="str">
        <f>IF(ISNUMBER($K466),INDEX(Сборка!$O$2:$O$501,$K466),"")</f>
        <v/>
      </c>
      <c r="B466" t="str">
        <f>IF(ISNUMBER($K466),INDEX(Сборка!$C$2:$C$501,$K466),"")</f>
        <v/>
      </c>
      <c r="C466" s="5" t="str">
        <f>IF($L466&lt;&gt;"",INDEX(Сборка!$S$2:$S$501,MATCH($L466,Сборка!$P$2:$P$501,0)),IF(ISNUMBER($K466),INDEX(Сборка!$D$2:$D$501,$K466)&amp;IF(INDEX(Сборка!$I$2:$I$501,$K466)&lt;&gt;""," — "&amp;INDEX(Сборка!$I$2:$I$501,$K466),""),""))</f>
        <v/>
      </c>
      <c r="D466" t="str">
        <f>IF(ISNUMBER($K466),INDEX(Сборка!$E$2:$E$501,$K466),"")</f>
        <v/>
      </c>
      <c r="E466" t="str">
        <f>IF(ISNUMBER($K466),INDEX(Сборка!$G$2:$G$501,$K466),"")</f>
        <v/>
      </c>
      <c r="F466" s="6" t="str">
        <f>IF(ISNUMBER($K466),INDEX(Сборка!$J$2:$J$501,$K466),"")</f>
        <v/>
      </c>
      <c r="G466" s="6" t="str">
        <f>IF(ISNUMBER($K466),INDEX(Сборка!$K$2:$K$501,$K466),"")</f>
        <v/>
      </c>
      <c r="H466" s="6" t="str">
        <f t="shared" si="24"/>
        <v/>
      </c>
      <c r="I466" s="6" t="str">
        <f t="shared" si="25"/>
        <v/>
      </c>
      <c r="J466" s="6" t="str">
        <f t="shared" si="26"/>
        <v/>
      </c>
      <c r="K466" t="str">
        <f>IFERROR(MATCH(446,Сборка!$R$2:$R$501,0),"")</f>
        <v/>
      </c>
      <c r="L466" t="str">
        <f>IFERROR(IF(INDEX(Сборка!$Q$2:$Q$501,MATCH(446+1,Сборка!$R$2:$R$501,0))=1,INDEX(Сборка!$P$2:$P$501,MATCH(446+1,Сборка!$R$2:$R$501,0)),""),"")</f>
        <v/>
      </c>
      <c r="M466" t="str">
        <f t="shared" si="27"/>
        <v/>
      </c>
    </row>
    <row r="467" spans="1:13" hidden="1" x14ac:dyDescent="0.3">
      <c r="A467" t="str">
        <f>IF(ISNUMBER($K467),INDEX(Сборка!$O$2:$O$501,$K467),"")</f>
        <v/>
      </c>
      <c r="B467" t="str">
        <f>IF(ISNUMBER($K467),INDEX(Сборка!$C$2:$C$501,$K467),"")</f>
        <v/>
      </c>
      <c r="C467" s="5" t="str">
        <f>IF($L467&lt;&gt;"",INDEX(Сборка!$S$2:$S$501,MATCH($L467,Сборка!$P$2:$P$501,0)),IF(ISNUMBER($K467),INDEX(Сборка!$D$2:$D$501,$K467)&amp;IF(INDEX(Сборка!$I$2:$I$501,$K467)&lt;&gt;""," — "&amp;INDEX(Сборка!$I$2:$I$501,$K467),""),""))</f>
        <v/>
      </c>
      <c r="D467" t="str">
        <f>IF(ISNUMBER($K467),INDEX(Сборка!$E$2:$E$501,$K467),"")</f>
        <v/>
      </c>
      <c r="E467" t="str">
        <f>IF(ISNUMBER($K467),INDEX(Сборка!$G$2:$G$501,$K467),"")</f>
        <v/>
      </c>
      <c r="F467" s="6" t="str">
        <f>IF(ISNUMBER($K467),INDEX(Сборка!$J$2:$J$501,$K467),"")</f>
        <v/>
      </c>
      <c r="G467" s="6" t="str">
        <f>IF(ISNUMBER($K467),INDEX(Сборка!$K$2:$K$501,$K467),"")</f>
        <v/>
      </c>
      <c r="H467" s="6" t="str">
        <f t="shared" si="24"/>
        <v/>
      </c>
      <c r="I467" s="6" t="str">
        <f t="shared" si="25"/>
        <v/>
      </c>
      <c r="J467" s="6" t="str">
        <f t="shared" si="26"/>
        <v/>
      </c>
      <c r="K467" t="str">
        <f>IFERROR(MATCH(447,Сборка!$R$2:$R$501,0),"")</f>
        <v/>
      </c>
      <c r="L467" t="str">
        <f>IFERROR(IF(INDEX(Сборка!$Q$2:$Q$501,MATCH(447+1,Сборка!$R$2:$R$501,0))=1,INDEX(Сборка!$P$2:$P$501,MATCH(447+1,Сборка!$R$2:$R$501,0)),""),"")</f>
        <v/>
      </c>
      <c r="M467" t="str">
        <f t="shared" si="27"/>
        <v/>
      </c>
    </row>
    <row r="468" spans="1:13" hidden="1" x14ac:dyDescent="0.3">
      <c r="A468" t="str">
        <f>IF(ISNUMBER($K468),INDEX(Сборка!$O$2:$O$501,$K468),"")</f>
        <v/>
      </c>
      <c r="B468" t="str">
        <f>IF(ISNUMBER($K468),INDEX(Сборка!$C$2:$C$501,$K468),"")</f>
        <v/>
      </c>
      <c r="C468" s="5" t="str">
        <f>IF($L468&lt;&gt;"",INDEX(Сборка!$S$2:$S$501,MATCH($L468,Сборка!$P$2:$P$501,0)),IF(ISNUMBER($K468),INDEX(Сборка!$D$2:$D$501,$K468)&amp;IF(INDEX(Сборка!$I$2:$I$501,$K468)&lt;&gt;""," — "&amp;INDEX(Сборка!$I$2:$I$501,$K468),""),""))</f>
        <v/>
      </c>
      <c r="D468" t="str">
        <f>IF(ISNUMBER($K468),INDEX(Сборка!$E$2:$E$501,$K468),"")</f>
        <v/>
      </c>
      <c r="E468" t="str">
        <f>IF(ISNUMBER($K468),INDEX(Сборка!$G$2:$G$501,$K468),"")</f>
        <v/>
      </c>
      <c r="F468" s="6" t="str">
        <f>IF(ISNUMBER($K468),INDEX(Сборка!$J$2:$J$501,$K468),"")</f>
        <v/>
      </c>
      <c r="G468" s="6" t="str">
        <f>IF(ISNUMBER($K468),INDEX(Сборка!$K$2:$K$501,$K468),"")</f>
        <v/>
      </c>
      <c r="H468" s="6" t="str">
        <f t="shared" si="24"/>
        <v/>
      </c>
      <c r="I468" s="6" t="str">
        <f t="shared" si="25"/>
        <v/>
      </c>
      <c r="J468" s="6" t="str">
        <f t="shared" si="26"/>
        <v/>
      </c>
      <c r="K468" t="str">
        <f>IFERROR(MATCH(448,Сборка!$R$2:$R$501,0),"")</f>
        <v/>
      </c>
      <c r="L468" t="str">
        <f>IFERROR(IF(INDEX(Сборка!$Q$2:$Q$501,MATCH(448+1,Сборка!$R$2:$R$501,0))=1,INDEX(Сборка!$P$2:$P$501,MATCH(448+1,Сборка!$R$2:$R$501,0)),""),"")</f>
        <v/>
      </c>
      <c r="M468" t="str">
        <f t="shared" si="27"/>
        <v/>
      </c>
    </row>
    <row r="469" spans="1:13" hidden="1" x14ac:dyDescent="0.3">
      <c r="A469" t="str">
        <f>IF(ISNUMBER($K469),INDEX(Сборка!$O$2:$O$501,$K469),"")</f>
        <v/>
      </c>
      <c r="B469" t="str">
        <f>IF(ISNUMBER($K469),INDEX(Сборка!$C$2:$C$501,$K469),"")</f>
        <v/>
      </c>
      <c r="C469" s="5" t="str">
        <f>IF($L469&lt;&gt;"",INDEX(Сборка!$S$2:$S$501,MATCH($L469,Сборка!$P$2:$P$501,0)),IF(ISNUMBER($K469),INDEX(Сборка!$D$2:$D$501,$K469)&amp;IF(INDEX(Сборка!$I$2:$I$501,$K469)&lt;&gt;""," — "&amp;INDEX(Сборка!$I$2:$I$501,$K469),""),""))</f>
        <v/>
      </c>
      <c r="D469" t="str">
        <f>IF(ISNUMBER($K469),INDEX(Сборка!$E$2:$E$501,$K469),"")</f>
        <v/>
      </c>
      <c r="E469" t="str">
        <f>IF(ISNUMBER($K469),INDEX(Сборка!$G$2:$G$501,$K469),"")</f>
        <v/>
      </c>
      <c r="F469" s="6" t="str">
        <f>IF(ISNUMBER($K469),INDEX(Сборка!$J$2:$J$501,$K469),"")</f>
        <v/>
      </c>
      <c r="G469" s="6" t="str">
        <f>IF(ISNUMBER($K469),INDEX(Сборка!$K$2:$K$501,$K469),"")</f>
        <v/>
      </c>
      <c r="H469" s="6" t="str">
        <f t="shared" ref="H469:H532" si="28">IF(ISNUMBER($K469),ROUND($E469*$F469,2),"")</f>
        <v/>
      </c>
      <c r="I469" s="6" t="str">
        <f t="shared" ref="I469:I532" si="29">IF(ISNUMBER($K469),ROUND($E469*$G469,2),"")</f>
        <v/>
      </c>
      <c r="J469" s="6" t="str">
        <f t="shared" ref="J469:J532" si="30">IF(ISNUMBER($K469),$H469+$I469,"")</f>
        <v/>
      </c>
      <c r="K469" t="str">
        <f>IFERROR(MATCH(449,Сборка!$R$2:$R$501,0),"")</f>
        <v/>
      </c>
      <c r="L469" t="str">
        <f>IFERROR(IF(INDEX(Сборка!$Q$2:$Q$501,MATCH(449+1,Сборка!$R$2:$R$501,0))=1,INDEX(Сборка!$P$2:$P$501,MATCH(449+1,Сборка!$R$2:$R$501,0)),""),"")</f>
        <v/>
      </c>
      <c r="M469" t="str">
        <f t="shared" ref="M469:M532" si="31">IF(OR(ISNUMBER($K469),$L469&lt;&gt;""),"показать","")</f>
        <v/>
      </c>
    </row>
    <row r="470" spans="1:13" hidden="1" x14ac:dyDescent="0.3">
      <c r="A470" t="str">
        <f>IF(ISNUMBER($K470),INDEX(Сборка!$O$2:$O$501,$K470),"")</f>
        <v/>
      </c>
      <c r="B470" t="str">
        <f>IF(ISNUMBER($K470),INDEX(Сборка!$C$2:$C$501,$K470),"")</f>
        <v/>
      </c>
      <c r="C470" s="5" t="str">
        <f>IF($L470&lt;&gt;"",INDEX(Сборка!$S$2:$S$501,MATCH($L470,Сборка!$P$2:$P$501,0)),IF(ISNUMBER($K470),INDEX(Сборка!$D$2:$D$501,$K470)&amp;IF(INDEX(Сборка!$I$2:$I$501,$K470)&lt;&gt;""," — "&amp;INDEX(Сборка!$I$2:$I$501,$K470),""),""))</f>
        <v/>
      </c>
      <c r="D470" t="str">
        <f>IF(ISNUMBER($K470),INDEX(Сборка!$E$2:$E$501,$K470),"")</f>
        <v/>
      </c>
      <c r="E470" t="str">
        <f>IF(ISNUMBER($K470),INDEX(Сборка!$G$2:$G$501,$K470),"")</f>
        <v/>
      </c>
      <c r="F470" s="6" t="str">
        <f>IF(ISNUMBER($K470),INDEX(Сборка!$J$2:$J$501,$K470),"")</f>
        <v/>
      </c>
      <c r="G470" s="6" t="str">
        <f>IF(ISNUMBER($K470),INDEX(Сборка!$K$2:$K$501,$K470),"")</f>
        <v/>
      </c>
      <c r="H470" s="6" t="str">
        <f t="shared" si="28"/>
        <v/>
      </c>
      <c r="I470" s="6" t="str">
        <f t="shared" si="29"/>
        <v/>
      </c>
      <c r="J470" s="6" t="str">
        <f t="shared" si="30"/>
        <v/>
      </c>
      <c r="K470" t="str">
        <f>IFERROR(MATCH(450,Сборка!$R$2:$R$501,0),"")</f>
        <v/>
      </c>
      <c r="L470" t="str">
        <f>IFERROR(IF(INDEX(Сборка!$Q$2:$Q$501,MATCH(450+1,Сборка!$R$2:$R$501,0))=1,INDEX(Сборка!$P$2:$P$501,MATCH(450+1,Сборка!$R$2:$R$501,0)),""),"")</f>
        <v/>
      </c>
      <c r="M470" t="str">
        <f t="shared" si="31"/>
        <v/>
      </c>
    </row>
    <row r="471" spans="1:13" hidden="1" x14ac:dyDescent="0.3">
      <c r="A471" t="str">
        <f>IF(ISNUMBER($K471),INDEX(Сборка!$O$2:$O$501,$K471),"")</f>
        <v/>
      </c>
      <c r="B471" t="str">
        <f>IF(ISNUMBER($K471),INDEX(Сборка!$C$2:$C$501,$K471),"")</f>
        <v/>
      </c>
      <c r="C471" s="5" t="str">
        <f>IF($L471&lt;&gt;"",INDEX(Сборка!$S$2:$S$501,MATCH($L471,Сборка!$P$2:$P$501,0)),IF(ISNUMBER($K471),INDEX(Сборка!$D$2:$D$501,$K471)&amp;IF(INDEX(Сборка!$I$2:$I$501,$K471)&lt;&gt;""," — "&amp;INDEX(Сборка!$I$2:$I$501,$K471),""),""))</f>
        <v/>
      </c>
      <c r="D471" t="str">
        <f>IF(ISNUMBER($K471),INDEX(Сборка!$E$2:$E$501,$K471),"")</f>
        <v/>
      </c>
      <c r="E471" t="str">
        <f>IF(ISNUMBER($K471),INDEX(Сборка!$G$2:$G$501,$K471),"")</f>
        <v/>
      </c>
      <c r="F471" s="6" t="str">
        <f>IF(ISNUMBER($K471),INDEX(Сборка!$J$2:$J$501,$K471),"")</f>
        <v/>
      </c>
      <c r="G471" s="6" t="str">
        <f>IF(ISNUMBER($K471),INDEX(Сборка!$K$2:$K$501,$K471),"")</f>
        <v/>
      </c>
      <c r="H471" s="6" t="str">
        <f t="shared" si="28"/>
        <v/>
      </c>
      <c r="I471" s="6" t="str">
        <f t="shared" si="29"/>
        <v/>
      </c>
      <c r="J471" s="6" t="str">
        <f t="shared" si="30"/>
        <v/>
      </c>
      <c r="K471" t="str">
        <f>IFERROR(MATCH(451,Сборка!$R$2:$R$501,0),"")</f>
        <v/>
      </c>
      <c r="L471" t="str">
        <f>IFERROR(IF(INDEX(Сборка!$Q$2:$Q$501,MATCH(451+1,Сборка!$R$2:$R$501,0))=1,INDEX(Сборка!$P$2:$P$501,MATCH(451+1,Сборка!$R$2:$R$501,0)),""),"")</f>
        <v/>
      </c>
      <c r="M471" t="str">
        <f t="shared" si="31"/>
        <v/>
      </c>
    </row>
    <row r="472" spans="1:13" hidden="1" x14ac:dyDescent="0.3">
      <c r="A472" t="str">
        <f>IF(ISNUMBER($K472),INDEX(Сборка!$O$2:$O$501,$K472),"")</f>
        <v/>
      </c>
      <c r="B472" t="str">
        <f>IF(ISNUMBER($K472),INDEX(Сборка!$C$2:$C$501,$K472),"")</f>
        <v/>
      </c>
      <c r="C472" s="5" t="str">
        <f>IF($L472&lt;&gt;"",INDEX(Сборка!$S$2:$S$501,MATCH($L472,Сборка!$P$2:$P$501,0)),IF(ISNUMBER($K472),INDEX(Сборка!$D$2:$D$501,$K472)&amp;IF(INDEX(Сборка!$I$2:$I$501,$K472)&lt;&gt;""," — "&amp;INDEX(Сборка!$I$2:$I$501,$K472),""),""))</f>
        <v/>
      </c>
      <c r="D472" t="str">
        <f>IF(ISNUMBER($K472),INDEX(Сборка!$E$2:$E$501,$K472),"")</f>
        <v/>
      </c>
      <c r="E472" t="str">
        <f>IF(ISNUMBER($K472),INDEX(Сборка!$G$2:$G$501,$K472),"")</f>
        <v/>
      </c>
      <c r="F472" s="6" t="str">
        <f>IF(ISNUMBER($K472),INDEX(Сборка!$J$2:$J$501,$K472),"")</f>
        <v/>
      </c>
      <c r="G472" s="6" t="str">
        <f>IF(ISNUMBER($K472),INDEX(Сборка!$K$2:$K$501,$K472),"")</f>
        <v/>
      </c>
      <c r="H472" s="6" t="str">
        <f t="shared" si="28"/>
        <v/>
      </c>
      <c r="I472" s="6" t="str">
        <f t="shared" si="29"/>
        <v/>
      </c>
      <c r="J472" s="6" t="str">
        <f t="shared" si="30"/>
        <v/>
      </c>
      <c r="K472" t="str">
        <f>IFERROR(MATCH(452,Сборка!$R$2:$R$501,0),"")</f>
        <v/>
      </c>
      <c r="L472" t="str">
        <f>IFERROR(IF(INDEX(Сборка!$Q$2:$Q$501,MATCH(452+1,Сборка!$R$2:$R$501,0))=1,INDEX(Сборка!$P$2:$P$501,MATCH(452+1,Сборка!$R$2:$R$501,0)),""),"")</f>
        <v/>
      </c>
      <c r="M472" t="str">
        <f t="shared" si="31"/>
        <v/>
      </c>
    </row>
    <row r="473" spans="1:13" hidden="1" x14ac:dyDescent="0.3">
      <c r="A473" t="str">
        <f>IF(ISNUMBER($K473),INDEX(Сборка!$O$2:$O$501,$K473),"")</f>
        <v/>
      </c>
      <c r="B473" t="str">
        <f>IF(ISNUMBER($K473),INDEX(Сборка!$C$2:$C$501,$K473),"")</f>
        <v/>
      </c>
      <c r="C473" s="5" t="str">
        <f>IF($L473&lt;&gt;"",INDEX(Сборка!$S$2:$S$501,MATCH($L473,Сборка!$P$2:$P$501,0)),IF(ISNUMBER($K473),INDEX(Сборка!$D$2:$D$501,$K473)&amp;IF(INDEX(Сборка!$I$2:$I$501,$K473)&lt;&gt;""," — "&amp;INDEX(Сборка!$I$2:$I$501,$K473),""),""))</f>
        <v/>
      </c>
      <c r="D473" t="str">
        <f>IF(ISNUMBER($K473),INDEX(Сборка!$E$2:$E$501,$K473),"")</f>
        <v/>
      </c>
      <c r="E473" t="str">
        <f>IF(ISNUMBER($K473),INDEX(Сборка!$G$2:$G$501,$K473),"")</f>
        <v/>
      </c>
      <c r="F473" s="6" t="str">
        <f>IF(ISNUMBER($K473),INDEX(Сборка!$J$2:$J$501,$K473),"")</f>
        <v/>
      </c>
      <c r="G473" s="6" t="str">
        <f>IF(ISNUMBER($K473),INDEX(Сборка!$K$2:$K$501,$K473),"")</f>
        <v/>
      </c>
      <c r="H473" s="6" t="str">
        <f t="shared" si="28"/>
        <v/>
      </c>
      <c r="I473" s="6" t="str">
        <f t="shared" si="29"/>
        <v/>
      </c>
      <c r="J473" s="6" t="str">
        <f t="shared" si="30"/>
        <v/>
      </c>
      <c r="K473" t="str">
        <f>IFERROR(MATCH(453,Сборка!$R$2:$R$501,0),"")</f>
        <v/>
      </c>
      <c r="L473" t="str">
        <f>IFERROR(IF(INDEX(Сборка!$Q$2:$Q$501,MATCH(453+1,Сборка!$R$2:$R$501,0))=1,INDEX(Сборка!$P$2:$P$501,MATCH(453+1,Сборка!$R$2:$R$501,0)),""),"")</f>
        <v/>
      </c>
      <c r="M473" t="str">
        <f t="shared" si="31"/>
        <v/>
      </c>
    </row>
    <row r="474" spans="1:13" hidden="1" x14ac:dyDescent="0.3">
      <c r="A474" t="str">
        <f>IF(ISNUMBER($K474),INDEX(Сборка!$O$2:$O$501,$K474),"")</f>
        <v/>
      </c>
      <c r="B474" t="str">
        <f>IF(ISNUMBER($K474),INDEX(Сборка!$C$2:$C$501,$K474),"")</f>
        <v/>
      </c>
      <c r="C474" s="5" t="str">
        <f>IF($L474&lt;&gt;"",INDEX(Сборка!$S$2:$S$501,MATCH($L474,Сборка!$P$2:$P$501,0)),IF(ISNUMBER($K474),INDEX(Сборка!$D$2:$D$501,$K474)&amp;IF(INDEX(Сборка!$I$2:$I$501,$K474)&lt;&gt;""," — "&amp;INDEX(Сборка!$I$2:$I$501,$K474),""),""))</f>
        <v/>
      </c>
      <c r="D474" t="str">
        <f>IF(ISNUMBER($K474),INDEX(Сборка!$E$2:$E$501,$K474),"")</f>
        <v/>
      </c>
      <c r="E474" t="str">
        <f>IF(ISNUMBER($K474),INDEX(Сборка!$G$2:$G$501,$K474),"")</f>
        <v/>
      </c>
      <c r="F474" s="6" t="str">
        <f>IF(ISNUMBER($K474),INDEX(Сборка!$J$2:$J$501,$K474),"")</f>
        <v/>
      </c>
      <c r="G474" s="6" t="str">
        <f>IF(ISNUMBER($K474),INDEX(Сборка!$K$2:$K$501,$K474),"")</f>
        <v/>
      </c>
      <c r="H474" s="6" t="str">
        <f t="shared" si="28"/>
        <v/>
      </c>
      <c r="I474" s="6" t="str">
        <f t="shared" si="29"/>
        <v/>
      </c>
      <c r="J474" s="6" t="str">
        <f t="shared" si="30"/>
        <v/>
      </c>
      <c r="K474" t="str">
        <f>IFERROR(MATCH(454,Сборка!$R$2:$R$501,0),"")</f>
        <v/>
      </c>
      <c r="L474" t="str">
        <f>IFERROR(IF(INDEX(Сборка!$Q$2:$Q$501,MATCH(454+1,Сборка!$R$2:$R$501,0))=1,INDEX(Сборка!$P$2:$P$501,MATCH(454+1,Сборка!$R$2:$R$501,0)),""),"")</f>
        <v/>
      </c>
      <c r="M474" t="str">
        <f t="shared" si="31"/>
        <v/>
      </c>
    </row>
    <row r="475" spans="1:13" hidden="1" x14ac:dyDescent="0.3">
      <c r="A475" t="str">
        <f>IF(ISNUMBER($K475),INDEX(Сборка!$O$2:$O$501,$K475),"")</f>
        <v/>
      </c>
      <c r="B475" t="str">
        <f>IF(ISNUMBER($K475),INDEX(Сборка!$C$2:$C$501,$K475),"")</f>
        <v/>
      </c>
      <c r="C475" s="5" t="str">
        <f>IF($L475&lt;&gt;"",INDEX(Сборка!$S$2:$S$501,MATCH($L475,Сборка!$P$2:$P$501,0)),IF(ISNUMBER($K475),INDEX(Сборка!$D$2:$D$501,$K475)&amp;IF(INDEX(Сборка!$I$2:$I$501,$K475)&lt;&gt;""," — "&amp;INDEX(Сборка!$I$2:$I$501,$K475),""),""))</f>
        <v/>
      </c>
      <c r="D475" t="str">
        <f>IF(ISNUMBER($K475),INDEX(Сборка!$E$2:$E$501,$K475),"")</f>
        <v/>
      </c>
      <c r="E475" t="str">
        <f>IF(ISNUMBER($K475),INDEX(Сборка!$G$2:$G$501,$K475),"")</f>
        <v/>
      </c>
      <c r="F475" s="6" t="str">
        <f>IF(ISNUMBER($K475),INDEX(Сборка!$J$2:$J$501,$K475),"")</f>
        <v/>
      </c>
      <c r="G475" s="6" t="str">
        <f>IF(ISNUMBER($K475),INDEX(Сборка!$K$2:$K$501,$K475),"")</f>
        <v/>
      </c>
      <c r="H475" s="6" t="str">
        <f t="shared" si="28"/>
        <v/>
      </c>
      <c r="I475" s="6" t="str">
        <f t="shared" si="29"/>
        <v/>
      </c>
      <c r="J475" s="6" t="str">
        <f t="shared" si="30"/>
        <v/>
      </c>
      <c r="K475" t="str">
        <f>IFERROR(MATCH(455,Сборка!$R$2:$R$501,0),"")</f>
        <v/>
      </c>
      <c r="L475" t="str">
        <f>IFERROR(IF(INDEX(Сборка!$Q$2:$Q$501,MATCH(455+1,Сборка!$R$2:$R$501,0))=1,INDEX(Сборка!$P$2:$P$501,MATCH(455+1,Сборка!$R$2:$R$501,0)),""),"")</f>
        <v/>
      </c>
      <c r="M475" t="str">
        <f t="shared" si="31"/>
        <v/>
      </c>
    </row>
    <row r="476" spans="1:13" hidden="1" x14ac:dyDescent="0.3">
      <c r="A476" t="str">
        <f>IF(ISNUMBER($K476),INDEX(Сборка!$O$2:$O$501,$K476),"")</f>
        <v/>
      </c>
      <c r="B476" t="str">
        <f>IF(ISNUMBER($K476),INDEX(Сборка!$C$2:$C$501,$K476),"")</f>
        <v/>
      </c>
      <c r="C476" s="5" t="str">
        <f>IF($L476&lt;&gt;"",INDEX(Сборка!$S$2:$S$501,MATCH($L476,Сборка!$P$2:$P$501,0)),IF(ISNUMBER($K476),INDEX(Сборка!$D$2:$D$501,$K476)&amp;IF(INDEX(Сборка!$I$2:$I$501,$K476)&lt;&gt;""," — "&amp;INDEX(Сборка!$I$2:$I$501,$K476),""),""))</f>
        <v/>
      </c>
      <c r="D476" t="str">
        <f>IF(ISNUMBER($K476),INDEX(Сборка!$E$2:$E$501,$K476),"")</f>
        <v/>
      </c>
      <c r="E476" t="str">
        <f>IF(ISNUMBER($K476),INDEX(Сборка!$G$2:$G$501,$K476),"")</f>
        <v/>
      </c>
      <c r="F476" s="6" t="str">
        <f>IF(ISNUMBER($K476),INDEX(Сборка!$J$2:$J$501,$K476),"")</f>
        <v/>
      </c>
      <c r="G476" s="6" t="str">
        <f>IF(ISNUMBER($K476),INDEX(Сборка!$K$2:$K$501,$K476),"")</f>
        <v/>
      </c>
      <c r="H476" s="6" t="str">
        <f t="shared" si="28"/>
        <v/>
      </c>
      <c r="I476" s="6" t="str">
        <f t="shared" si="29"/>
        <v/>
      </c>
      <c r="J476" s="6" t="str">
        <f t="shared" si="30"/>
        <v/>
      </c>
      <c r="K476" t="str">
        <f>IFERROR(MATCH(456,Сборка!$R$2:$R$501,0),"")</f>
        <v/>
      </c>
      <c r="L476" t="str">
        <f>IFERROR(IF(INDEX(Сборка!$Q$2:$Q$501,MATCH(456+1,Сборка!$R$2:$R$501,0))=1,INDEX(Сборка!$P$2:$P$501,MATCH(456+1,Сборка!$R$2:$R$501,0)),""),"")</f>
        <v/>
      </c>
      <c r="M476" t="str">
        <f t="shared" si="31"/>
        <v/>
      </c>
    </row>
    <row r="477" spans="1:13" hidden="1" x14ac:dyDescent="0.3">
      <c r="A477" t="str">
        <f>IF(ISNUMBER($K477),INDEX(Сборка!$O$2:$O$501,$K477),"")</f>
        <v/>
      </c>
      <c r="B477" t="str">
        <f>IF(ISNUMBER($K477),INDEX(Сборка!$C$2:$C$501,$K477),"")</f>
        <v/>
      </c>
      <c r="C477" s="5" t="str">
        <f>IF($L477&lt;&gt;"",INDEX(Сборка!$S$2:$S$501,MATCH($L477,Сборка!$P$2:$P$501,0)),IF(ISNUMBER($K477),INDEX(Сборка!$D$2:$D$501,$K477)&amp;IF(INDEX(Сборка!$I$2:$I$501,$K477)&lt;&gt;""," — "&amp;INDEX(Сборка!$I$2:$I$501,$K477),""),""))</f>
        <v/>
      </c>
      <c r="D477" t="str">
        <f>IF(ISNUMBER($K477),INDEX(Сборка!$E$2:$E$501,$K477),"")</f>
        <v/>
      </c>
      <c r="E477" t="str">
        <f>IF(ISNUMBER($K477),INDEX(Сборка!$G$2:$G$501,$K477),"")</f>
        <v/>
      </c>
      <c r="F477" s="6" t="str">
        <f>IF(ISNUMBER($K477),INDEX(Сборка!$J$2:$J$501,$K477),"")</f>
        <v/>
      </c>
      <c r="G477" s="6" t="str">
        <f>IF(ISNUMBER($K477),INDEX(Сборка!$K$2:$K$501,$K477),"")</f>
        <v/>
      </c>
      <c r="H477" s="6" t="str">
        <f t="shared" si="28"/>
        <v/>
      </c>
      <c r="I477" s="6" t="str">
        <f t="shared" si="29"/>
        <v/>
      </c>
      <c r="J477" s="6" t="str">
        <f t="shared" si="30"/>
        <v/>
      </c>
      <c r="K477" t="str">
        <f>IFERROR(MATCH(457,Сборка!$R$2:$R$501,0),"")</f>
        <v/>
      </c>
      <c r="L477" t="str">
        <f>IFERROR(IF(INDEX(Сборка!$Q$2:$Q$501,MATCH(457+1,Сборка!$R$2:$R$501,0))=1,INDEX(Сборка!$P$2:$P$501,MATCH(457+1,Сборка!$R$2:$R$501,0)),""),"")</f>
        <v/>
      </c>
      <c r="M477" t="str">
        <f t="shared" si="31"/>
        <v/>
      </c>
    </row>
    <row r="478" spans="1:13" hidden="1" x14ac:dyDescent="0.3">
      <c r="A478" t="str">
        <f>IF(ISNUMBER($K478),INDEX(Сборка!$O$2:$O$501,$K478),"")</f>
        <v/>
      </c>
      <c r="B478" t="str">
        <f>IF(ISNUMBER($K478),INDEX(Сборка!$C$2:$C$501,$K478),"")</f>
        <v/>
      </c>
      <c r="C478" s="5" t="str">
        <f>IF($L478&lt;&gt;"",INDEX(Сборка!$S$2:$S$501,MATCH($L478,Сборка!$P$2:$P$501,0)),IF(ISNUMBER($K478),INDEX(Сборка!$D$2:$D$501,$K478)&amp;IF(INDEX(Сборка!$I$2:$I$501,$K478)&lt;&gt;""," — "&amp;INDEX(Сборка!$I$2:$I$501,$K478),""),""))</f>
        <v/>
      </c>
      <c r="D478" t="str">
        <f>IF(ISNUMBER($K478),INDEX(Сборка!$E$2:$E$501,$K478),"")</f>
        <v/>
      </c>
      <c r="E478" t="str">
        <f>IF(ISNUMBER($K478),INDEX(Сборка!$G$2:$G$501,$K478),"")</f>
        <v/>
      </c>
      <c r="F478" s="6" t="str">
        <f>IF(ISNUMBER($K478),INDEX(Сборка!$J$2:$J$501,$K478),"")</f>
        <v/>
      </c>
      <c r="G478" s="6" t="str">
        <f>IF(ISNUMBER($K478),INDEX(Сборка!$K$2:$K$501,$K478),"")</f>
        <v/>
      </c>
      <c r="H478" s="6" t="str">
        <f t="shared" si="28"/>
        <v/>
      </c>
      <c r="I478" s="6" t="str">
        <f t="shared" si="29"/>
        <v/>
      </c>
      <c r="J478" s="6" t="str">
        <f t="shared" si="30"/>
        <v/>
      </c>
      <c r="K478" t="str">
        <f>IFERROR(MATCH(458,Сборка!$R$2:$R$501,0),"")</f>
        <v/>
      </c>
      <c r="L478" t="str">
        <f>IFERROR(IF(INDEX(Сборка!$Q$2:$Q$501,MATCH(458+1,Сборка!$R$2:$R$501,0))=1,INDEX(Сборка!$P$2:$P$501,MATCH(458+1,Сборка!$R$2:$R$501,0)),""),"")</f>
        <v/>
      </c>
      <c r="M478" t="str">
        <f t="shared" si="31"/>
        <v/>
      </c>
    </row>
    <row r="479" spans="1:13" hidden="1" x14ac:dyDescent="0.3">
      <c r="A479" t="str">
        <f>IF(ISNUMBER($K479),INDEX(Сборка!$O$2:$O$501,$K479),"")</f>
        <v/>
      </c>
      <c r="B479" t="str">
        <f>IF(ISNUMBER($K479),INDEX(Сборка!$C$2:$C$501,$K479),"")</f>
        <v/>
      </c>
      <c r="C479" s="5" t="str">
        <f>IF($L479&lt;&gt;"",INDEX(Сборка!$S$2:$S$501,MATCH($L479,Сборка!$P$2:$P$501,0)),IF(ISNUMBER($K479),INDEX(Сборка!$D$2:$D$501,$K479)&amp;IF(INDEX(Сборка!$I$2:$I$501,$K479)&lt;&gt;""," — "&amp;INDEX(Сборка!$I$2:$I$501,$K479),""),""))</f>
        <v/>
      </c>
      <c r="D479" t="str">
        <f>IF(ISNUMBER($K479),INDEX(Сборка!$E$2:$E$501,$K479),"")</f>
        <v/>
      </c>
      <c r="E479" t="str">
        <f>IF(ISNUMBER($K479),INDEX(Сборка!$G$2:$G$501,$K479),"")</f>
        <v/>
      </c>
      <c r="F479" s="6" t="str">
        <f>IF(ISNUMBER($K479),INDEX(Сборка!$J$2:$J$501,$K479),"")</f>
        <v/>
      </c>
      <c r="G479" s="6" t="str">
        <f>IF(ISNUMBER($K479),INDEX(Сборка!$K$2:$K$501,$K479),"")</f>
        <v/>
      </c>
      <c r="H479" s="6" t="str">
        <f t="shared" si="28"/>
        <v/>
      </c>
      <c r="I479" s="6" t="str">
        <f t="shared" si="29"/>
        <v/>
      </c>
      <c r="J479" s="6" t="str">
        <f t="shared" si="30"/>
        <v/>
      </c>
      <c r="K479" t="str">
        <f>IFERROR(MATCH(459,Сборка!$R$2:$R$501,0),"")</f>
        <v/>
      </c>
      <c r="L479" t="str">
        <f>IFERROR(IF(INDEX(Сборка!$Q$2:$Q$501,MATCH(459+1,Сборка!$R$2:$R$501,0))=1,INDEX(Сборка!$P$2:$P$501,MATCH(459+1,Сборка!$R$2:$R$501,0)),""),"")</f>
        <v/>
      </c>
      <c r="M479" t="str">
        <f t="shared" si="31"/>
        <v/>
      </c>
    </row>
    <row r="480" spans="1:13" hidden="1" x14ac:dyDescent="0.3">
      <c r="A480" t="str">
        <f>IF(ISNUMBER($K480),INDEX(Сборка!$O$2:$O$501,$K480),"")</f>
        <v/>
      </c>
      <c r="B480" t="str">
        <f>IF(ISNUMBER($K480),INDEX(Сборка!$C$2:$C$501,$K480),"")</f>
        <v/>
      </c>
      <c r="C480" s="5" t="str">
        <f>IF($L480&lt;&gt;"",INDEX(Сборка!$S$2:$S$501,MATCH($L480,Сборка!$P$2:$P$501,0)),IF(ISNUMBER($K480),INDEX(Сборка!$D$2:$D$501,$K480)&amp;IF(INDEX(Сборка!$I$2:$I$501,$K480)&lt;&gt;""," — "&amp;INDEX(Сборка!$I$2:$I$501,$K480),""),""))</f>
        <v/>
      </c>
      <c r="D480" t="str">
        <f>IF(ISNUMBER($K480),INDEX(Сборка!$E$2:$E$501,$K480),"")</f>
        <v/>
      </c>
      <c r="E480" t="str">
        <f>IF(ISNUMBER($K480),INDEX(Сборка!$G$2:$G$501,$K480),"")</f>
        <v/>
      </c>
      <c r="F480" s="6" t="str">
        <f>IF(ISNUMBER($K480),INDEX(Сборка!$J$2:$J$501,$K480),"")</f>
        <v/>
      </c>
      <c r="G480" s="6" t="str">
        <f>IF(ISNUMBER($K480),INDEX(Сборка!$K$2:$K$501,$K480),"")</f>
        <v/>
      </c>
      <c r="H480" s="6" t="str">
        <f t="shared" si="28"/>
        <v/>
      </c>
      <c r="I480" s="6" t="str">
        <f t="shared" si="29"/>
        <v/>
      </c>
      <c r="J480" s="6" t="str">
        <f t="shared" si="30"/>
        <v/>
      </c>
      <c r="K480" t="str">
        <f>IFERROR(MATCH(460,Сборка!$R$2:$R$501,0),"")</f>
        <v/>
      </c>
      <c r="L480" t="str">
        <f>IFERROR(IF(INDEX(Сборка!$Q$2:$Q$501,MATCH(460+1,Сборка!$R$2:$R$501,0))=1,INDEX(Сборка!$P$2:$P$501,MATCH(460+1,Сборка!$R$2:$R$501,0)),""),"")</f>
        <v/>
      </c>
      <c r="M480" t="str">
        <f t="shared" si="31"/>
        <v/>
      </c>
    </row>
    <row r="481" spans="1:13" hidden="1" x14ac:dyDescent="0.3">
      <c r="A481" t="str">
        <f>IF(ISNUMBER($K481),INDEX(Сборка!$O$2:$O$501,$K481),"")</f>
        <v/>
      </c>
      <c r="B481" t="str">
        <f>IF(ISNUMBER($K481),INDEX(Сборка!$C$2:$C$501,$K481),"")</f>
        <v/>
      </c>
      <c r="C481" s="5" t="str">
        <f>IF($L481&lt;&gt;"",INDEX(Сборка!$S$2:$S$501,MATCH($L481,Сборка!$P$2:$P$501,0)),IF(ISNUMBER($K481),INDEX(Сборка!$D$2:$D$501,$K481)&amp;IF(INDEX(Сборка!$I$2:$I$501,$K481)&lt;&gt;""," — "&amp;INDEX(Сборка!$I$2:$I$501,$K481),""),""))</f>
        <v/>
      </c>
      <c r="D481" t="str">
        <f>IF(ISNUMBER($K481),INDEX(Сборка!$E$2:$E$501,$K481),"")</f>
        <v/>
      </c>
      <c r="E481" t="str">
        <f>IF(ISNUMBER($K481),INDEX(Сборка!$G$2:$G$501,$K481),"")</f>
        <v/>
      </c>
      <c r="F481" s="6" t="str">
        <f>IF(ISNUMBER($K481),INDEX(Сборка!$J$2:$J$501,$K481),"")</f>
        <v/>
      </c>
      <c r="G481" s="6" t="str">
        <f>IF(ISNUMBER($K481),INDEX(Сборка!$K$2:$K$501,$K481),"")</f>
        <v/>
      </c>
      <c r="H481" s="6" t="str">
        <f t="shared" si="28"/>
        <v/>
      </c>
      <c r="I481" s="6" t="str">
        <f t="shared" si="29"/>
        <v/>
      </c>
      <c r="J481" s="6" t="str">
        <f t="shared" si="30"/>
        <v/>
      </c>
      <c r="K481" t="str">
        <f>IFERROR(MATCH(461,Сборка!$R$2:$R$501,0),"")</f>
        <v/>
      </c>
      <c r="L481" t="str">
        <f>IFERROR(IF(INDEX(Сборка!$Q$2:$Q$501,MATCH(461+1,Сборка!$R$2:$R$501,0))=1,INDEX(Сборка!$P$2:$P$501,MATCH(461+1,Сборка!$R$2:$R$501,0)),""),"")</f>
        <v/>
      </c>
      <c r="M481" t="str">
        <f t="shared" si="31"/>
        <v/>
      </c>
    </row>
    <row r="482" spans="1:13" hidden="1" x14ac:dyDescent="0.3">
      <c r="A482" t="str">
        <f>IF(ISNUMBER($K482),INDEX(Сборка!$O$2:$O$501,$K482),"")</f>
        <v/>
      </c>
      <c r="B482" t="str">
        <f>IF(ISNUMBER($K482),INDEX(Сборка!$C$2:$C$501,$K482),"")</f>
        <v/>
      </c>
      <c r="C482" s="5" t="str">
        <f>IF($L482&lt;&gt;"",INDEX(Сборка!$S$2:$S$501,MATCH($L482,Сборка!$P$2:$P$501,0)),IF(ISNUMBER($K482),INDEX(Сборка!$D$2:$D$501,$K482)&amp;IF(INDEX(Сборка!$I$2:$I$501,$K482)&lt;&gt;""," — "&amp;INDEX(Сборка!$I$2:$I$501,$K482),""),""))</f>
        <v/>
      </c>
      <c r="D482" t="str">
        <f>IF(ISNUMBER($K482),INDEX(Сборка!$E$2:$E$501,$K482),"")</f>
        <v/>
      </c>
      <c r="E482" t="str">
        <f>IF(ISNUMBER($K482),INDEX(Сборка!$G$2:$G$501,$K482),"")</f>
        <v/>
      </c>
      <c r="F482" s="6" t="str">
        <f>IF(ISNUMBER($K482),INDEX(Сборка!$J$2:$J$501,$K482),"")</f>
        <v/>
      </c>
      <c r="G482" s="6" t="str">
        <f>IF(ISNUMBER($K482),INDEX(Сборка!$K$2:$K$501,$K482),"")</f>
        <v/>
      </c>
      <c r="H482" s="6" t="str">
        <f t="shared" si="28"/>
        <v/>
      </c>
      <c r="I482" s="6" t="str">
        <f t="shared" si="29"/>
        <v/>
      </c>
      <c r="J482" s="6" t="str">
        <f t="shared" si="30"/>
        <v/>
      </c>
      <c r="K482" t="str">
        <f>IFERROR(MATCH(462,Сборка!$R$2:$R$501,0),"")</f>
        <v/>
      </c>
      <c r="L482" t="str">
        <f>IFERROR(IF(INDEX(Сборка!$Q$2:$Q$501,MATCH(462+1,Сборка!$R$2:$R$501,0))=1,INDEX(Сборка!$P$2:$P$501,MATCH(462+1,Сборка!$R$2:$R$501,0)),""),"")</f>
        <v/>
      </c>
      <c r="M482" t="str">
        <f t="shared" si="31"/>
        <v/>
      </c>
    </row>
    <row r="483" spans="1:13" hidden="1" x14ac:dyDescent="0.3">
      <c r="A483" t="str">
        <f>IF(ISNUMBER($K483),INDEX(Сборка!$O$2:$O$501,$K483),"")</f>
        <v/>
      </c>
      <c r="B483" t="str">
        <f>IF(ISNUMBER($K483),INDEX(Сборка!$C$2:$C$501,$K483),"")</f>
        <v/>
      </c>
      <c r="C483" s="5" t="str">
        <f>IF($L483&lt;&gt;"",INDEX(Сборка!$S$2:$S$501,MATCH($L483,Сборка!$P$2:$P$501,0)),IF(ISNUMBER($K483),INDEX(Сборка!$D$2:$D$501,$K483)&amp;IF(INDEX(Сборка!$I$2:$I$501,$K483)&lt;&gt;""," — "&amp;INDEX(Сборка!$I$2:$I$501,$K483),""),""))</f>
        <v/>
      </c>
      <c r="D483" t="str">
        <f>IF(ISNUMBER($K483),INDEX(Сборка!$E$2:$E$501,$K483),"")</f>
        <v/>
      </c>
      <c r="E483" t="str">
        <f>IF(ISNUMBER($K483),INDEX(Сборка!$G$2:$G$501,$K483),"")</f>
        <v/>
      </c>
      <c r="F483" s="6" t="str">
        <f>IF(ISNUMBER($K483),INDEX(Сборка!$J$2:$J$501,$K483),"")</f>
        <v/>
      </c>
      <c r="G483" s="6" t="str">
        <f>IF(ISNUMBER($K483),INDEX(Сборка!$K$2:$K$501,$K483),"")</f>
        <v/>
      </c>
      <c r="H483" s="6" t="str">
        <f t="shared" si="28"/>
        <v/>
      </c>
      <c r="I483" s="6" t="str">
        <f t="shared" si="29"/>
        <v/>
      </c>
      <c r="J483" s="6" t="str">
        <f t="shared" si="30"/>
        <v/>
      </c>
      <c r="K483" t="str">
        <f>IFERROR(MATCH(463,Сборка!$R$2:$R$501,0),"")</f>
        <v/>
      </c>
      <c r="L483" t="str">
        <f>IFERROR(IF(INDEX(Сборка!$Q$2:$Q$501,MATCH(463+1,Сборка!$R$2:$R$501,0))=1,INDEX(Сборка!$P$2:$P$501,MATCH(463+1,Сборка!$R$2:$R$501,0)),""),"")</f>
        <v/>
      </c>
      <c r="M483" t="str">
        <f t="shared" si="31"/>
        <v/>
      </c>
    </row>
    <row r="484" spans="1:13" hidden="1" x14ac:dyDescent="0.3">
      <c r="A484" t="str">
        <f>IF(ISNUMBER($K484),INDEX(Сборка!$O$2:$O$501,$K484),"")</f>
        <v/>
      </c>
      <c r="B484" t="str">
        <f>IF(ISNUMBER($K484),INDEX(Сборка!$C$2:$C$501,$K484),"")</f>
        <v/>
      </c>
      <c r="C484" s="5" t="str">
        <f>IF($L484&lt;&gt;"",INDEX(Сборка!$S$2:$S$501,MATCH($L484,Сборка!$P$2:$P$501,0)),IF(ISNUMBER($K484),INDEX(Сборка!$D$2:$D$501,$K484)&amp;IF(INDEX(Сборка!$I$2:$I$501,$K484)&lt;&gt;""," — "&amp;INDEX(Сборка!$I$2:$I$501,$K484),""),""))</f>
        <v/>
      </c>
      <c r="D484" t="str">
        <f>IF(ISNUMBER($K484),INDEX(Сборка!$E$2:$E$501,$K484),"")</f>
        <v/>
      </c>
      <c r="E484" t="str">
        <f>IF(ISNUMBER($K484),INDEX(Сборка!$G$2:$G$501,$K484),"")</f>
        <v/>
      </c>
      <c r="F484" s="6" t="str">
        <f>IF(ISNUMBER($K484),INDEX(Сборка!$J$2:$J$501,$K484),"")</f>
        <v/>
      </c>
      <c r="G484" s="6" t="str">
        <f>IF(ISNUMBER($K484),INDEX(Сборка!$K$2:$K$501,$K484),"")</f>
        <v/>
      </c>
      <c r="H484" s="6" t="str">
        <f t="shared" si="28"/>
        <v/>
      </c>
      <c r="I484" s="6" t="str">
        <f t="shared" si="29"/>
        <v/>
      </c>
      <c r="J484" s="6" t="str">
        <f t="shared" si="30"/>
        <v/>
      </c>
      <c r="K484" t="str">
        <f>IFERROR(MATCH(464,Сборка!$R$2:$R$501,0),"")</f>
        <v/>
      </c>
      <c r="L484" t="str">
        <f>IFERROR(IF(INDEX(Сборка!$Q$2:$Q$501,MATCH(464+1,Сборка!$R$2:$R$501,0))=1,INDEX(Сборка!$P$2:$P$501,MATCH(464+1,Сборка!$R$2:$R$501,0)),""),"")</f>
        <v/>
      </c>
      <c r="M484" t="str">
        <f t="shared" si="31"/>
        <v/>
      </c>
    </row>
    <row r="485" spans="1:13" hidden="1" x14ac:dyDescent="0.3">
      <c r="A485" t="str">
        <f>IF(ISNUMBER($K485),INDEX(Сборка!$O$2:$O$501,$K485),"")</f>
        <v/>
      </c>
      <c r="B485" t="str">
        <f>IF(ISNUMBER($K485),INDEX(Сборка!$C$2:$C$501,$K485),"")</f>
        <v/>
      </c>
      <c r="C485" s="5" t="str">
        <f>IF($L485&lt;&gt;"",INDEX(Сборка!$S$2:$S$501,MATCH($L485,Сборка!$P$2:$P$501,0)),IF(ISNUMBER($K485),INDEX(Сборка!$D$2:$D$501,$K485)&amp;IF(INDEX(Сборка!$I$2:$I$501,$K485)&lt;&gt;""," — "&amp;INDEX(Сборка!$I$2:$I$501,$K485),""),""))</f>
        <v/>
      </c>
      <c r="D485" t="str">
        <f>IF(ISNUMBER($K485),INDEX(Сборка!$E$2:$E$501,$K485),"")</f>
        <v/>
      </c>
      <c r="E485" t="str">
        <f>IF(ISNUMBER($K485),INDEX(Сборка!$G$2:$G$501,$K485),"")</f>
        <v/>
      </c>
      <c r="F485" s="6" t="str">
        <f>IF(ISNUMBER($K485),INDEX(Сборка!$J$2:$J$501,$K485),"")</f>
        <v/>
      </c>
      <c r="G485" s="6" t="str">
        <f>IF(ISNUMBER($K485),INDEX(Сборка!$K$2:$K$501,$K485),"")</f>
        <v/>
      </c>
      <c r="H485" s="6" t="str">
        <f t="shared" si="28"/>
        <v/>
      </c>
      <c r="I485" s="6" t="str">
        <f t="shared" si="29"/>
        <v/>
      </c>
      <c r="J485" s="6" t="str">
        <f t="shared" si="30"/>
        <v/>
      </c>
      <c r="K485" t="str">
        <f>IFERROR(MATCH(465,Сборка!$R$2:$R$501,0),"")</f>
        <v/>
      </c>
      <c r="L485" t="str">
        <f>IFERROR(IF(INDEX(Сборка!$Q$2:$Q$501,MATCH(465+1,Сборка!$R$2:$R$501,0))=1,INDEX(Сборка!$P$2:$P$501,MATCH(465+1,Сборка!$R$2:$R$501,0)),""),"")</f>
        <v/>
      </c>
      <c r="M485" t="str">
        <f t="shared" si="31"/>
        <v/>
      </c>
    </row>
    <row r="486" spans="1:13" hidden="1" x14ac:dyDescent="0.3">
      <c r="A486" t="str">
        <f>IF(ISNUMBER($K486),INDEX(Сборка!$O$2:$O$501,$K486),"")</f>
        <v/>
      </c>
      <c r="B486" t="str">
        <f>IF(ISNUMBER($K486),INDEX(Сборка!$C$2:$C$501,$K486),"")</f>
        <v/>
      </c>
      <c r="C486" s="5" t="str">
        <f>IF($L486&lt;&gt;"",INDEX(Сборка!$S$2:$S$501,MATCH($L486,Сборка!$P$2:$P$501,0)),IF(ISNUMBER($K486),INDEX(Сборка!$D$2:$D$501,$K486)&amp;IF(INDEX(Сборка!$I$2:$I$501,$K486)&lt;&gt;""," — "&amp;INDEX(Сборка!$I$2:$I$501,$K486),""),""))</f>
        <v/>
      </c>
      <c r="D486" t="str">
        <f>IF(ISNUMBER($K486),INDEX(Сборка!$E$2:$E$501,$K486),"")</f>
        <v/>
      </c>
      <c r="E486" t="str">
        <f>IF(ISNUMBER($K486),INDEX(Сборка!$G$2:$G$501,$K486),"")</f>
        <v/>
      </c>
      <c r="F486" s="6" t="str">
        <f>IF(ISNUMBER($K486),INDEX(Сборка!$J$2:$J$501,$K486),"")</f>
        <v/>
      </c>
      <c r="G486" s="6" t="str">
        <f>IF(ISNUMBER($K486),INDEX(Сборка!$K$2:$K$501,$K486),"")</f>
        <v/>
      </c>
      <c r="H486" s="6" t="str">
        <f t="shared" si="28"/>
        <v/>
      </c>
      <c r="I486" s="6" t="str">
        <f t="shared" si="29"/>
        <v/>
      </c>
      <c r="J486" s="6" t="str">
        <f t="shared" si="30"/>
        <v/>
      </c>
      <c r="K486" t="str">
        <f>IFERROR(MATCH(466,Сборка!$R$2:$R$501,0),"")</f>
        <v/>
      </c>
      <c r="L486" t="str">
        <f>IFERROR(IF(INDEX(Сборка!$Q$2:$Q$501,MATCH(466+1,Сборка!$R$2:$R$501,0))=1,INDEX(Сборка!$P$2:$P$501,MATCH(466+1,Сборка!$R$2:$R$501,0)),""),"")</f>
        <v/>
      </c>
      <c r="M486" t="str">
        <f t="shared" si="31"/>
        <v/>
      </c>
    </row>
    <row r="487" spans="1:13" hidden="1" x14ac:dyDescent="0.3">
      <c r="A487" t="str">
        <f>IF(ISNUMBER($K487),INDEX(Сборка!$O$2:$O$501,$K487),"")</f>
        <v/>
      </c>
      <c r="B487" t="str">
        <f>IF(ISNUMBER($K487),INDEX(Сборка!$C$2:$C$501,$K487),"")</f>
        <v/>
      </c>
      <c r="C487" s="5" t="str">
        <f>IF($L487&lt;&gt;"",INDEX(Сборка!$S$2:$S$501,MATCH($L487,Сборка!$P$2:$P$501,0)),IF(ISNUMBER($K487),INDEX(Сборка!$D$2:$D$501,$K487)&amp;IF(INDEX(Сборка!$I$2:$I$501,$K487)&lt;&gt;""," — "&amp;INDEX(Сборка!$I$2:$I$501,$K487),""),""))</f>
        <v/>
      </c>
      <c r="D487" t="str">
        <f>IF(ISNUMBER($K487),INDEX(Сборка!$E$2:$E$501,$K487),"")</f>
        <v/>
      </c>
      <c r="E487" t="str">
        <f>IF(ISNUMBER($K487),INDEX(Сборка!$G$2:$G$501,$K487),"")</f>
        <v/>
      </c>
      <c r="F487" s="6" t="str">
        <f>IF(ISNUMBER($K487),INDEX(Сборка!$J$2:$J$501,$K487),"")</f>
        <v/>
      </c>
      <c r="G487" s="6" t="str">
        <f>IF(ISNUMBER($K487),INDEX(Сборка!$K$2:$K$501,$K487),"")</f>
        <v/>
      </c>
      <c r="H487" s="6" t="str">
        <f t="shared" si="28"/>
        <v/>
      </c>
      <c r="I487" s="6" t="str">
        <f t="shared" si="29"/>
        <v/>
      </c>
      <c r="J487" s="6" t="str">
        <f t="shared" si="30"/>
        <v/>
      </c>
      <c r="K487" t="str">
        <f>IFERROR(MATCH(467,Сборка!$R$2:$R$501,0),"")</f>
        <v/>
      </c>
      <c r="L487" t="str">
        <f>IFERROR(IF(INDEX(Сборка!$Q$2:$Q$501,MATCH(467+1,Сборка!$R$2:$R$501,0))=1,INDEX(Сборка!$P$2:$P$501,MATCH(467+1,Сборка!$R$2:$R$501,0)),""),"")</f>
        <v/>
      </c>
      <c r="M487" t="str">
        <f t="shared" si="31"/>
        <v/>
      </c>
    </row>
    <row r="488" spans="1:13" hidden="1" x14ac:dyDescent="0.3">
      <c r="A488" t="str">
        <f>IF(ISNUMBER($K488),INDEX(Сборка!$O$2:$O$501,$K488),"")</f>
        <v/>
      </c>
      <c r="B488" t="str">
        <f>IF(ISNUMBER($K488),INDEX(Сборка!$C$2:$C$501,$K488),"")</f>
        <v/>
      </c>
      <c r="C488" s="5" t="str">
        <f>IF($L488&lt;&gt;"",INDEX(Сборка!$S$2:$S$501,MATCH($L488,Сборка!$P$2:$P$501,0)),IF(ISNUMBER($K488),INDEX(Сборка!$D$2:$D$501,$K488)&amp;IF(INDEX(Сборка!$I$2:$I$501,$K488)&lt;&gt;""," — "&amp;INDEX(Сборка!$I$2:$I$501,$K488),""),""))</f>
        <v/>
      </c>
      <c r="D488" t="str">
        <f>IF(ISNUMBER($K488),INDEX(Сборка!$E$2:$E$501,$K488),"")</f>
        <v/>
      </c>
      <c r="E488" t="str">
        <f>IF(ISNUMBER($K488),INDEX(Сборка!$G$2:$G$501,$K488),"")</f>
        <v/>
      </c>
      <c r="F488" s="6" t="str">
        <f>IF(ISNUMBER($K488),INDEX(Сборка!$J$2:$J$501,$K488),"")</f>
        <v/>
      </c>
      <c r="G488" s="6" t="str">
        <f>IF(ISNUMBER($K488),INDEX(Сборка!$K$2:$K$501,$K488),"")</f>
        <v/>
      </c>
      <c r="H488" s="6" t="str">
        <f t="shared" si="28"/>
        <v/>
      </c>
      <c r="I488" s="6" t="str">
        <f t="shared" si="29"/>
        <v/>
      </c>
      <c r="J488" s="6" t="str">
        <f t="shared" si="30"/>
        <v/>
      </c>
      <c r="K488" t="str">
        <f>IFERROR(MATCH(468,Сборка!$R$2:$R$501,0),"")</f>
        <v/>
      </c>
      <c r="L488" t="str">
        <f>IFERROR(IF(INDEX(Сборка!$Q$2:$Q$501,MATCH(468+1,Сборка!$R$2:$R$501,0))=1,INDEX(Сборка!$P$2:$P$501,MATCH(468+1,Сборка!$R$2:$R$501,0)),""),"")</f>
        <v/>
      </c>
      <c r="M488" t="str">
        <f t="shared" si="31"/>
        <v/>
      </c>
    </row>
    <row r="489" spans="1:13" hidden="1" x14ac:dyDescent="0.3">
      <c r="A489" t="str">
        <f>IF(ISNUMBER($K489),INDEX(Сборка!$O$2:$O$501,$K489),"")</f>
        <v/>
      </c>
      <c r="B489" t="str">
        <f>IF(ISNUMBER($K489),INDEX(Сборка!$C$2:$C$501,$K489),"")</f>
        <v/>
      </c>
      <c r="C489" s="5" t="str">
        <f>IF($L489&lt;&gt;"",INDEX(Сборка!$S$2:$S$501,MATCH($L489,Сборка!$P$2:$P$501,0)),IF(ISNUMBER($K489),INDEX(Сборка!$D$2:$D$501,$K489)&amp;IF(INDEX(Сборка!$I$2:$I$501,$K489)&lt;&gt;""," — "&amp;INDEX(Сборка!$I$2:$I$501,$K489),""),""))</f>
        <v/>
      </c>
      <c r="D489" t="str">
        <f>IF(ISNUMBER($K489),INDEX(Сборка!$E$2:$E$501,$K489),"")</f>
        <v/>
      </c>
      <c r="E489" t="str">
        <f>IF(ISNUMBER($K489),INDEX(Сборка!$G$2:$G$501,$K489),"")</f>
        <v/>
      </c>
      <c r="F489" s="6" t="str">
        <f>IF(ISNUMBER($K489),INDEX(Сборка!$J$2:$J$501,$K489),"")</f>
        <v/>
      </c>
      <c r="G489" s="6" t="str">
        <f>IF(ISNUMBER($K489),INDEX(Сборка!$K$2:$K$501,$K489),"")</f>
        <v/>
      </c>
      <c r="H489" s="6" t="str">
        <f t="shared" si="28"/>
        <v/>
      </c>
      <c r="I489" s="6" t="str">
        <f t="shared" si="29"/>
        <v/>
      </c>
      <c r="J489" s="6" t="str">
        <f t="shared" si="30"/>
        <v/>
      </c>
      <c r="K489" t="str">
        <f>IFERROR(MATCH(469,Сборка!$R$2:$R$501,0),"")</f>
        <v/>
      </c>
      <c r="L489" t="str">
        <f>IFERROR(IF(INDEX(Сборка!$Q$2:$Q$501,MATCH(469+1,Сборка!$R$2:$R$501,0))=1,INDEX(Сборка!$P$2:$P$501,MATCH(469+1,Сборка!$R$2:$R$501,0)),""),"")</f>
        <v/>
      </c>
      <c r="M489" t="str">
        <f t="shared" si="31"/>
        <v/>
      </c>
    </row>
    <row r="490" spans="1:13" hidden="1" x14ac:dyDescent="0.3">
      <c r="A490" t="str">
        <f>IF(ISNUMBER($K490),INDEX(Сборка!$O$2:$O$501,$K490),"")</f>
        <v/>
      </c>
      <c r="B490" t="str">
        <f>IF(ISNUMBER($K490),INDEX(Сборка!$C$2:$C$501,$K490),"")</f>
        <v/>
      </c>
      <c r="C490" s="5" t="str">
        <f>IF($L490&lt;&gt;"",INDEX(Сборка!$S$2:$S$501,MATCH($L490,Сборка!$P$2:$P$501,0)),IF(ISNUMBER($K490),INDEX(Сборка!$D$2:$D$501,$K490)&amp;IF(INDEX(Сборка!$I$2:$I$501,$K490)&lt;&gt;""," — "&amp;INDEX(Сборка!$I$2:$I$501,$K490),""),""))</f>
        <v/>
      </c>
      <c r="D490" t="str">
        <f>IF(ISNUMBER($K490),INDEX(Сборка!$E$2:$E$501,$K490),"")</f>
        <v/>
      </c>
      <c r="E490" t="str">
        <f>IF(ISNUMBER($K490),INDEX(Сборка!$G$2:$G$501,$K490),"")</f>
        <v/>
      </c>
      <c r="F490" s="6" t="str">
        <f>IF(ISNUMBER($K490),INDEX(Сборка!$J$2:$J$501,$K490),"")</f>
        <v/>
      </c>
      <c r="G490" s="6" t="str">
        <f>IF(ISNUMBER($K490),INDEX(Сборка!$K$2:$K$501,$K490),"")</f>
        <v/>
      </c>
      <c r="H490" s="6" t="str">
        <f t="shared" si="28"/>
        <v/>
      </c>
      <c r="I490" s="6" t="str">
        <f t="shared" si="29"/>
        <v/>
      </c>
      <c r="J490" s="6" t="str">
        <f t="shared" si="30"/>
        <v/>
      </c>
      <c r="K490" t="str">
        <f>IFERROR(MATCH(470,Сборка!$R$2:$R$501,0),"")</f>
        <v/>
      </c>
      <c r="L490" t="str">
        <f>IFERROR(IF(INDEX(Сборка!$Q$2:$Q$501,MATCH(470+1,Сборка!$R$2:$R$501,0))=1,INDEX(Сборка!$P$2:$P$501,MATCH(470+1,Сборка!$R$2:$R$501,0)),""),"")</f>
        <v/>
      </c>
      <c r="M490" t="str">
        <f t="shared" si="31"/>
        <v/>
      </c>
    </row>
    <row r="491" spans="1:13" hidden="1" x14ac:dyDescent="0.3">
      <c r="A491" t="str">
        <f>IF(ISNUMBER($K491),INDEX(Сборка!$O$2:$O$501,$K491),"")</f>
        <v/>
      </c>
      <c r="B491" t="str">
        <f>IF(ISNUMBER($K491),INDEX(Сборка!$C$2:$C$501,$K491),"")</f>
        <v/>
      </c>
      <c r="C491" s="5" t="str">
        <f>IF($L491&lt;&gt;"",INDEX(Сборка!$S$2:$S$501,MATCH($L491,Сборка!$P$2:$P$501,0)),IF(ISNUMBER($K491),INDEX(Сборка!$D$2:$D$501,$K491)&amp;IF(INDEX(Сборка!$I$2:$I$501,$K491)&lt;&gt;""," — "&amp;INDEX(Сборка!$I$2:$I$501,$K491),""),""))</f>
        <v/>
      </c>
      <c r="D491" t="str">
        <f>IF(ISNUMBER($K491),INDEX(Сборка!$E$2:$E$501,$K491),"")</f>
        <v/>
      </c>
      <c r="E491" t="str">
        <f>IF(ISNUMBER($K491),INDEX(Сборка!$G$2:$G$501,$K491),"")</f>
        <v/>
      </c>
      <c r="F491" s="6" t="str">
        <f>IF(ISNUMBER($K491),INDEX(Сборка!$J$2:$J$501,$K491),"")</f>
        <v/>
      </c>
      <c r="G491" s="6" t="str">
        <f>IF(ISNUMBER($K491),INDEX(Сборка!$K$2:$K$501,$K491),"")</f>
        <v/>
      </c>
      <c r="H491" s="6" t="str">
        <f t="shared" si="28"/>
        <v/>
      </c>
      <c r="I491" s="6" t="str">
        <f t="shared" si="29"/>
        <v/>
      </c>
      <c r="J491" s="6" t="str">
        <f t="shared" si="30"/>
        <v/>
      </c>
      <c r="K491" t="str">
        <f>IFERROR(MATCH(471,Сборка!$R$2:$R$501,0),"")</f>
        <v/>
      </c>
      <c r="L491" t="str">
        <f>IFERROR(IF(INDEX(Сборка!$Q$2:$Q$501,MATCH(471+1,Сборка!$R$2:$R$501,0))=1,INDEX(Сборка!$P$2:$P$501,MATCH(471+1,Сборка!$R$2:$R$501,0)),""),"")</f>
        <v/>
      </c>
      <c r="M491" t="str">
        <f t="shared" si="31"/>
        <v/>
      </c>
    </row>
    <row r="492" spans="1:13" hidden="1" x14ac:dyDescent="0.3">
      <c r="A492" t="str">
        <f>IF(ISNUMBER($K492),INDEX(Сборка!$O$2:$O$501,$K492),"")</f>
        <v/>
      </c>
      <c r="B492" t="str">
        <f>IF(ISNUMBER($K492),INDEX(Сборка!$C$2:$C$501,$K492),"")</f>
        <v/>
      </c>
      <c r="C492" s="5" t="str">
        <f>IF($L492&lt;&gt;"",INDEX(Сборка!$S$2:$S$501,MATCH($L492,Сборка!$P$2:$P$501,0)),IF(ISNUMBER($K492),INDEX(Сборка!$D$2:$D$501,$K492)&amp;IF(INDEX(Сборка!$I$2:$I$501,$K492)&lt;&gt;""," — "&amp;INDEX(Сборка!$I$2:$I$501,$K492),""),""))</f>
        <v/>
      </c>
      <c r="D492" t="str">
        <f>IF(ISNUMBER($K492),INDEX(Сборка!$E$2:$E$501,$K492),"")</f>
        <v/>
      </c>
      <c r="E492" t="str">
        <f>IF(ISNUMBER($K492),INDEX(Сборка!$G$2:$G$501,$K492),"")</f>
        <v/>
      </c>
      <c r="F492" s="6" t="str">
        <f>IF(ISNUMBER($K492),INDEX(Сборка!$J$2:$J$501,$K492),"")</f>
        <v/>
      </c>
      <c r="G492" s="6" t="str">
        <f>IF(ISNUMBER($K492),INDEX(Сборка!$K$2:$K$501,$K492),"")</f>
        <v/>
      </c>
      <c r="H492" s="6" t="str">
        <f t="shared" si="28"/>
        <v/>
      </c>
      <c r="I492" s="6" t="str">
        <f t="shared" si="29"/>
        <v/>
      </c>
      <c r="J492" s="6" t="str">
        <f t="shared" si="30"/>
        <v/>
      </c>
      <c r="K492" t="str">
        <f>IFERROR(MATCH(472,Сборка!$R$2:$R$501,0),"")</f>
        <v/>
      </c>
      <c r="L492" t="str">
        <f>IFERROR(IF(INDEX(Сборка!$Q$2:$Q$501,MATCH(472+1,Сборка!$R$2:$R$501,0))=1,INDEX(Сборка!$P$2:$P$501,MATCH(472+1,Сборка!$R$2:$R$501,0)),""),"")</f>
        <v/>
      </c>
      <c r="M492" t="str">
        <f t="shared" si="31"/>
        <v/>
      </c>
    </row>
    <row r="493" spans="1:13" hidden="1" x14ac:dyDescent="0.3">
      <c r="A493" t="str">
        <f>IF(ISNUMBER($K493),INDEX(Сборка!$O$2:$O$501,$K493),"")</f>
        <v/>
      </c>
      <c r="B493" t="str">
        <f>IF(ISNUMBER($K493),INDEX(Сборка!$C$2:$C$501,$K493),"")</f>
        <v/>
      </c>
      <c r="C493" s="5" t="str">
        <f>IF($L493&lt;&gt;"",INDEX(Сборка!$S$2:$S$501,MATCH($L493,Сборка!$P$2:$P$501,0)),IF(ISNUMBER($K493),INDEX(Сборка!$D$2:$D$501,$K493)&amp;IF(INDEX(Сборка!$I$2:$I$501,$K493)&lt;&gt;""," — "&amp;INDEX(Сборка!$I$2:$I$501,$K493),""),""))</f>
        <v/>
      </c>
      <c r="D493" t="str">
        <f>IF(ISNUMBER($K493),INDEX(Сборка!$E$2:$E$501,$K493),"")</f>
        <v/>
      </c>
      <c r="E493" t="str">
        <f>IF(ISNUMBER($K493),INDEX(Сборка!$G$2:$G$501,$K493),"")</f>
        <v/>
      </c>
      <c r="F493" s="6" t="str">
        <f>IF(ISNUMBER($K493),INDEX(Сборка!$J$2:$J$501,$K493),"")</f>
        <v/>
      </c>
      <c r="G493" s="6" t="str">
        <f>IF(ISNUMBER($K493),INDEX(Сборка!$K$2:$K$501,$K493),"")</f>
        <v/>
      </c>
      <c r="H493" s="6" t="str">
        <f t="shared" si="28"/>
        <v/>
      </c>
      <c r="I493" s="6" t="str">
        <f t="shared" si="29"/>
        <v/>
      </c>
      <c r="J493" s="6" t="str">
        <f t="shared" si="30"/>
        <v/>
      </c>
      <c r="K493" t="str">
        <f>IFERROR(MATCH(473,Сборка!$R$2:$R$501,0),"")</f>
        <v/>
      </c>
      <c r="L493" t="str">
        <f>IFERROR(IF(INDEX(Сборка!$Q$2:$Q$501,MATCH(473+1,Сборка!$R$2:$R$501,0))=1,INDEX(Сборка!$P$2:$P$501,MATCH(473+1,Сборка!$R$2:$R$501,0)),""),"")</f>
        <v/>
      </c>
      <c r="M493" t="str">
        <f t="shared" si="31"/>
        <v/>
      </c>
    </row>
    <row r="494" spans="1:13" hidden="1" x14ac:dyDescent="0.3">
      <c r="A494" t="str">
        <f>IF(ISNUMBER($K494),INDEX(Сборка!$O$2:$O$501,$K494),"")</f>
        <v/>
      </c>
      <c r="B494" t="str">
        <f>IF(ISNUMBER($K494),INDEX(Сборка!$C$2:$C$501,$K494),"")</f>
        <v/>
      </c>
      <c r="C494" s="5" t="str">
        <f>IF($L494&lt;&gt;"",INDEX(Сборка!$S$2:$S$501,MATCH($L494,Сборка!$P$2:$P$501,0)),IF(ISNUMBER($K494),INDEX(Сборка!$D$2:$D$501,$K494)&amp;IF(INDEX(Сборка!$I$2:$I$501,$K494)&lt;&gt;""," — "&amp;INDEX(Сборка!$I$2:$I$501,$K494),""),""))</f>
        <v/>
      </c>
      <c r="D494" t="str">
        <f>IF(ISNUMBER($K494),INDEX(Сборка!$E$2:$E$501,$K494),"")</f>
        <v/>
      </c>
      <c r="E494" t="str">
        <f>IF(ISNUMBER($K494),INDEX(Сборка!$G$2:$G$501,$K494),"")</f>
        <v/>
      </c>
      <c r="F494" s="6" t="str">
        <f>IF(ISNUMBER($K494),INDEX(Сборка!$J$2:$J$501,$K494),"")</f>
        <v/>
      </c>
      <c r="G494" s="6" t="str">
        <f>IF(ISNUMBER($K494),INDEX(Сборка!$K$2:$K$501,$K494),"")</f>
        <v/>
      </c>
      <c r="H494" s="6" t="str">
        <f t="shared" si="28"/>
        <v/>
      </c>
      <c r="I494" s="6" t="str">
        <f t="shared" si="29"/>
        <v/>
      </c>
      <c r="J494" s="6" t="str">
        <f t="shared" si="30"/>
        <v/>
      </c>
      <c r="K494" t="str">
        <f>IFERROR(MATCH(474,Сборка!$R$2:$R$501,0),"")</f>
        <v/>
      </c>
      <c r="L494" t="str">
        <f>IFERROR(IF(INDEX(Сборка!$Q$2:$Q$501,MATCH(474+1,Сборка!$R$2:$R$501,0))=1,INDEX(Сборка!$P$2:$P$501,MATCH(474+1,Сборка!$R$2:$R$501,0)),""),"")</f>
        <v/>
      </c>
      <c r="M494" t="str">
        <f t="shared" si="31"/>
        <v/>
      </c>
    </row>
    <row r="495" spans="1:13" hidden="1" x14ac:dyDescent="0.3">
      <c r="A495" t="str">
        <f>IF(ISNUMBER($K495),INDEX(Сборка!$O$2:$O$501,$K495),"")</f>
        <v/>
      </c>
      <c r="B495" t="str">
        <f>IF(ISNUMBER($K495),INDEX(Сборка!$C$2:$C$501,$K495),"")</f>
        <v/>
      </c>
      <c r="C495" s="5" t="str">
        <f>IF($L495&lt;&gt;"",INDEX(Сборка!$S$2:$S$501,MATCH($L495,Сборка!$P$2:$P$501,0)),IF(ISNUMBER($K495),INDEX(Сборка!$D$2:$D$501,$K495)&amp;IF(INDEX(Сборка!$I$2:$I$501,$K495)&lt;&gt;""," — "&amp;INDEX(Сборка!$I$2:$I$501,$K495),""),""))</f>
        <v/>
      </c>
      <c r="D495" t="str">
        <f>IF(ISNUMBER($K495),INDEX(Сборка!$E$2:$E$501,$K495),"")</f>
        <v/>
      </c>
      <c r="E495" t="str">
        <f>IF(ISNUMBER($K495),INDEX(Сборка!$G$2:$G$501,$K495),"")</f>
        <v/>
      </c>
      <c r="F495" s="6" t="str">
        <f>IF(ISNUMBER($K495),INDEX(Сборка!$J$2:$J$501,$K495),"")</f>
        <v/>
      </c>
      <c r="G495" s="6" t="str">
        <f>IF(ISNUMBER($K495),INDEX(Сборка!$K$2:$K$501,$K495),"")</f>
        <v/>
      </c>
      <c r="H495" s="6" t="str">
        <f t="shared" si="28"/>
        <v/>
      </c>
      <c r="I495" s="6" t="str">
        <f t="shared" si="29"/>
        <v/>
      </c>
      <c r="J495" s="6" t="str">
        <f t="shared" si="30"/>
        <v/>
      </c>
      <c r="K495" t="str">
        <f>IFERROR(MATCH(475,Сборка!$R$2:$R$501,0),"")</f>
        <v/>
      </c>
      <c r="L495" t="str">
        <f>IFERROR(IF(INDEX(Сборка!$Q$2:$Q$501,MATCH(475+1,Сборка!$R$2:$R$501,0))=1,INDEX(Сборка!$P$2:$P$501,MATCH(475+1,Сборка!$R$2:$R$501,0)),""),"")</f>
        <v/>
      </c>
      <c r="M495" t="str">
        <f t="shared" si="31"/>
        <v/>
      </c>
    </row>
    <row r="496" spans="1:13" hidden="1" x14ac:dyDescent="0.3">
      <c r="A496" t="str">
        <f>IF(ISNUMBER($K496),INDEX(Сборка!$O$2:$O$501,$K496),"")</f>
        <v/>
      </c>
      <c r="B496" t="str">
        <f>IF(ISNUMBER($K496),INDEX(Сборка!$C$2:$C$501,$K496),"")</f>
        <v/>
      </c>
      <c r="C496" s="5" t="str">
        <f>IF($L496&lt;&gt;"",INDEX(Сборка!$S$2:$S$501,MATCH($L496,Сборка!$P$2:$P$501,0)),IF(ISNUMBER($K496),INDEX(Сборка!$D$2:$D$501,$K496)&amp;IF(INDEX(Сборка!$I$2:$I$501,$K496)&lt;&gt;""," — "&amp;INDEX(Сборка!$I$2:$I$501,$K496),""),""))</f>
        <v/>
      </c>
      <c r="D496" t="str">
        <f>IF(ISNUMBER($K496),INDEX(Сборка!$E$2:$E$501,$K496),"")</f>
        <v/>
      </c>
      <c r="E496" t="str">
        <f>IF(ISNUMBER($K496),INDEX(Сборка!$G$2:$G$501,$K496),"")</f>
        <v/>
      </c>
      <c r="F496" s="6" t="str">
        <f>IF(ISNUMBER($K496),INDEX(Сборка!$J$2:$J$501,$K496),"")</f>
        <v/>
      </c>
      <c r="G496" s="6" t="str">
        <f>IF(ISNUMBER($K496),INDEX(Сборка!$K$2:$K$501,$K496),"")</f>
        <v/>
      </c>
      <c r="H496" s="6" t="str">
        <f t="shared" si="28"/>
        <v/>
      </c>
      <c r="I496" s="6" t="str">
        <f t="shared" si="29"/>
        <v/>
      </c>
      <c r="J496" s="6" t="str">
        <f t="shared" si="30"/>
        <v/>
      </c>
      <c r="K496" t="str">
        <f>IFERROR(MATCH(476,Сборка!$R$2:$R$501,0),"")</f>
        <v/>
      </c>
      <c r="L496" t="str">
        <f>IFERROR(IF(INDEX(Сборка!$Q$2:$Q$501,MATCH(476+1,Сборка!$R$2:$R$501,0))=1,INDEX(Сборка!$P$2:$P$501,MATCH(476+1,Сборка!$R$2:$R$501,0)),""),"")</f>
        <v/>
      </c>
      <c r="M496" t="str">
        <f t="shared" si="31"/>
        <v/>
      </c>
    </row>
    <row r="497" spans="1:13" hidden="1" x14ac:dyDescent="0.3">
      <c r="A497" t="str">
        <f>IF(ISNUMBER($K497),INDEX(Сборка!$O$2:$O$501,$K497),"")</f>
        <v/>
      </c>
      <c r="B497" t="str">
        <f>IF(ISNUMBER($K497),INDEX(Сборка!$C$2:$C$501,$K497),"")</f>
        <v/>
      </c>
      <c r="C497" s="5" t="str">
        <f>IF($L497&lt;&gt;"",INDEX(Сборка!$S$2:$S$501,MATCH($L497,Сборка!$P$2:$P$501,0)),IF(ISNUMBER($K497),INDEX(Сборка!$D$2:$D$501,$K497)&amp;IF(INDEX(Сборка!$I$2:$I$501,$K497)&lt;&gt;""," — "&amp;INDEX(Сборка!$I$2:$I$501,$K497),""),""))</f>
        <v/>
      </c>
      <c r="D497" t="str">
        <f>IF(ISNUMBER($K497),INDEX(Сборка!$E$2:$E$501,$K497),"")</f>
        <v/>
      </c>
      <c r="E497" t="str">
        <f>IF(ISNUMBER($K497),INDEX(Сборка!$G$2:$G$501,$K497),"")</f>
        <v/>
      </c>
      <c r="F497" s="6" t="str">
        <f>IF(ISNUMBER($K497),INDEX(Сборка!$J$2:$J$501,$K497),"")</f>
        <v/>
      </c>
      <c r="G497" s="6" t="str">
        <f>IF(ISNUMBER($K497),INDEX(Сборка!$K$2:$K$501,$K497),"")</f>
        <v/>
      </c>
      <c r="H497" s="6" t="str">
        <f t="shared" si="28"/>
        <v/>
      </c>
      <c r="I497" s="6" t="str">
        <f t="shared" si="29"/>
        <v/>
      </c>
      <c r="J497" s="6" t="str">
        <f t="shared" si="30"/>
        <v/>
      </c>
      <c r="K497" t="str">
        <f>IFERROR(MATCH(477,Сборка!$R$2:$R$501,0),"")</f>
        <v/>
      </c>
      <c r="L497" t="str">
        <f>IFERROR(IF(INDEX(Сборка!$Q$2:$Q$501,MATCH(477+1,Сборка!$R$2:$R$501,0))=1,INDEX(Сборка!$P$2:$P$501,MATCH(477+1,Сборка!$R$2:$R$501,0)),""),"")</f>
        <v/>
      </c>
      <c r="M497" t="str">
        <f t="shared" si="31"/>
        <v/>
      </c>
    </row>
    <row r="498" spans="1:13" hidden="1" x14ac:dyDescent="0.3">
      <c r="A498" t="str">
        <f>IF(ISNUMBER($K498),INDEX(Сборка!$O$2:$O$501,$K498),"")</f>
        <v/>
      </c>
      <c r="B498" t="str">
        <f>IF(ISNUMBER($K498),INDEX(Сборка!$C$2:$C$501,$K498),"")</f>
        <v/>
      </c>
      <c r="C498" s="5" t="str">
        <f>IF($L498&lt;&gt;"",INDEX(Сборка!$S$2:$S$501,MATCH($L498,Сборка!$P$2:$P$501,0)),IF(ISNUMBER($K498),INDEX(Сборка!$D$2:$D$501,$K498)&amp;IF(INDEX(Сборка!$I$2:$I$501,$K498)&lt;&gt;""," — "&amp;INDEX(Сборка!$I$2:$I$501,$K498),""),""))</f>
        <v/>
      </c>
      <c r="D498" t="str">
        <f>IF(ISNUMBER($K498),INDEX(Сборка!$E$2:$E$501,$K498),"")</f>
        <v/>
      </c>
      <c r="E498" t="str">
        <f>IF(ISNUMBER($K498),INDEX(Сборка!$G$2:$G$501,$K498),"")</f>
        <v/>
      </c>
      <c r="F498" s="6" t="str">
        <f>IF(ISNUMBER($K498),INDEX(Сборка!$J$2:$J$501,$K498),"")</f>
        <v/>
      </c>
      <c r="G498" s="6" t="str">
        <f>IF(ISNUMBER($K498),INDEX(Сборка!$K$2:$K$501,$K498),"")</f>
        <v/>
      </c>
      <c r="H498" s="6" t="str">
        <f t="shared" si="28"/>
        <v/>
      </c>
      <c r="I498" s="6" t="str">
        <f t="shared" si="29"/>
        <v/>
      </c>
      <c r="J498" s="6" t="str">
        <f t="shared" si="30"/>
        <v/>
      </c>
      <c r="K498" t="str">
        <f>IFERROR(MATCH(478,Сборка!$R$2:$R$501,0),"")</f>
        <v/>
      </c>
      <c r="L498" t="str">
        <f>IFERROR(IF(INDEX(Сборка!$Q$2:$Q$501,MATCH(478+1,Сборка!$R$2:$R$501,0))=1,INDEX(Сборка!$P$2:$P$501,MATCH(478+1,Сборка!$R$2:$R$501,0)),""),"")</f>
        <v/>
      </c>
      <c r="M498" t="str">
        <f t="shared" si="31"/>
        <v/>
      </c>
    </row>
    <row r="499" spans="1:13" hidden="1" x14ac:dyDescent="0.3">
      <c r="A499" t="str">
        <f>IF(ISNUMBER($K499),INDEX(Сборка!$O$2:$O$501,$K499),"")</f>
        <v/>
      </c>
      <c r="B499" t="str">
        <f>IF(ISNUMBER($K499),INDEX(Сборка!$C$2:$C$501,$K499),"")</f>
        <v/>
      </c>
      <c r="C499" s="5" t="str">
        <f>IF($L499&lt;&gt;"",INDEX(Сборка!$S$2:$S$501,MATCH($L499,Сборка!$P$2:$P$501,0)),IF(ISNUMBER($K499),INDEX(Сборка!$D$2:$D$501,$K499)&amp;IF(INDEX(Сборка!$I$2:$I$501,$K499)&lt;&gt;""," — "&amp;INDEX(Сборка!$I$2:$I$501,$K499),""),""))</f>
        <v/>
      </c>
      <c r="D499" t="str">
        <f>IF(ISNUMBER($K499),INDEX(Сборка!$E$2:$E$501,$K499),"")</f>
        <v/>
      </c>
      <c r="E499" t="str">
        <f>IF(ISNUMBER($K499),INDEX(Сборка!$G$2:$G$501,$K499),"")</f>
        <v/>
      </c>
      <c r="F499" s="6" t="str">
        <f>IF(ISNUMBER($K499),INDEX(Сборка!$J$2:$J$501,$K499),"")</f>
        <v/>
      </c>
      <c r="G499" s="6" t="str">
        <f>IF(ISNUMBER($K499),INDEX(Сборка!$K$2:$K$501,$K499),"")</f>
        <v/>
      </c>
      <c r="H499" s="6" t="str">
        <f t="shared" si="28"/>
        <v/>
      </c>
      <c r="I499" s="6" t="str">
        <f t="shared" si="29"/>
        <v/>
      </c>
      <c r="J499" s="6" t="str">
        <f t="shared" si="30"/>
        <v/>
      </c>
      <c r="K499" t="str">
        <f>IFERROR(MATCH(479,Сборка!$R$2:$R$501,0),"")</f>
        <v/>
      </c>
      <c r="L499" t="str">
        <f>IFERROR(IF(INDEX(Сборка!$Q$2:$Q$501,MATCH(479+1,Сборка!$R$2:$R$501,0))=1,INDEX(Сборка!$P$2:$P$501,MATCH(479+1,Сборка!$R$2:$R$501,0)),""),"")</f>
        <v/>
      </c>
      <c r="M499" t="str">
        <f t="shared" si="31"/>
        <v/>
      </c>
    </row>
    <row r="500" spans="1:13" hidden="1" x14ac:dyDescent="0.3">
      <c r="A500" t="str">
        <f>IF(ISNUMBER($K500),INDEX(Сборка!$O$2:$O$501,$K500),"")</f>
        <v/>
      </c>
      <c r="B500" t="str">
        <f>IF(ISNUMBER($K500),INDEX(Сборка!$C$2:$C$501,$K500),"")</f>
        <v/>
      </c>
      <c r="C500" s="5" t="str">
        <f>IF($L500&lt;&gt;"",INDEX(Сборка!$S$2:$S$501,MATCH($L500,Сборка!$P$2:$P$501,0)),IF(ISNUMBER($K500),INDEX(Сборка!$D$2:$D$501,$K500)&amp;IF(INDEX(Сборка!$I$2:$I$501,$K500)&lt;&gt;""," — "&amp;INDEX(Сборка!$I$2:$I$501,$K500),""),""))</f>
        <v/>
      </c>
      <c r="D500" t="str">
        <f>IF(ISNUMBER($K500),INDEX(Сборка!$E$2:$E$501,$K500),"")</f>
        <v/>
      </c>
      <c r="E500" t="str">
        <f>IF(ISNUMBER($K500),INDEX(Сборка!$G$2:$G$501,$K500),"")</f>
        <v/>
      </c>
      <c r="F500" s="6" t="str">
        <f>IF(ISNUMBER($K500),INDEX(Сборка!$J$2:$J$501,$K500),"")</f>
        <v/>
      </c>
      <c r="G500" s="6" t="str">
        <f>IF(ISNUMBER($K500),INDEX(Сборка!$K$2:$K$501,$K500),"")</f>
        <v/>
      </c>
      <c r="H500" s="6" t="str">
        <f t="shared" si="28"/>
        <v/>
      </c>
      <c r="I500" s="6" t="str">
        <f t="shared" si="29"/>
        <v/>
      </c>
      <c r="J500" s="6" t="str">
        <f t="shared" si="30"/>
        <v/>
      </c>
      <c r="K500" t="str">
        <f>IFERROR(MATCH(480,Сборка!$R$2:$R$501,0),"")</f>
        <v/>
      </c>
      <c r="L500" t="str">
        <f>IFERROR(IF(INDEX(Сборка!$Q$2:$Q$501,MATCH(480+1,Сборка!$R$2:$R$501,0))=1,INDEX(Сборка!$P$2:$P$501,MATCH(480+1,Сборка!$R$2:$R$501,0)),""),"")</f>
        <v/>
      </c>
      <c r="M500" t="str">
        <f t="shared" si="31"/>
        <v/>
      </c>
    </row>
    <row r="501" spans="1:13" hidden="1" x14ac:dyDescent="0.3">
      <c r="A501" t="str">
        <f>IF(ISNUMBER($K501),INDEX(Сборка!$O$2:$O$501,$K501),"")</f>
        <v/>
      </c>
      <c r="B501" t="str">
        <f>IF(ISNUMBER($K501),INDEX(Сборка!$C$2:$C$501,$K501),"")</f>
        <v/>
      </c>
      <c r="C501" s="5" t="str">
        <f>IF($L501&lt;&gt;"",INDEX(Сборка!$S$2:$S$501,MATCH($L501,Сборка!$P$2:$P$501,0)),IF(ISNUMBER($K501),INDEX(Сборка!$D$2:$D$501,$K501)&amp;IF(INDEX(Сборка!$I$2:$I$501,$K501)&lt;&gt;""," — "&amp;INDEX(Сборка!$I$2:$I$501,$K501),""),""))</f>
        <v/>
      </c>
      <c r="D501" t="str">
        <f>IF(ISNUMBER($K501),INDEX(Сборка!$E$2:$E$501,$K501),"")</f>
        <v/>
      </c>
      <c r="E501" t="str">
        <f>IF(ISNUMBER($K501),INDEX(Сборка!$G$2:$G$501,$K501),"")</f>
        <v/>
      </c>
      <c r="F501" s="6" t="str">
        <f>IF(ISNUMBER($K501),INDEX(Сборка!$J$2:$J$501,$K501),"")</f>
        <v/>
      </c>
      <c r="G501" s="6" t="str">
        <f>IF(ISNUMBER($K501),INDEX(Сборка!$K$2:$K$501,$K501),"")</f>
        <v/>
      </c>
      <c r="H501" s="6" t="str">
        <f t="shared" si="28"/>
        <v/>
      </c>
      <c r="I501" s="6" t="str">
        <f t="shared" si="29"/>
        <v/>
      </c>
      <c r="J501" s="6" t="str">
        <f t="shared" si="30"/>
        <v/>
      </c>
      <c r="K501" t="str">
        <f>IFERROR(MATCH(481,Сборка!$R$2:$R$501,0),"")</f>
        <v/>
      </c>
      <c r="L501" t="str">
        <f>IFERROR(IF(INDEX(Сборка!$Q$2:$Q$501,MATCH(481+1,Сборка!$R$2:$R$501,0))=1,INDEX(Сборка!$P$2:$P$501,MATCH(481+1,Сборка!$R$2:$R$501,0)),""),"")</f>
        <v/>
      </c>
      <c r="M501" t="str">
        <f t="shared" si="31"/>
        <v/>
      </c>
    </row>
    <row r="502" spans="1:13" hidden="1" x14ac:dyDescent="0.3">
      <c r="A502" t="str">
        <f>IF(ISNUMBER($K502),INDEX(Сборка!$O$2:$O$501,$K502),"")</f>
        <v/>
      </c>
      <c r="B502" t="str">
        <f>IF(ISNUMBER($K502),INDEX(Сборка!$C$2:$C$501,$K502),"")</f>
        <v/>
      </c>
      <c r="C502" s="5" t="str">
        <f>IF($L502&lt;&gt;"",INDEX(Сборка!$S$2:$S$501,MATCH($L502,Сборка!$P$2:$P$501,0)),IF(ISNUMBER($K502),INDEX(Сборка!$D$2:$D$501,$K502)&amp;IF(INDEX(Сборка!$I$2:$I$501,$K502)&lt;&gt;""," — "&amp;INDEX(Сборка!$I$2:$I$501,$K502),""),""))</f>
        <v/>
      </c>
      <c r="D502" t="str">
        <f>IF(ISNUMBER($K502),INDEX(Сборка!$E$2:$E$501,$K502),"")</f>
        <v/>
      </c>
      <c r="E502" t="str">
        <f>IF(ISNUMBER($K502),INDEX(Сборка!$G$2:$G$501,$K502),"")</f>
        <v/>
      </c>
      <c r="F502" s="6" t="str">
        <f>IF(ISNUMBER($K502),INDEX(Сборка!$J$2:$J$501,$K502),"")</f>
        <v/>
      </c>
      <c r="G502" s="6" t="str">
        <f>IF(ISNUMBER($K502),INDEX(Сборка!$K$2:$K$501,$K502),"")</f>
        <v/>
      </c>
      <c r="H502" s="6" t="str">
        <f t="shared" si="28"/>
        <v/>
      </c>
      <c r="I502" s="6" t="str">
        <f t="shared" si="29"/>
        <v/>
      </c>
      <c r="J502" s="6" t="str">
        <f t="shared" si="30"/>
        <v/>
      </c>
      <c r="K502" t="str">
        <f>IFERROR(MATCH(482,Сборка!$R$2:$R$501,0),"")</f>
        <v/>
      </c>
      <c r="L502" t="str">
        <f>IFERROR(IF(INDEX(Сборка!$Q$2:$Q$501,MATCH(482+1,Сборка!$R$2:$R$501,0))=1,INDEX(Сборка!$P$2:$P$501,MATCH(482+1,Сборка!$R$2:$R$501,0)),""),"")</f>
        <v/>
      </c>
      <c r="M502" t="str">
        <f t="shared" si="31"/>
        <v/>
      </c>
    </row>
    <row r="503" spans="1:13" hidden="1" x14ac:dyDescent="0.3">
      <c r="A503" t="str">
        <f>IF(ISNUMBER($K503),INDEX(Сборка!$O$2:$O$501,$K503),"")</f>
        <v/>
      </c>
      <c r="B503" t="str">
        <f>IF(ISNUMBER($K503),INDEX(Сборка!$C$2:$C$501,$K503),"")</f>
        <v/>
      </c>
      <c r="C503" s="5" t="str">
        <f>IF($L503&lt;&gt;"",INDEX(Сборка!$S$2:$S$501,MATCH($L503,Сборка!$P$2:$P$501,0)),IF(ISNUMBER($K503),INDEX(Сборка!$D$2:$D$501,$K503)&amp;IF(INDEX(Сборка!$I$2:$I$501,$K503)&lt;&gt;""," — "&amp;INDEX(Сборка!$I$2:$I$501,$K503),""),""))</f>
        <v/>
      </c>
      <c r="D503" t="str">
        <f>IF(ISNUMBER($K503),INDEX(Сборка!$E$2:$E$501,$K503),"")</f>
        <v/>
      </c>
      <c r="E503" t="str">
        <f>IF(ISNUMBER($K503),INDEX(Сборка!$G$2:$G$501,$K503),"")</f>
        <v/>
      </c>
      <c r="F503" s="6" t="str">
        <f>IF(ISNUMBER($K503),INDEX(Сборка!$J$2:$J$501,$K503),"")</f>
        <v/>
      </c>
      <c r="G503" s="6" t="str">
        <f>IF(ISNUMBER($K503),INDEX(Сборка!$K$2:$K$501,$K503),"")</f>
        <v/>
      </c>
      <c r="H503" s="6" t="str">
        <f t="shared" si="28"/>
        <v/>
      </c>
      <c r="I503" s="6" t="str">
        <f t="shared" si="29"/>
        <v/>
      </c>
      <c r="J503" s="6" t="str">
        <f t="shared" si="30"/>
        <v/>
      </c>
      <c r="K503" t="str">
        <f>IFERROR(MATCH(483,Сборка!$R$2:$R$501,0),"")</f>
        <v/>
      </c>
      <c r="L503" t="str">
        <f>IFERROR(IF(INDEX(Сборка!$Q$2:$Q$501,MATCH(483+1,Сборка!$R$2:$R$501,0))=1,INDEX(Сборка!$P$2:$P$501,MATCH(483+1,Сборка!$R$2:$R$501,0)),""),"")</f>
        <v/>
      </c>
      <c r="M503" t="str">
        <f t="shared" si="31"/>
        <v/>
      </c>
    </row>
    <row r="504" spans="1:13" hidden="1" x14ac:dyDescent="0.3">
      <c r="A504" t="str">
        <f>IF(ISNUMBER($K504),INDEX(Сборка!$O$2:$O$501,$K504),"")</f>
        <v/>
      </c>
      <c r="B504" t="str">
        <f>IF(ISNUMBER($K504),INDEX(Сборка!$C$2:$C$501,$K504),"")</f>
        <v/>
      </c>
      <c r="C504" s="5" t="str">
        <f>IF($L504&lt;&gt;"",INDEX(Сборка!$S$2:$S$501,MATCH($L504,Сборка!$P$2:$P$501,0)),IF(ISNUMBER($K504),INDEX(Сборка!$D$2:$D$501,$K504)&amp;IF(INDEX(Сборка!$I$2:$I$501,$K504)&lt;&gt;""," — "&amp;INDEX(Сборка!$I$2:$I$501,$K504),""),""))</f>
        <v/>
      </c>
      <c r="D504" t="str">
        <f>IF(ISNUMBER($K504),INDEX(Сборка!$E$2:$E$501,$K504),"")</f>
        <v/>
      </c>
      <c r="E504" t="str">
        <f>IF(ISNUMBER($K504),INDEX(Сборка!$G$2:$G$501,$K504),"")</f>
        <v/>
      </c>
      <c r="F504" s="6" t="str">
        <f>IF(ISNUMBER($K504),INDEX(Сборка!$J$2:$J$501,$K504),"")</f>
        <v/>
      </c>
      <c r="G504" s="6" t="str">
        <f>IF(ISNUMBER($K504),INDEX(Сборка!$K$2:$K$501,$K504),"")</f>
        <v/>
      </c>
      <c r="H504" s="6" t="str">
        <f t="shared" si="28"/>
        <v/>
      </c>
      <c r="I504" s="6" t="str">
        <f t="shared" si="29"/>
        <v/>
      </c>
      <c r="J504" s="6" t="str">
        <f t="shared" si="30"/>
        <v/>
      </c>
      <c r="K504" t="str">
        <f>IFERROR(MATCH(484,Сборка!$R$2:$R$501,0),"")</f>
        <v/>
      </c>
      <c r="L504" t="str">
        <f>IFERROR(IF(INDEX(Сборка!$Q$2:$Q$501,MATCH(484+1,Сборка!$R$2:$R$501,0))=1,INDEX(Сборка!$P$2:$P$501,MATCH(484+1,Сборка!$R$2:$R$501,0)),""),"")</f>
        <v/>
      </c>
      <c r="M504" t="str">
        <f t="shared" si="31"/>
        <v/>
      </c>
    </row>
    <row r="505" spans="1:13" hidden="1" x14ac:dyDescent="0.3">
      <c r="A505" t="str">
        <f>IF(ISNUMBER($K505),INDEX(Сборка!$O$2:$O$501,$K505),"")</f>
        <v/>
      </c>
      <c r="B505" t="str">
        <f>IF(ISNUMBER($K505),INDEX(Сборка!$C$2:$C$501,$K505),"")</f>
        <v/>
      </c>
      <c r="C505" s="5" t="str">
        <f>IF($L505&lt;&gt;"",INDEX(Сборка!$S$2:$S$501,MATCH($L505,Сборка!$P$2:$P$501,0)),IF(ISNUMBER($K505),INDEX(Сборка!$D$2:$D$501,$K505)&amp;IF(INDEX(Сборка!$I$2:$I$501,$K505)&lt;&gt;""," — "&amp;INDEX(Сборка!$I$2:$I$501,$K505),""),""))</f>
        <v/>
      </c>
      <c r="D505" t="str">
        <f>IF(ISNUMBER($K505),INDEX(Сборка!$E$2:$E$501,$K505),"")</f>
        <v/>
      </c>
      <c r="E505" t="str">
        <f>IF(ISNUMBER($K505),INDEX(Сборка!$G$2:$G$501,$K505),"")</f>
        <v/>
      </c>
      <c r="F505" s="6" t="str">
        <f>IF(ISNUMBER($K505),INDEX(Сборка!$J$2:$J$501,$K505),"")</f>
        <v/>
      </c>
      <c r="G505" s="6" t="str">
        <f>IF(ISNUMBER($K505),INDEX(Сборка!$K$2:$K$501,$K505),"")</f>
        <v/>
      </c>
      <c r="H505" s="6" t="str">
        <f t="shared" si="28"/>
        <v/>
      </c>
      <c r="I505" s="6" t="str">
        <f t="shared" si="29"/>
        <v/>
      </c>
      <c r="J505" s="6" t="str">
        <f t="shared" si="30"/>
        <v/>
      </c>
      <c r="K505" t="str">
        <f>IFERROR(MATCH(485,Сборка!$R$2:$R$501,0),"")</f>
        <v/>
      </c>
      <c r="L505" t="str">
        <f>IFERROR(IF(INDEX(Сборка!$Q$2:$Q$501,MATCH(485+1,Сборка!$R$2:$R$501,0))=1,INDEX(Сборка!$P$2:$P$501,MATCH(485+1,Сборка!$R$2:$R$501,0)),""),"")</f>
        <v/>
      </c>
      <c r="M505" t="str">
        <f t="shared" si="31"/>
        <v/>
      </c>
    </row>
    <row r="506" spans="1:13" hidden="1" x14ac:dyDescent="0.3">
      <c r="A506" t="str">
        <f>IF(ISNUMBER($K506),INDEX(Сборка!$O$2:$O$501,$K506),"")</f>
        <v/>
      </c>
      <c r="B506" t="str">
        <f>IF(ISNUMBER($K506),INDEX(Сборка!$C$2:$C$501,$K506),"")</f>
        <v/>
      </c>
      <c r="C506" s="5" t="str">
        <f>IF($L506&lt;&gt;"",INDEX(Сборка!$S$2:$S$501,MATCH($L506,Сборка!$P$2:$P$501,0)),IF(ISNUMBER($K506),INDEX(Сборка!$D$2:$D$501,$K506)&amp;IF(INDEX(Сборка!$I$2:$I$501,$K506)&lt;&gt;""," — "&amp;INDEX(Сборка!$I$2:$I$501,$K506),""),""))</f>
        <v/>
      </c>
      <c r="D506" t="str">
        <f>IF(ISNUMBER($K506),INDEX(Сборка!$E$2:$E$501,$K506),"")</f>
        <v/>
      </c>
      <c r="E506" t="str">
        <f>IF(ISNUMBER($K506),INDEX(Сборка!$G$2:$G$501,$K506),"")</f>
        <v/>
      </c>
      <c r="F506" s="6" t="str">
        <f>IF(ISNUMBER($K506),INDEX(Сборка!$J$2:$J$501,$K506),"")</f>
        <v/>
      </c>
      <c r="G506" s="6" t="str">
        <f>IF(ISNUMBER($K506),INDEX(Сборка!$K$2:$K$501,$K506),"")</f>
        <v/>
      </c>
      <c r="H506" s="6" t="str">
        <f t="shared" si="28"/>
        <v/>
      </c>
      <c r="I506" s="6" t="str">
        <f t="shared" si="29"/>
        <v/>
      </c>
      <c r="J506" s="6" t="str">
        <f t="shared" si="30"/>
        <v/>
      </c>
      <c r="K506" t="str">
        <f>IFERROR(MATCH(486,Сборка!$R$2:$R$501,0),"")</f>
        <v/>
      </c>
      <c r="L506" t="str">
        <f>IFERROR(IF(INDEX(Сборка!$Q$2:$Q$501,MATCH(486+1,Сборка!$R$2:$R$501,0))=1,INDEX(Сборка!$P$2:$P$501,MATCH(486+1,Сборка!$R$2:$R$501,0)),""),"")</f>
        <v/>
      </c>
      <c r="M506" t="str">
        <f t="shared" si="31"/>
        <v/>
      </c>
    </row>
    <row r="507" spans="1:13" hidden="1" x14ac:dyDescent="0.3">
      <c r="A507" t="str">
        <f>IF(ISNUMBER($K507),INDEX(Сборка!$O$2:$O$501,$K507),"")</f>
        <v/>
      </c>
      <c r="B507" t="str">
        <f>IF(ISNUMBER($K507),INDEX(Сборка!$C$2:$C$501,$K507),"")</f>
        <v/>
      </c>
      <c r="C507" s="5" t="str">
        <f>IF($L507&lt;&gt;"",INDEX(Сборка!$S$2:$S$501,MATCH($L507,Сборка!$P$2:$P$501,0)),IF(ISNUMBER($K507),INDEX(Сборка!$D$2:$D$501,$K507)&amp;IF(INDEX(Сборка!$I$2:$I$501,$K507)&lt;&gt;""," — "&amp;INDEX(Сборка!$I$2:$I$501,$K507),""),""))</f>
        <v/>
      </c>
      <c r="D507" t="str">
        <f>IF(ISNUMBER($K507),INDEX(Сборка!$E$2:$E$501,$K507),"")</f>
        <v/>
      </c>
      <c r="E507" t="str">
        <f>IF(ISNUMBER($K507),INDEX(Сборка!$G$2:$G$501,$K507),"")</f>
        <v/>
      </c>
      <c r="F507" s="6" t="str">
        <f>IF(ISNUMBER($K507),INDEX(Сборка!$J$2:$J$501,$K507),"")</f>
        <v/>
      </c>
      <c r="G507" s="6" t="str">
        <f>IF(ISNUMBER($K507),INDEX(Сборка!$K$2:$K$501,$K507),"")</f>
        <v/>
      </c>
      <c r="H507" s="6" t="str">
        <f t="shared" si="28"/>
        <v/>
      </c>
      <c r="I507" s="6" t="str">
        <f t="shared" si="29"/>
        <v/>
      </c>
      <c r="J507" s="6" t="str">
        <f t="shared" si="30"/>
        <v/>
      </c>
      <c r="K507" t="str">
        <f>IFERROR(MATCH(487,Сборка!$R$2:$R$501,0),"")</f>
        <v/>
      </c>
      <c r="L507" t="str">
        <f>IFERROR(IF(INDEX(Сборка!$Q$2:$Q$501,MATCH(487+1,Сборка!$R$2:$R$501,0))=1,INDEX(Сборка!$P$2:$P$501,MATCH(487+1,Сборка!$R$2:$R$501,0)),""),"")</f>
        <v/>
      </c>
      <c r="M507" t="str">
        <f t="shared" si="31"/>
        <v/>
      </c>
    </row>
    <row r="508" spans="1:13" hidden="1" x14ac:dyDescent="0.3">
      <c r="A508" t="str">
        <f>IF(ISNUMBER($K508),INDEX(Сборка!$O$2:$O$501,$K508),"")</f>
        <v/>
      </c>
      <c r="B508" t="str">
        <f>IF(ISNUMBER($K508),INDEX(Сборка!$C$2:$C$501,$K508),"")</f>
        <v/>
      </c>
      <c r="C508" s="5" t="str">
        <f>IF($L508&lt;&gt;"",INDEX(Сборка!$S$2:$S$501,MATCH($L508,Сборка!$P$2:$P$501,0)),IF(ISNUMBER($K508),INDEX(Сборка!$D$2:$D$501,$K508)&amp;IF(INDEX(Сборка!$I$2:$I$501,$K508)&lt;&gt;""," — "&amp;INDEX(Сборка!$I$2:$I$501,$K508),""),""))</f>
        <v/>
      </c>
      <c r="D508" t="str">
        <f>IF(ISNUMBER($K508),INDEX(Сборка!$E$2:$E$501,$K508),"")</f>
        <v/>
      </c>
      <c r="E508" t="str">
        <f>IF(ISNUMBER($K508),INDEX(Сборка!$G$2:$G$501,$K508),"")</f>
        <v/>
      </c>
      <c r="F508" s="6" t="str">
        <f>IF(ISNUMBER($K508),INDEX(Сборка!$J$2:$J$501,$K508),"")</f>
        <v/>
      </c>
      <c r="G508" s="6" t="str">
        <f>IF(ISNUMBER($K508),INDEX(Сборка!$K$2:$K$501,$K508),"")</f>
        <v/>
      </c>
      <c r="H508" s="6" t="str">
        <f t="shared" si="28"/>
        <v/>
      </c>
      <c r="I508" s="6" t="str">
        <f t="shared" si="29"/>
        <v/>
      </c>
      <c r="J508" s="6" t="str">
        <f t="shared" si="30"/>
        <v/>
      </c>
      <c r="K508" t="str">
        <f>IFERROR(MATCH(488,Сборка!$R$2:$R$501,0),"")</f>
        <v/>
      </c>
      <c r="L508" t="str">
        <f>IFERROR(IF(INDEX(Сборка!$Q$2:$Q$501,MATCH(488+1,Сборка!$R$2:$R$501,0))=1,INDEX(Сборка!$P$2:$P$501,MATCH(488+1,Сборка!$R$2:$R$501,0)),""),"")</f>
        <v/>
      </c>
      <c r="M508" t="str">
        <f t="shared" si="31"/>
        <v/>
      </c>
    </row>
    <row r="509" spans="1:13" hidden="1" x14ac:dyDescent="0.3">
      <c r="A509" t="str">
        <f>IF(ISNUMBER($K509),INDEX(Сборка!$O$2:$O$501,$K509),"")</f>
        <v/>
      </c>
      <c r="B509" t="str">
        <f>IF(ISNUMBER($K509),INDEX(Сборка!$C$2:$C$501,$K509),"")</f>
        <v/>
      </c>
      <c r="C509" s="5" t="str">
        <f>IF($L509&lt;&gt;"",INDEX(Сборка!$S$2:$S$501,MATCH($L509,Сборка!$P$2:$P$501,0)),IF(ISNUMBER($K509),INDEX(Сборка!$D$2:$D$501,$K509)&amp;IF(INDEX(Сборка!$I$2:$I$501,$K509)&lt;&gt;""," — "&amp;INDEX(Сборка!$I$2:$I$501,$K509),""),""))</f>
        <v/>
      </c>
      <c r="D509" t="str">
        <f>IF(ISNUMBER($K509),INDEX(Сборка!$E$2:$E$501,$K509),"")</f>
        <v/>
      </c>
      <c r="E509" t="str">
        <f>IF(ISNUMBER($K509),INDEX(Сборка!$G$2:$G$501,$K509),"")</f>
        <v/>
      </c>
      <c r="F509" s="6" t="str">
        <f>IF(ISNUMBER($K509),INDEX(Сборка!$J$2:$J$501,$K509),"")</f>
        <v/>
      </c>
      <c r="G509" s="6" t="str">
        <f>IF(ISNUMBER($K509),INDEX(Сборка!$K$2:$K$501,$K509),"")</f>
        <v/>
      </c>
      <c r="H509" s="6" t="str">
        <f t="shared" si="28"/>
        <v/>
      </c>
      <c r="I509" s="6" t="str">
        <f t="shared" si="29"/>
        <v/>
      </c>
      <c r="J509" s="6" t="str">
        <f t="shared" si="30"/>
        <v/>
      </c>
      <c r="K509" t="str">
        <f>IFERROR(MATCH(489,Сборка!$R$2:$R$501,0),"")</f>
        <v/>
      </c>
      <c r="L509" t="str">
        <f>IFERROR(IF(INDEX(Сборка!$Q$2:$Q$501,MATCH(489+1,Сборка!$R$2:$R$501,0))=1,INDEX(Сборка!$P$2:$P$501,MATCH(489+1,Сборка!$R$2:$R$501,0)),""),"")</f>
        <v/>
      </c>
      <c r="M509" t="str">
        <f t="shared" si="31"/>
        <v/>
      </c>
    </row>
    <row r="510" spans="1:13" hidden="1" x14ac:dyDescent="0.3">
      <c r="A510" t="str">
        <f>IF(ISNUMBER($K510),INDEX(Сборка!$O$2:$O$501,$K510),"")</f>
        <v/>
      </c>
      <c r="B510" t="str">
        <f>IF(ISNUMBER($K510),INDEX(Сборка!$C$2:$C$501,$K510),"")</f>
        <v/>
      </c>
      <c r="C510" s="5" t="str">
        <f>IF($L510&lt;&gt;"",INDEX(Сборка!$S$2:$S$501,MATCH($L510,Сборка!$P$2:$P$501,0)),IF(ISNUMBER($K510),INDEX(Сборка!$D$2:$D$501,$K510)&amp;IF(INDEX(Сборка!$I$2:$I$501,$K510)&lt;&gt;""," — "&amp;INDEX(Сборка!$I$2:$I$501,$K510),""),""))</f>
        <v/>
      </c>
      <c r="D510" t="str">
        <f>IF(ISNUMBER($K510),INDEX(Сборка!$E$2:$E$501,$K510),"")</f>
        <v/>
      </c>
      <c r="E510" t="str">
        <f>IF(ISNUMBER($K510),INDEX(Сборка!$G$2:$G$501,$K510),"")</f>
        <v/>
      </c>
      <c r="F510" s="6" t="str">
        <f>IF(ISNUMBER($K510),INDEX(Сборка!$J$2:$J$501,$K510),"")</f>
        <v/>
      </c>
      <c r="G510" s="6" t="str">
        <f>IF(ISNUMBER($K510),INDEX(Сборка!$K$2:$K$501,$K510),"")</f>
        <v/>
      </c>
      <c r="H510" s="6" t="str">
        <f t="shared" si="28"/>
        <v/>
      </c>
      <c r="I510" s="6" t="str">
        <f t="shared" si="29"/>
        <v/>
      </c>
      <c r="J510" s="6" t="str">
        <f t="shared" si="30"/>
        <v/>
      </c>
      <c r="K510" t="str">
        <f>IFERROR(MATCH(490,Сборка!$R$2:$R$501,0),"")</f>
        <v/>
      </c>
      <c r="L510" t="str">
        <f>IFERROR(IF(INDEX(Сборка!$Q$2:$Q$501,MATCH(490+1,Сборка!$R$2:$R$501,0))=1,INDEX(Сборка!$P$2:$P$501,MATCH(490+1,Сборка!$R$2:$R$501,0)),""),"")</f>
        <v/>
      </c>
      <c r="M510" t="str">
        <f t="shared" si="31"/>
        <v/>
      </c>
    </row>
    <row r="511" spans="1:13" hidden="1" x14ac:dyDescent="0.3">
      <c r="A511" t="str">
        <f>IF(ISNUMBER($K511),INDEX(Сборка!$O$2:$O$501,$K511),"")</f>
        <v/>
      </c>
      <c r="B511" t="str">
        <f>IF(ISNUMBER($K511),INDEX(Сборка!$C$2:$C$501,$K511),"")</f>
        <v/>
      </c>
      <c r="C511" s="5" t="str">
        <f>IF($L511&lt;&gt;"",INDEX(Сборка!$S$2:$S$501,MATCH($L511,Сборка!$P$2:$P$501,0)),IF(ISNUMBER($K511),INDEX(Сборка!$D$2:$D$501,$K511)&amp;IF(INDEX(Сборка!$I$2:$I$501,$K511)&lt;&gt;""," — "&amp;INDEX(Сборка!$I$2:$I$501,$K511),""),""))</f>
        <v/>
      </c>
      <c r="D511" t="str">
        <f>IF(ISNUMBER($K511),INDEX(Сборка!$E$2:$E$501,$K511),"")</f>
        <v/>
      </c>
      <c r="E511" t="str">
        <f>IF(ISNUMBER($K511),INDEX(Сборка!$G$2:$G$501,$K511),"")</f>
        <v/>
      </c>
      <c r="F511" s="6" t="str">
        <f>IF(ISNUMBER($K511),INDEX(Сборка!$J$2:$J$501,$K511),"")</f>
        <v/>
      </c>
      <c r="G511" s="6" t="str">
        <f>IF(ISNUMBER($K511),INDEX(Сборка!$K$2:$K$501,$K511),"")</f>
        <v/>
      </c>
      <c r="H511" s="6" t="str">
        <f t="shared" si="28"/>
        <v/>
      </c>
      <c r="I511" s="6" t="str">
        <f t="shared" si="29"/>
        <v/>
      </c>
      <c r="J511" s="6" t="str">
        <f t="shared" si="30"/>
        <v/>
      </c>
      <c r="K511" t="str">
        <f>IFERROR(MATCH(491,Сборка!$R$2:$R$501,0),"")</f>
        <v/>
      </c>
      <c r="L511" t="str">
        <f>IFERROR(IF(INDEX(Сборка!$Q$2:$Q$501,MATCH(491+1,Сборка!$R$2:$R$501,0))=1,INDEX(Сборка!$P$2:$P$501,MATCH(491+1,Сборка!$R$2:$R$501,0)),""),"")</f>
        <v/>
      </c>
      <c r="M511" t="str">
        <f t="shared" si="31"/>
        <v/>
      </c>
    </row>
    <row r="512" spans="1:13" hidden="1" x14ac:dyDescent="0.3">
      <c r="A512" t="str">
        <f>IF(ISNUMBER($K512),INDEX(Сборка!$O$2:$O$501,$K512),"")</f>
        <v/>
      </c>
      <c r="B512" t="str">
        <f>IF(ISNUMBER($K512),INDEX(Сборка!$C$2:$C$501,$K512),"")</f>
        <v/>
      </c>
      <c r="C512" s="5" t="str">
        <f>IF($L512&lt;&gt;"",INDEX(Сборка!$S$2:$S$501,MATCH($L512,Сборка!$P$2:$P$501,0)),IF(ISNUMBER($K512),INDEX(Сборка!$D$2:$D$501,$K512)&amp;IF(INDEX(Сборка!$I$2:$I$501,$K512)&lt;&gt;""," — "&amp;INDEX(Сборка!$I$2:$I$501,$K512),""),""))</f>
        <v/>
      </c>
      <c r="D512" t="str">
        <f>IF(ISNUMBER($K512),INDEX(Сборка!$E$2:$E$501,$K512),"")</f>
        <v/>
      </c>
      <c r="E512" t="str">
        <f>IF(ISNUMBER($K512),INDEX(Сборка!$G$2:$G$501,$K512),"")</f>
        <v/>
      </c>
      <c r="F512" s="6" t="str">
        <f>IF(ISNUMBER($K512),INDEX(Сборка!$J$2:$J$501,$K512),"")</f>
        <v/>
      </c>
      <c r="G512" s="6" t="str">
        <f>IF(ISNUMBER($K512),INDEX(Сборка!$K$2:$K$501,$K512),"")</f>
        <v/>
      </c>
      <c r="H512" s="6" t="str">
        <f t="shared" si="28"/>
        <v/>
      </c>
      <c r="I512" s="6" t="str">
        <f t="shared" si="29"/>
        <v/>
      </c>
      <c r="J512" s="6" t="str">
        <f t="shared" si="30"/>
        <v/>
      </c>
      <c r="K512" t="str">
        <f>IFERROR(MATCH(492,Сборка!$R$2:$R$501,0),"")</f>
        <v/>
      </c>
      <c r="L512" t="str">
        <f>IFERROR(IF(INDEX(Сборка!$Q$2:$Q$501,MATCH(492+1,Сборка!$R$2:$R$501,0))=1,INDEX(Сборка!$P$2:$P$501,MATCH(492+1,Сборка!$R$2:$R$501,0)),""),"")</f>
        <v/>
      </c>
      <c r="M512" t="str">
        <f t="shared" si="31"/>
        <v/>
      </c>
    </row>
    <row r="513" spans="1:13" hidden="1" x14ac:dyDescent="0.3">
      <c r="A513" t="str">
        <f>IF(ISNUMBER($K513),INDEX(Сборка!$O$2:$O$501,$K513),"")</f>
        <v/>
      </c>
      <c r="B513" t="str">
        <f>IF(ISNUMBER($K513),INDEX(Сборка!$C$2:$C$501,$K513),"")</f>
        <v/>
      </c>
      <c r="C513" s="5" t="str">
        <f>IF($L513&lt;&gt;"",INDEX(Сборка!$S$2:$S$501,MATCH($L513,Сборка!$P$2:$P$501,0)),IF(ISNUMBER($K513),INDEX(Сборка!$D$2:$D$501,$K513)&amp;IF(INDEX(Сборка!$I$2:$I$501,$K513)&lt;&gt;""," — "&amp;INDEX(Сборка!$I$2:$I$501,$K513),""),""))</f>
        <v/>
      </c>
      <c r="D513" t="str">
        <f>IF(ISNUMBER($K513),INDEX(Сборка!$E$2:$E$501,$K513),"")</f>
        <v/>
      </c>
      <c r="E513" t="str">
        <f>IF(ISNUMBER($K513),INDEX(Сборка!$G$2:$G$501,$K513),"")</f>
        <v/>
      </c>
      <c r="F513" s="6" t="str">
        <f>IF(ISNUMBER($K513),INDEX(Сборка!$J$2:$J$501,$K513),"")</f>
        <v/>
      </c>
      <c r="G513" s="6" t="str">
        <f>IF(ISNUMBER($K513),INDEX(Сборка!$K$2:$K$501,$K513),"")</f>
        <v/>
      </c>
      <c r="H513" s="6" t="str">
        <f t="shared" si="28"/>
        <v/>
      </c>
      <c r="I513" s="6" t="str">
        <f t="shared" si="29"/>
        <v/>
      </c>
      <c r="J513" s="6" t="str">
        <f t="shared" si="30"/>
        <v/>
      </c>
      <c r="K513" t="str">
        <f>IFERROR(MATCH(493,Сборка!$R$2:$R$501,0),"")</f>
        <v/>
      </c>
      <c r="L513" t="str">
        <f>IFERROR(IF(INDEX(Сборка!$Q$2:$Q$501,MATCH(493+1,Сборка!$R$2:$R$501,0))=1,INDEX(Сборка!$P$2:$P$501,MATCH(493+1,Сборка!$R$2:$R$501,0)),""),"")</f>
        <v/>
      </c>
      <c r="M513" t="str">
        <f t="shared" si="31"/>
        <v/>
      </c>
    </row>
    <row r="514" spans="1:13" hidden="1" x14ac:dyDescent="0.3">
      <c r="A514" t="str">
        <f>IF(ISNUMBER($K514),INDEX(Сборка!$O$2:$O$501,$K514),"")</f>
        <v/>
      </c>
      <c r="B514" t="str">
        <f>IF(ISNUMBER($K514),INDEX(Сборка!$C$2:$C$501,$K514),"")</f>
        <v/>
      </c>
      <c r="C514" s="5" t="str">
        <f>IF($L514&lt;&gt;"",INDEX(Сборка!$S$2:$S$501,MATCH($L514,Сборка!$P$2:$P$501,0)),IF(ISNUMBER($K514),INDEX(Сборка!$D$2:$D$501,$K514)&amp;IF(INDEX(Сборка!$I$2:$I$501,$K514)&lt;&gt;""," — "&amp;INDEX(Сборка!$I$2:$I$501,$K514),""),""))</f>
        <v/>
      </c>
      <c r="D514" t="str">
        <f>IF(ISNUMBER($K514),INDEX(Сборка!$E$2:$E$501,$K514),"")</f>
        <v/>
      </c>
      <c r="E514" t="str">
        <f>IF(ISNUMBER($K514),INDEX(Сборка!$G$2:$G$501,$K514),"")</f>
        <v/>
      </c>
      <c r="F514" s="6" t="str">
        <f>IF(ISNUMBER($K514),INDEX(Сборка!$J$2:$J$501,$K514),"")</f>
        <v/>
      </c>
      <c r="G514" s="6" t="str">
        <f>IF(ISNUMBER($K514),INDEX(Сборка!$K$2:$K$501,$K514),"")</f>
        <v/>
      </c>
      <c r="H514" s="6" t="str">
        <f t="shared" si="28"/>
        <v/>
      </c>
      <c r="I514" s="6" t="str">
        <f t="shared" si="29"/>
        <v/>
      </c>
      <c r="J514" s="6" t="str">
        <f t="shared" si="30"/>
        <v/>
      </c>
      <c r="K514" t="str">
        <f>IFERROR(MATCH(494,Сборка!$R$2:$R$501,0),"")</f>
        <v/>
      </c>
      <c r="L514" t="str">
        <f>IFERROR(IF(INDEX(Сборка!$Q$2:$Q$501,MATCH(494+1,Сборка!$R$2:$R$501,0))=1,INDEX(Сборка!$P$2:$P$501,MATCH(494+1,Сборка!$R$2:$R$501,0)),""),"")</f>
        <v/>
      </c>
      <c r="M514" t="str">
        <f t="shared" si="31"/>
        <v/>
      </c>
    </row>
    <row r="515" spans="1:13" hidden="1" x14ac:dyDescent="0.3">
      <c r="A515" t="str">
        <f>IF(ISNUMBER($K515),INDEX(Сборка!$O$2:$O$501,$K515),"")</f>
        <v/>
      </c>
      <c r="B515" t="str">
        <f>IF(ISNUMBER($K515),INDEX(Сборка!$C$2:$C$501,$K515),"")</f>
        <v/>
      </c>
      <c r="C515" s="5" t="str">
        <f>IF($L515&lt;&gt;"",INDEX(Сборка!$S$2:$S$501,MATCH($L515,Сборка!$P$2:$P$501,0)),IF(ISNUMBER($K515),INDEX(Сборка!$D$2:$D$501,$K515)&amp;IF(INDEX(Сборка!$I$2:$I$501,$K515)&lt;&gt;""," — "&amp;INDEX(Сборка!$I$2:$I$501,$K515),""),""))</f>
        <v/>
      </c>
      <c r="D515" t="str">
        <f>IF(ISNUMBER($K515),INDEX(Сборка!$E$2:$E$501,$K515),"")</f>
        <v/>
      </c>
      <c r="E515" t="str">
        <f>IF(ISNUMBER($K515),INDEX(Сборка!$G$2:$G$501,$K515),"")</f>
        <v/>
      </c>
      <c r="F515" s="6" t="str">
        <f>IF(ISNUMBER($K515),INDEX(Сборка!$J$2:$J$501,$K515),"")</f>
        <v/>
      </c>
      <c r="G515" s="6" t="str">
        <f>IF(ISNUMBER($K515),INDEX(Сборка!$K$2:$K$501,$K515),"")</f>
        <v/>
      </c>
      <c r="H515" s="6" t="str">
        <f t="shared" si="28"/>
        <v/>
      </c>
      <c r="I515" s="6" t="str">
        <f t="shared" si="29"/>
        <v/>
      </c>
      <c r="J515" s="6" t="str">
        <f t="shared" si="30"/>
        <v/>
      </c>
      <c r="K515" t="str">
        <f>IFERROR(MATCH(495,Сборка!$R$2:$R$501,0),"")</f>
        <v/>
      </c>
      <c r="L515" t="str">
        <f>IFERROR(IF(INDEX(Сборка!$Q$2:$Q$501,MATCH(495+1,Сборка!$R$2:$R$501,0))=1,INDEX(Сборка!$P$2:$P$501,MATCH(495+1,Сборка!$R$2:$R$501,0)),""),"")</f>
        <v/>
      </c>
      <c r="M515" t="str">
        <f t="shared" si="31"/>
        <v/>
      </c>
    </row>
    <row r="516" spans="1:13" hidden="1" x14ac:dyDescent="0.3">
      <c r="A516" t="str">
        <f>IF(ISNUMBER($K516),INDEX(Сборка!$O$2:$O$501,$K516),"")</f>
        <v/>
      </c>
      <c r="B516" t="str">
        <f>IF(ISNUMBER($K516),INDEX(Сборка!$C$2:$C$501,$K516),"")</f>
        <v/>
      </c>
      <c r="C516" s="5" t="str">
        <f>IF($L516&lt;&gt;"",INDEX(Сборка!$S$2:$S$501,MATCH($L516,Сборка!$P$2:$P$501,0)),IF(ISNUMBER($K516),INDEX(Сборка!$D$2:$D$501,$K516)&amp;IF(INDEX(Сборка!$I$2:$I$501,$K516)&lt;&gt;""," — "&amp;INDEX(Сборка!$I$2:$I$501,$K516),""),""))</f>
        <v/>
      </c>
      <c r="D516" t="str">
        <f>IF(ISNUMBER($K516),INDEX(Сборка!$E$2:$E$501,$K516),"")</f>
        <v/>
      </c>
      <c r="E516" t="str">
        <f>IF(ISNUMBER($K516),INDEX(Сборка!$G$2:$G$501,$K516),"")</f>
        <v/>
      </c>
      <c r="F516" s="6" t="str">
        <f>IF(ISNUMBER($K516),INDEX(Сборка!$J$2:$J$501,$K516),"")</f>
        <v/>
      </c>
      <c r="G516" s="6" t="str">
        <f>IF(ISNUMBER($K516),INDEX(Сборка!$K$2:$K$501,$K516),"")</f>
        <v/>
      </c>
      <c r="H516" s="6" t="str">
        <f t="shared" si="28"/>
        <v/>
      </c>
      <c r="I516" s="6" t="str">
        <f t="shared" si="29"/>
        <v/>
      </c>
      <c r="J516" s="6" t="str">
        <f t="shared" si="30"/>
        <v/>
      </c>
      <c r="K516" t="str">
        <f>IFERROR(MATCH(496,Сборка!$R$2:$R$501,0),"")</f>
        <v/>
      </c>
      <c r="L516" t="str">
        <f>IFERROR(IF(INDEX(Сборка!$Q$2:$Q$501,MATCH(496+1,Сборка!$R$2:$R$501,0))=1,INDEX(Сборка!$P$2:$P$501,MATCH(496+1,Сборка!$R$2:$R$501,0)),""),"")</f>
        <v/>
      </c>
      <c r="M516" t="str">
        <f t="shared" si="31"/>
        <v/>
      </c>
    </row>
    <row r="517" spans="1:13" hidden="1" x14ac:dyDescent="0.3">
      <c r="A517" t="str">
        <f>IF(ISNUMBER($K517),INDEX(Сборка!$O$2:$O$501,$K517),"")</f>
        <v/>
      </c>
      <c r="B517" t="str">
        <f>IF(ISNUMBER($K517),INDEX(Сборка!$C$2:$C$501,$K517),"")</f>
        <v/>
      </c>
      <c r="C517" s="5" t="str">
        <f>IF($L517&lt;&gt;"",INDEX(Сборка!$S$2:$S$501,MATCH($L517,Сборка!$P$2:$P$501,0)),IF(ISNUMBER($K517),INDEX(Сборка!$D$2:$D$501,$K517)&amp;IF(INDEX(Сборка!$I$2:$I$501,$K517)&lt;&gt;""," — "&amp;INDEX(Сборка!$I$2:$I$501,$K517),""),""))</f>
        <v/>
      </c>
      <c r="D517" t="str">
        <f>IF(ISNUMBER($K517),INDEX(Сборка!$E$2:$E$501,$K517),"")</f>
        <v/>
      </c>
      <c r="E517" t="str">
        <f>IF(ISNUMBER($K517),INDEX(Сборка!$G$2:$G$501,$K517),"")</f>
        <v/>
      </c>
      <c r="F517" s="6" t="str">
        <f>IF(ISNUMBER($K517),INDEX(Сборка!$J$2:$J$501,$K517),"")</f>
        <v/>
      </c>
      <c r="G517" s="6" t="str">
        <f>IF(ISNUMBER($K517),INDEX(Сборка!$K$2:$K$501,$K517),"")</f>
        <v/>
      </c>
      <c r="H517" s="6" t="str">
        <f t="shared" si="28"/>
        <v/>
      </c>
      <c r="I517" s="6" t="str">
        <f t="shared" si="29"/>
        <v/>
      </c>
      <c r="J517" s="6" t="str">
        <f t="shared" si="30"/>
        <v/>
      </c>
      <c r="K517" t="str">
        <f>IFERROR(MATCH(497,Сборка!$R$2:$R$501,0),"")</f>
        <v/>
      </c>
      <c r="L517" t="str">
        <f>IFERROR(IF(INDEX(Сборка!$Q$2:$Q$501,MATCH(497+1,Сборка!$R$2:$R$501,0))=1,INDEX(Сборка!$P$2:$P$501,MATCH(497+1,Сборка!$R$2:$R$501,0)),""),"")</f>
        <v/>
      </c>
      <c r="M517" t="str">
        <f t="shared" si="31"/>
        <v/>
      </c>
    </row>
    <row r="518" spans="1:13" hidden="1" x14ac:dyDescent="0.3">
      <c r="A518" t="str">
        <f>IF(ISNUMBER($K518),INDEX(Сборка!$O$2:$O$501,$K518),"")</f>
        <v/>
      </c>
      <c r="B518" t="str">
        <f>IF(ISNUMBER($K518),INDEX(Сборка!$C$2:$C$501,$K518),"")</f>
        <v/>
      </c>
      <c r="C518" s="5" t="str">
        <f>IF($L518&lt;&gt;"",INDEX(Сборка!$S$2:$S$501,MATCH($L518,Сборка!$P$2:$P$501,0)),IF(ISNUMBER($K518),INDEX(Сборка!$D$2:$D$501,$K518)&amp;IF(INDEX(Сборка!$I$2:$I$501,$K518)&lt;&gt;""," — "&amp;INDEX(Сборка!$I$2:$I$501,$K518),""),""))</f>
        <v/>
      </c>
      <c r="D518" t="str">
        <f>IF(ISNUMBER($K518),INDEX(Сборка!$E$2:$E$501,$K518),"")</f>
        <v/>
      </c>
      <c r="E518" t="str">
        <f>IF(ISNUMBER($K518),INDEX(Сборка!$G$2:$G$501,$K518),"")</f>
        <v/>
      </c>
      <c r="F518" s="6" t="str">
        <f>IF(ISNUMBER($K518),INDEX(Сборка!$J$2:$J$501,$K518),"")</f>
        <v/>
      </c>
      <c r="G518" s="6" t="str">
        <f>IF(ISNUMBER($K518),INDEX(Сборка!$K$2:$K$501,$K518),"")</f>
        <v/>
      </c>
      <c r="H518" s="6" t="str">
        <f t="shared" si="28"/>
        <v/>
      </c>
      <c r="I518" s="6" t="str">
        <f t="shared" si="29"/>
        <v/>
      </c>
      <c r="J518" s="6" t="str">
        <f t="shared" si="30"/>
        <v/>
      </c>
      <c r="K518" t="str">
        <f>IFERROR(MATCH(498,Сборка!$R$2:$R$501,0),"")</f>
        <v/>
      </c>
      <c r="L518" t="str">
        <f>IFERROR(IF(INDEX(Сборка!$Q$2:$Q$501,MATCH(498+1,Сборка!$R$2:$R$501,0))=1,INDEX(Сборка!$P$2:$P$501,MATCH(498+1,Сборка!$R$2:$R$501,0)),""),"")</f>
        <v/>
      </c>
      <c r="M518" t="str">
        <f t="shared" si="31"/>
        <v/>
      </c>
    </row>
    <row r="519" spans="1:13" hidden="1" x14ac:dyDescent="0.3">
      <c r="A519" t="str">
        <f>IF(ISNUMBER($K519),INDEX(Сборка!$O$2:$O$501,$K519),"")</f>
        <v/>
      </c>
      <c r="B519" t="str">
        <f>IF(ISNUMBER($K519),INDEX(Сборка!$C$2:$C$501,$K519),"")</f>
        <v/>
      </c>
      <c r="C519" s="5" t="str">
        <f>IF($L519&lt;&gt;"",INDEX(Сборка!$S$2:$S$501,MATCH($L519,Сборка!$P$2:$P$501,0)),IF(ISNUMBER($K519),INDEX(Сборка!$D$2:$D$501,$K519)&amp;IF(INDEX(Сборка!$I$2:$I$501,$K519)&lt;&gt;""," — "&amp;INDEX(Сборка!$I$2:$I$501,$K519),""),""))</f>
        <v/>
      </c>
      <c r="D519" t="str">
        <f>IF(ISNUMBER($K519),INDEX(Сборка!$E$2:$E$501,$K519),"")</f>
        <v/>
      </c>
      <c r="E519" t="str">
        <f>IF(ISNUMBER($K519),INDEX(Сборка!$G$2:$G$501,$K519),"")</f>
        <v/>
      </c>
      <c r="F519" s="6" t="str">
        <f>IF(ISNUMBER($K519),INDEX(Сборка!$J$2:$J$501,$K519),"")</f>
        <v/>
      </c>
      <c r="G519" s="6" t="str">
        <f>IF(ISNUMBER($K519),INDEX(Сборка!$K$2:$K$501,$K519),"")</f>
        <v/>
      </c>
      <c r="H519" s="6" t="str">
        <f t="shared" si="28"/>
        <v/>
      </c>
      <c r="I519" s="6" t="str">
        <f t="shared" si="29"/>
        <v/>
      </c>
      <c r="J519" s="6" t="str">
        <f t="shared" si="30"/>
        <v/>
      </c>
      <c r="K519" t="str">
        <f>IFERROR(MATCH(499,Сборка!$R$2:$R$501,0),"")</f>
        <v/>
      </c>
      <c r="L519" t="str">
        <f>IFERROR(IF(INDEX(Сборка!$Q$2:$Q$501,MATCH(499+1,Сборка!$R$2:$R$501,0))=1,INDEX(Сборка!$P$2:$P$501,MATCH(499+1,Сборка!$R$2:$R$501,0)),""),"")</f>
        <v/>
      </c>
      <c r="M519" t="str">
        <f t="shared" si="31"/>
        <v/>
      </c>
    </row>
    <row r="520" spans="1:13" hidden="1" x14ac:dyDescent="0.3">
      <c r="A520" t="str">
        <f>IF(ISNUMBER($K520),INDEX(Сборка!$O$2:$O$501,$K520),"")</f>
        <v/>
      </c>
      <c r="B520" t="str">
        <f>IF(ISNUMBER($K520),INDEX(Сборка!$C$2:$C$501,$K520),"")</f>
        <v/>
      </c>
      <c r="C520" s="5" t="str">
        <f>IF($L520&lt;&gt;"",INDEX(Сборка!$S$2:$S$501,MATCH($L520,Сборка!$P$2:$P$501,0)),IF(ISNUMBER($K520),INDEX(Сборка!$D$2:$D$501,$K520)&amp;IF(INDEX(Сборка!$I$2:$I$501,$K520)&lt;&gt;""," — "&amp;INDEX(Сборка!$I$2:$I$501,$K520),""),""))</f>
        <v/>
      </c>
      <c r="D520" t="str">
        <f>IF(ISNUMBER($K520),INDEX(Сборка!$E$2:$E$501,$K520),"")</f>
        <v/>
      </c>
      <c r="E520" t="str">
        <f>IF(ISNUMBER($K520),INDEX(Сборка!$G$2:$G$501,$K520),"")</f>
        <v/>
      </c>
      <c r="F520" s="6" t="str">
        <f>IF(ISNUMBER($K520),INDEX(Сборка!$J$2:$J$501,$K520),"")</f>
        <v/>
      </c>
      <c r="G520" s="6" t="str">
        <f>IF(ISNUMBER($K520),INDEX(Сборка!$K$2:$K$501,$K520),"")</f>
        <v/>
      </c>
      <c r="H520" s="6" t="str">
        <f t="shared" si="28"/>
        <v/>
      </c>
      <c r="I520" s="6" t="str">
        <f t="shared" si="29"/>
        <v/>
      </c>
      <c r="J520" s="6" t="str">
        <f t="shared" si="30"/>
        <v/>
      </c>
      <c r="K520" t="str">
        <f>IFERROR(MATCH(500,Сборка!$R$2:$R$501,0),"")</f>
        <v/>
      </c>
      <c r="L520" t="str">
        <f>IFERROR(IF(INDEX(Сборка!$Q$2:$Q$501,MATCH(500+1,Сборка!$R$2:$R$501,0))=1,INDEX(Сборка!$P$2:$P$501,MATCH(500+1,Сборка!$R$2:$R$501,0)),""),"")</f>
        <v/>
      </c>
      <c r="M520" t="str">
        <f t="shared" si="31"/>
        <v/>
      </c>
    </row>
    <row r="521" spans="1:13" hidden="1" x14ac:dyDescent="0.3">
      <c r="A521" t="str">
        <f>IF(ISNUMBER($K521),INDEX(Сборка!$O$2:$O$501,$K521),"")</f>
        <v/>
      </c>
      <c r="B521" t="str">
        <f>IF(ISNUMBER($K521),INDEX(Сборка!$C$2:$C$501,$K521),"")</f>
        <v/>
      </c>
      <c r="C521" s="5" t="str">
        <f>IF($L521&lt;&gt;"",INDEX(Сборка!$S$2:$S$501,MATCH($L521,Сборка!$P$2:$P$501,0)),IF(ISNUMBER($K521),INDEX(Сборка!$D$2:$D$501,$K521)&amp;IF(INDEX(Сборка!$I$2:$I$501,$K521)&lt;&gt;""," — "&amp;INDEX(Сборка!$I$2:$I$501,$K521),""),""))</f>
        <v/>
      </c>
      <c r="D521" t="str">
        <f>IF(ISNUMBER($K521),INDEX(Сборка!$E$2:$E$501,$K521),"")</f>
        <v/>
      </c>
      <c r="E521" t="str">
        <f>IF(ISNUMBER($K521),INDEX(Сборка!$G$2:$G$501,$K521),"")</f>
        <v/>
      </c>
      <c r="F521" s="6" t="str">
        <f>IF(ISNUMBER($K521),INDEX(Сборка!$J$2:$J$501,$K521),"")</f>
        <v/>
      </c>
      <c r="G521" s="6" t="str">
        <f>IF(ISNUMBER($K521),INDEX(Сборка!$K$2:$K$501,$K521),"")</f>
        <v/>
      </c>
      <c r="H521" s="6" t="str">
        <f t="shared" si="28"/>
        <v/>
      </c>
      <c r="I521" s="6" t="str">
        <f t="shared" si="29"/>
        <v/>
      </c>
      <c r="J521" s="6" t="str">
        <f t="shared" si="30"/>
        <v/>
      </c>
      <c r="K521" t="str">
        <f>IFERROR(MATCH(501,Сборка!$R$2:$R$501,0),"")</f>
        <v/>
      </c>
      <c r="L521" t="str">
        <f>IFERROR(IF(INDEX(Сборка!$Q$2:$Q$501,MATCH(501+1,Сборка!$R$2:$R$501,0))=1,INDEX(Сборка!$P$2:$P$501,MATCH(501+1,Сборка!$R$2:$R$501,0)),""),"")</f>
        <v/>
      </c>
      <c r="M521" t="str">
        <f t="shared" si="31"/>
        <v/>
      </c>
    </row>
    <row r="522" spans="1:13" hidden="1" x14ac:dyDescent="0.3">
      <c r="A522" t="str">
        <f>IF(ISNUMBER($K522),INDEX(Сборка!$O$2:$O$501,$K522),"")</f>
        <v/>
      </c>
      <c r="B522" t="str">
        <f>IF(ISNUMBER($K522),INDEX(Сборка!$C$2:$C$501,$K522),"")</f>
        <v/>
      </c>
      <c r="C522" s="5" t="str">
        <f>IF($L522&lt;&gt;"",INDEX(Сборка!$S$2:$S$501,MATCH($L522,Сборка!$P$2:$P$501,0)),IF(ISNUMBER($K522),INDEX(Сборка!$D$2:$D$501,$K522)&amp;IF(INDEX(Сборка!$I$2:$I$501,$K522)&lt;&gt;""," — "&amp;INDEX(Сборка!$I$2:$I$501,$K522),""),""))</f>
        <v/>
      </c>
      <c r="D522" t="str">
        <f>IF(ISNUMBER($K522),INDEX(Сборка!$E$2:$E$501,$K522),"")</f>
        <v/>
      </c>
      <c r="E522" t="str">
        <f>IF(ISNUMBER($K522),INDEX(Сборка!$G$2:$G$501,$K522),"")</f>
        <v/>
      </c>
      <c r="F522" s="6" t="str">
        <f>IF(ISNUMBER($K522),INDEX(Сборка!$J$2:$J$501,$K522),"")</f>
        <v/>
      </c>
      <c r="G522" s="6" t="str">
        <f>IF(ISNUMBER($K522),INDEX(Сборка!$K$2:$K$501,$K522),"")</f>
        <v/>
      </c>
      <c r="H522" s="6" t="str">
        <f t="shared" si="28"/>
        <v/>
      </c>
      <c r="I522" s="6" t="str">
        <f t="shared" si="29"/>
        <v/>
      </c>
      <c r="J522" s="6" t="str">
        <f t="shared" si="30"/>
        <v/>
      </c>
      <c r="K522" t="str">
        <f>IFERROR(MATCH(502,Сборка!$R$2:$R$501,0),"")</f>
        <v/>
      </c>
      <c r="L522" t="str">
        <f>IFERROR(IF(INDEX(Сборка!$Q$2:$Q$501,MATCH(502+1,Сборка!$R$2:$R$501,0))=1,INDEX(Сборка!$P$2:$P$501,MATCH(502+1,Сборка!$R$2:$R$501,0)),""),"")</f>
        <v/>
      </c>
      <c r="M522" t="str">
        <f t="shared" si="31"/>
        <v/>
      </c>
    </row>
    <row r="523" spans="1:13" hidden="1" x14ac:dyDescent="0.3">
      <c r="A523" t="str">
        <f>IF(ISNUMBER($K523),INDEX(Сборка!$O$2:$O$501,$K523),"")</f>
        <v/>
      </c>
      <c r="B523" t="str">
        <f>IF(ISNUMBER($K523),INDEX(Сборка!$C$2:$C$501,$K523),"")</f>
        <v/>
      </c>
      <c r="C523" s="5" t="str">
        <f>IF($L523&lt;&gt;"",INDEX(Сборка!$S$2:$S$501,MATCH($L523,Сборка!$P$2:$P$501,0)),IF(ISNUMBER($K523),INDEX(Сборка!$D$2:$D$501,$K523)&amp;IF(INDEX(Сборка!$I$2:$I$501,$K523)&lt;&gt;""," — "&amp;INDEX(Сборка!$I$2:$I$501,$K523),""),""))</f>
        <v/>
      </c>
      <c r="D523" t="str">
        <f>IF(ISNUMBER($K523),INDEX(Сборка!$E$2:$E$501,$K523),"")</f>
        <v/>
      </c>
      <c r="E523" t="str">
        <f>IF(ISNUMBER($K523),INDEX(Сборка!$G$2:$G$501,$K523),"")</f>
        <v/>
      </c>
      <c r="F523" s="6" t="str">
        <f>IF(ISNUMBER($K523),INDEX(Сборка!$J$2:$J$501,$K523),"")</f>
        <v/>
      </c>
      <c r="G523" s="6" t="str">
        <f>IF(ISNUMBER($K523),INDEX(Сборка!$K$2:$K$501,$K523),"")</f>
        <v/>
      </c>
      <c r="H523" s="6" t="str">
        <f t="shared" si="28"/>
        <v/>
      </c>
      <c r="I523" s="6" t="str">
        <f t="shared" si="29"/>
        <v/>
      </c>
      <c r="J523" s="6" t="str">
        <f t="shared" si="30"/>
        <v/>
      </c>
      <c r="K523" t="str">
        <f>IFERROR(MATCH(503,Сборка!$R$2:$R$501,0),"")</f>
        <v/>
      </c>
      <c r="L523" t="str">
        <f>IFERROR(IF(INDEX(Сборка!$Q$2:$Q$501,MATCH(503+1,Сборка!$R$2:$R$501,0))=1,INDEX(Сборка!$P$2:$P$501,MATCH(503+1,Сборка!$R$2:$R$501,0)),""),"")</f>
        <v/>
      </c>
      <c r="M523" t="str">
        <f t="shared" si="31"/>
        <v/>
      </c>
    </row>
    <row r="524" spans="1:13" hidden="1" x14ac:dyDescent="0.3">
      <c r="A524" t="str">
        <f>IF(ISNUMBER($K524),INDEX(Сборка!$O$2:$O$501,$K524),"")</f>
        <v/>
      </c>
      <c r="B524" t="str">
        <f>IF(ISNUMBER($K524),INDEX(Сборка!$C$2:$C$501,$K524),"")</f>
        <v/>
      </c>
      <c r="C524" s="5" t="str">
        <f>IF($L524&lt;&gt;"",INDEX(Сборка!$S$2:$S$501,MATCH($L524,Сборка!$P$2:$P$501,0)),IF(ISNUMBER($K524),INDEX(Сборка!$D$2:$D$501,$K524)&amp;IF(INDEX(Сборка!$I$2:$I$501,$K524)&lt;&gt;""," — "&amp;INDEX(Сборка!$I$2:$I$501,$K524),""),""))</f>
        <v/>
      </c>
      <c r="D524" t="str">
        <f>IF(ISNUMBER($K524),INDEX(Сборка!$E$2:$E$501,$K524),"")</f>
        <v/>
      </c>
      <c r="E524" t="str">
        <f>IF(ISNUMBER($K524),INDEX(Сборка!$G$2:$G$501,$K524),"")</f>
        <v/>
      </c>
      <c r="F524" s="6" t="str">
        <f>IF(ISNUMBER($K524),INDEX(Сборка!$J$2:$J$501,$K524),"")</f>
        <v/>
      </c>
      <c r="G524" s="6" t="str">
        <f>IF(ISNUMBER($K524),INDEX(Сборка!$K$2:$K$501,$K524),"")</f>
        <v/>
      </c>
      <c r="H524" s="6" t="str">
        <f t="shared" si="28"/>
        <v/>
      </c>
      <c r="I524" s="6" t="str">
        <f t="shared" si="29"/>
        <v/>
      </c>
      <c r="J524" s="6" t="str">
        <f t="shared" si="30"/>
        <v/>
      </c>
      <c r="K524" t="str">
        <f>IFERROR(MATCH(504,Сборка!$R$2:$R$501,0),"")</f>
        <v/>
      </c>
      <c r="L524" t="str">
        <f>IFERROR(IF(INDEX(Сборка!$Q$2:$Q$501,MATCH(504+1,Сборка!$R$2:$R$501,0))=1,INDEX(Сборка!$P$2:$P$501,MATCH(504+1,Сборка!$R$2:$R$501,0)),""),"")</f>
        <v/>
      </c>
      <c r="M524" t="str">
        <f t="shared" si="31"/>
        <v/>
      </c>
    </row>
    <row r="525" spans="1:13" hidden="1" x14ac:dyDescent="0.3">
      <c r="A525" t="str">
        <f>IF(ISNUMBER($K525),INDEX(Сборка!$O$2:$O$501,$K525),"")</f>
        <v/>
      </c>
      <c r="B525" t="str">
        <f>IF(ISNUMBER($K525),INDEX(Сборка!$C$2:$C$501,$K525),"")</f>
        <v/>
      </c>
      <c r="C525" s="5" t="str">
        <f>IF($L525&lt;&gt;"",INDEX(Сборка!$S$2:$S$501,MATCH($L525,Сборка!$P$2:$P$501,0)),IF(ISNUMBER($K525),INDEX(Сборка!$D$2:$D$501,$K525)&amp;IF(INDEX(Сборка!$I$2:$I$501,$K525)&lt;&gt;""," — "&amp;INDEX(Сборка!$I$2:$I$501,$K525),""),""))</f>
        <v/>
      </c>
      <c r="D525" t="str">
        <f>IF(ISNUMBER($K525),INDEX(Сборка!$E$2:$E$501,$K525),"")</f>
        <v/>
      </c>
      <c r="E525" t="str">
        <f>IF(ISNUMBER($K525),INDEX(Сборка!$G$2:$G$501,$K525),"")</f>
        <v/>
      </c>
      <c r="F525" s="6" t="str">
        <f>IF(ISNUMBER($K525),INDEX(Сборка!$J$2:$J$501,$K525),"")</f>
        <v/>
      </c>
      <c r="G525" s="6" t="str">
        <f>IF(ISNUMBER($K525),INDEX(Сборка!$K$2:$K$501,$K525),"")</f>
        <v/>
      </c>
      <c r="H525" s="6" t="str">
        <f t="shared" si="28"/>
        <v/>
      </c>
      <c r="I525" s="6" t="str">
        <f t="shared" si="29"/>
        <v/>
      </c>
      <c r="J525" s="6" t="str">
        <f t="shared" si="30"/>
        <v/>
      </c>
      <c r="K525" t="str">
        <f>IFERROR(MATCH(505,Сборка!$R$2:$R$501,0),"")</f>
        <v/>
      </c>
      <c r="L525" t="str">
        <f>IFERROR(IF(INDEX(Сборка!$Q$2:$Q$501,MATCH(505+1,Сборка!$R$2:$R$501,0))=1,INDEX(Сборка!$P$2:$P$501,MATCH(505+1,Сборка!$R$2:$R$501,0)),""),"")</f>
        <v/>
      </c>
      <c r="M525" t="str">
        <f t="shared" si="31"/>
        <v/>
      </c>
    </row>
    <row r="526" spans="1:13" hidden="1" x14ac:dyDescent="0.3">
      <c r="A526" t="str">
        <f>IF(ISNUMBER($K526),INDEX(Сборка!$O$2:$O$501,$K526),"")</f>
        <v/>
      </c>
      <c r="B526" t="str">
        <f>IF(ISNUMBER($K526),INDEX(Сборка!$C$2:$C$501,$K526),"")</f>
        <v/>
      </c>
      <c r="C526" s="5" t="str">
        <f>IF($L526&lt;&gt;"",INDEX(Сборка!$S$2:$S$501,MATCH($L526,Сборка!$P$2:$P$501,0)),IF(ISNUMBER($K526),INDEX(Сборка!$D$2:$D$501,$K526)&amp;IF(INDEX(Сборка!$I$2:$I$501,$K526)&lt;&gt;""," — "&amp;INDEX(Сборка!$I$2:$I$501,$K526),""),""))</f>
        <v/>
      </c>
      <c r="D526" t="str">
        <f>IF(ISNUMBER($K526),INDEX(Сборка!$E$2:$E$501,$K526),"")</f>
        <v/>
      </c>
      <c r="E526" t="str">
        <f>IF(ISNUMBER($K526),INDEX(Сборка!$G$2:$G$501,$K526),"")</f>
        <v/>
      </c>
      <c r="F526" s="6" t="str">
        <f>IF(ISNUMBER($K526),INDEX(Сборка!$J$2:$J$501,$K526),"")</f>
        <v/>
      </c>
      <c r="G526" s="6" t="str">
        <f>IF(ISNUMBER($K526),INDEX(Сборка!$K$2:$K$501,$K526),"")</f>
        <v/>
      </c>
      <c r="H526" s="6" t="str">
        <f t="shared" si="28"/>
        <v/>
      </c>
      <c r="I526" s="6" t="str">
        <f t="shared" si="29"/>
        <v/>
      </c>
      <c r="J526" s="6" t="str">
        <f t="shared" si="30"/>
        <v/>
      </c>
      <c r="K526" t="str">
        <f>IFERROR(MATCH(506,Сборка!$R$2:$R$501,0),"")</f>
        <v/>
      </c>
      <c r="L526" t="str">
        <f>IFERROR(IF(INDEX(Сборка!$Q$2:$Q$501,MATCH(506+1,Сборка!$R$2:$R$501,0))=1,INDEX(Сборка!$P$2:$P$501,MATCH(506+1,Сборка!$R$2:$R$501,0)),""),"")</f>
        <v/>
      </c>
      <c r="M526" t="str">
        <f t="shared" si="31"/>
        <v/>
      </c>
    </row>
    <row r="527" spans="1:13" hidden="1" x14ac:dyDescent="0.3">
      <c r="A527" t="str">
        <f>IF(ISNUMBER($K527),INDEX(Сборка!$O$2:$O$501,$K527),"")</f>
        <v/>
      </c>
      <c r="B527" t="str">
        <f>IF(ISNUMBER($K527),INDEX(Сборка!$C$2:$C$501,$K527),"")</f>
        <v/>
      </c>
      <c r="C527" s="5" t="str">
        <f>IF($L527&lt;&gt;"",INDEX(Сборка!$S$2:$S$501,MATCH($L527,Сборка!$P$2:$P$501,0)),IF(ISNUMBER($K527),INDEX(Сборка!$D$2:$D$501,$K527)&amp;IF(INDEX(Сборка!$I$2:$I$501,$K527)&lt;&gt;""," — "&amp;INDEX(Сборка!$I$2:$I$501,$K527),""),""))</f>
        <v/>
      </c>
      <c r="D527" t="str">
        <f>IF(ISNUMBER($K527),INDEX(Сборка!$E$2:$E$501,$K527),"")</f>
        <v/>
      </c>
      <c r="E527" t="str">
        <f>IF(ISNUMBER($K527),INDEX(Сборка!$G$2:$G$501,$K527),"")</f>
        <v/>
      </c>
      <c r="F527" s="6" t="str">
        <f>IF(ISNUMBER($K527),INDEX(Сборка!$J$2:$J$501,$K527),"")</f>
        <v/>
      </c>
      <c r="G527" s="6" t="str">
        <f>IF(ISNUMBER($K527),INDEX(Сборка!$K$2:$K$501,$K527),"")</f>
        <v/>
      </c>
      <c r="H527" s="6" t="str">
        <f t="shared" si="28"/>
        <v/>
      </c>
      <c r="I527" s="6" t="str">
        <f t="shared" si="29"/>
        <v/>
      </c>
      <c r="J527" s="6" t="str">
        <f t="shared" si="30"/>
        <v/>
      </c>
      <c r="K527" t="str">
        <f>IFERROR(MATCH(507,Сборка!$R$2:$R$501,0),"")</f>
        <v/>
      </c>
      <c r="L527" t="str">
        <f>IFERROR(IF(INDEX(Сборка!$Q$2:$Q$501,MATCH(507+1,Сборка!$R$2:$R$501,0))=1,INDEX(Сборка!$P$2:$P$501,MATCH(507+1,Сборка!$R$2:$R$501,0)),""),"")</f>
        <v/>
      </c>
      <c r="M527" t="str">
        <f t="shared" si="31"/>
        <v/>
      </c>
    </row>
    <row r="528" spans="1:13" hidden="1" x14ac:dyDescent="0.3">
      <c r="A528" t="str">
        <f>IF(ISNUMBER($K528),INDEX(Сборка!$O$2:$O$501,$K528),"")</f>
        <v/>
      </c>
      <c r="B528" t="str">
        <f>IF(ISNUMBER($K528),INDEX(Сборка!$C$2:$C$501,$K528),"")</f>
        <v/>
      </c>
      <c r="C528" s="5" t="str">
        <f>IF($L528&lt;&gt;"",INDEX(Сборка!$S$2:$S$501,MATCH($L528,Сборка!$P$2:$P$501,0)),IF(ISNUMBER($K528),INDEX(Сборка!$D$2:$D$501,$K528)&amp;IF(INDEX(Сборка!$I$2:$I$501,$K528)&lt;&gt;""," — "&amp;INDEX(Сборка!$I$2:$I$501,$K528),""),""))</f>
        <v/>
      </c>
      <c r="D528" t="str">
        <f>IF(ISNUMBER($K528),INDEX(Сборка!$E$2:$E$501,$K528),"")</f>
        <v/>
      </c>
      <c r="E528" t="str">
        <f>IF(ISNUMBER($K528),INDEX(Сборка!$G$2:$G$501,$K528),"")</f>
        <v/>
      </c>
      <c r="F528" s="6" t="str">
        <f>IF(ISNUMBER($K528),INDEX(Сборка!$J$2:$J$501,$K528),"")</f>
        <v/>
      </c>
      <c r="G528" s="6" t="str">
        <f>IF(ISNUMBER($K528),INDEX(Сборка!$K$2:$K$501,$K528),"")</f>
        <v/>
      </c>
      <c r="H528" s="6" t="str">
        <f t="shared" si="28"/>
        <v/>
      </c>
      <c r="I528" s="6" t="str">
        <f t="shared" si="29"/>
        <v/>
      </c>
      <c r="J528" s="6" t="str">
        <f t="shared" si="30"/>
        <v/>
      </c>
      <c r="K528" t="str">
        <f>IFERROR(MATCH(508,Сборка!$R$2:$R$501,0),"")</f>
        <v/>
      </c>
      <c r="L528" t="str">
        <f>IFERROR(IF(INDEX(Сборка!$Q$2:$Q$501,MATCH(508+1,Сборка!$R$2:$R$501,0))=1,INDEX(Сборка!$P$2:$P$501,MATCH(508+1,Сборка!$R$2:$R$501,0)),""),"")</f>
        <v/>
      </c>
      <c r="M528" t="str">
        <f t="shared" si="31"/>
        <v/>
      </c>
    </row>
    <row r="529" spans="1:13" hidden="1" x14ac:dyDescent="0.3">
      <c r="A529" t="str">
        <f>IF(ISNUMBER($K529),INDEX(Сборка!$O$2:$O$501,$K529),"")</f>
        <v/>
      </c>
      <c r="B529" t="str">
        <f>IF(ISNUMBER($K529),INDEX(Сборка!$C$2:$C$501,$K529),"")</f>
        <v/>
      </c>
      <c r="C529" s="5" t="str">
        <f>IF($L529&lt;&gt;"",INDEX(Сборка!$S$2:$S$501,MATCH($L529,Сборка!$P$2:$P$501,0)),IF(ISNUMBER($K529),INDEX(Сборка!$D$2:$D$501,$K529)&amp;IF(INDEX(Сборка!$I$2:$I$501,$K529)&lt;&gt;""," — "&amp;INDEX(Сборка!$I$2:$I$501,$K529),""),""))</f>
        <v/>
      </c>
      <c r="D529" t="str">
        <f>IF(ISNUMBER($K529),INDEX(Сборка!$E$2:$E$501,$K529),"")</f>
        <v/>
      </c>
      <c r="E529" t="str">
        <f>IF(ISNUMBER($K529),INDEX(Сборка!$G$2:$G$501,$K529),"")</f>
        <v/>
      </c>
      <c r="F529" s="6" t="str">
        <f>IF(ISNUMBER($K529),INDEX(Сборка!$J$2:$J$501,$K529),"")</f>
        <v/>
      </c>
      <c r="G529" s="6" t="str">
        <f>IF(ISNUMBER($K529),INDEX(Сборка!$K$2:$K$501,$K529),"")</f>
        <v/>
      </c>
      <c r="H529" s="6" t="str">
        <f t="shared" si="28"/>
        <v/>
      </c>
      <c r="I529" s="6" t="str">
        <f t="shared" si="29"/>
        <v/>
      </c>
      <c r="J529" s="6" t="str">
        <f t="shared" si="30"/>
        <v/>
      </c>
      <c r="K529" t="str">
        <f>IFERROR(MATCH(509,Сборка!$R$2:$R$501,0),"")</f>
        <v/>
      </c>
      <c r="L529" t="str">
        <f>IFERROR(IF(INDEX(Сборка!$Q$2:$Q$501,MATCH(509+1,Сборка!$R$2:$R$501,0))=1,INDEX(Сборка!$P$2:$P$501,MATCH(509+1,Сборка!$R$2:$R$501,0)),""),"")</f>
        <v/>
      </c>
      <c r="M529" t="str">
        <f t="shared" si="31"/>
        <v/>
      </c>
    </row>
    <row r="530" spans="1:13" hidden="1" x14ac:dyDescent="0.3">
      <c r="A530" t="str">
        <f>IF(ISNUMBER($K530),INDEX(Сборка!$O$2:$O$501,$K530),"")</f>
        <v/>
      </c>
      <c r="B530" t="str">
        <f>IF(ISNUMBER($K530),INDEX(Сборка!$C$2:$C$501,$K530),"")</f>
        <v/>
      </c>
      <c r="C530" s="5" t="str">
        <f>IF($L530&lt;&gt;"",INDEX(Сборка!$S$2:$S$501,MATCH($L530,Сборка!$P$2:$P$501,0)),IF(ISNUMBER($K530),INDEX(Сборка!$D$2:$D$501,$K530)&amp;IF(INDEX(Сборка!$I$2:$I$501,$K530)&lt;&gt;""," — "&amp;INDEX(Сборка!$I$2:$I$501,$K530),""),""))</f>
        <v/>
      </c>
      <c r="D530" t="str">
        <f>IF(ISNUMBER($K530),INDEX(Сборка!$E$2:$E$501,$K530),"")</f>
        <v/>
      </c>
      <c r="E530" t="str">
        <f>IF(ISNUMBER($K530),INDEX(Сборка!$G$2:$G$501,$K530),"")</f>
        <v/>
      </c>
      <c r="F530" s="6" t="str">
        <f>IF(ISNUMBER($K530),INDEX(Сборка!$J$2:$J$501,$K530),"")</f>
        <v/>
      </c>
      <c r="G530" s="6" t="str">
        <f>IF(ISNUMBER($K530),INDEX(Сборка!$K$2:$K$501,$K530),"")</f>
        <v/>
      </c>
      <c r="H530" s="6" t="str">
        <f t="shared" si="28"/>
        <v/>
      </c>
      <c r="I530" s="6" t="str">
        <f t="shared" si="29"/>
        <v/>
      </c>
      <c r="J530" s="6" t="str">
        <f t="shared" si="30"/>
        <v/>
      </c>
      <c r="K530" t="str">
        <f>IFERROR(MATCH(510,Сборка!$R$2:$R$501,0),"")</f>
        <v/>
      </c>
      <c r="L530" t="str">
        <f>IFERROR(IF(INDEX(Сборка!$Q$2:$Q$501,MATCH(510+1,Сборка!$R$2:$R$501,0))=1,INDEX(Сборка!$P$2:$P$501,MATCH(510+1,Сборка!$R$2:$R$501,0)),""),"")</f>
        <v/>
      </c>
      <c r="M530" t="str">
        <f t="shared" si="31"/>
        <v/>
      </c>
    </row>
    <row r="531" spans="1:13" hidden="1" x14ac:dyDescent="0.3">
      <c r="A531" t="str">
        <f>IF(ISNUMBER($K531),INDEX(Сборка!$O$2:$O$501,$K531),"")</f>
        <v/>
      </c>
      <c r="B531" t="str">
        <f>IF(ISNUMBER($K531),INDEX(Сборка!$C$2:$C$501,$K531),"")</f>
        <v/>
      </c>
      <c r="C531" s="5" t="str">
        <f>IF($L531&lt;&gt;"",INDEX(Сборка!$S$2:$S$501,MATCH($L531,Сборка!$P$2:$P$501,0)),IF(ISNUMBER($K531),INDEX(Сборка!$D$2:$D$501,$K531)&amp;IF(INDEX(Сборка!$I$2:$I$501,$K531)&lt;&gt;""," — "&amp;INDEX(Сборка!$I$2:$I$501,$K531),""),""))</f>
        <v/>
      </c>
      <c r="D531" t="str">
        <f>IF(ISNUMBER($K531),INDEX(Сборка!$E$2:$E$501,$K531),"")</f>
        <v/>
      </c>
      <c r="E531" t="str">
        <f>IF(ISNUMBER($K531),INDEX(Сборка!$G$2:$G$501,$K531),"")</f>
        <v/>
      </c>
      <c r="F531" s="6" t="str">
        <f>IF(ISNUMBER($K531),INDEX(Сборка!$J$2:$J$501,$K531),"")</f>
        <v/>
      </c>
      <c r="G531" s="6" t="str">
        <f>IF(ISNUMBER($K531),INDEX(Сборка!$K$2:$K$501,$K531),"")</f>
        <v/>
      </c>
      <c r="H531" s="6" t="str">
        <f t="shared" si="28"/>
        <v/>
      </c>
      <c r="I531" s="6" t="str">
        <f t="shared" si="29"/>
        <v/>
      </c>
      <c r="J531" s="6" t="str">
        <f t="shared" si="30"/>
        <v/>
      </c>
      <c r="K531" t="str">
        <f>IFERROR(MATCH(511,Сборка!$R$2:$R$501,0),"")</f>
        <v/>
      </c>
      <c r="L531" t="str">
        <f>IFERROR(IF(INDEX(Сборка!$Q$2:$Q$501,MATCH(511+1,Сборка!$R$2:$R$501,0))=1,INDEX(Сборка!$P$2:$P$501,MATCH(511+1,Сборка!$R$2:$R$501,0)),""),"")</f>
        <v/>
      </c>
      <c r="M531" t="str">
        <f t="shared" si="31"/>
        <v/>
      </c>
    </row>
    <row r="532" spans="1:13" hidden="1" x14ac:dyDescent="0.3">
      <c r="A532" t="str">
        <f>IF(ISNUMBER($K532),INDEX(Сборка!$O$2:$O$501,$K532),"")</f>
        <v/>
      </c>
      <c r="B532" t="str">
        <f>IF(ISNUMBER($K532),INDEX(Сборка!$C$2:$C$501,$K532),"")</f>
        <v/>
      </c>
      <c r="C532" s="5" t="str">
        <f>IF($L532&lt;&gt;"",INDEX(Сборка!$S$2:$S$501,MATCH($L532,Сборка!$P$2:$P$501,0)),IF(ISNUMBER($K532),INDEX(Сборка!$D$2:$D$501,$K532)&amp;IF(INDEX(Сборка!$I$2:$I$501,$K532)&lt;&gt;""," — "&amp;INDEX(Сборка!$I$2:$I$501,$K532),""),""))</f>
        <v/>
      </c>
      <c r="D532" t="str">
        <f>IF(ISNUMBER($K532),INDEX(Сборка!$E$2:$E$501,$K532),"")</f>
        <v/>
      </c>
      <c r="E532" t="str">
        <f>IF(ISNUMBER($K532),INDEX(Сборка!$G$2:$G$501,$K532),"")</f>
        <v/>
      </c>
      <c r="F532" s="6" t="str">
        <f>IF(ISNUMBER($K532),INDEX(Сборка!$J$2:$J$501,$K532),"")</f>
        <v/>
      </c>
      <c r="G532" s="6" t="str">
        <f>IF(ISNUMBER($K532),INDEX(Сборка!$K$2:$K$501,$K532),"")</f>
        <v/>
      </c>
      <c r="H532" s="6" t="str">
        <f t="shared" si="28"/>
        <v/>
      </c>
      <c r="I532" s="6" t="str">
        <f t="shared" si="29"/>
        <v/>
      </c>
      <c r="J532" s="6" t="str">
        <f t="shared" si="30"/>
        <v/>
      </c>
      <c r="K532" t="str">
        <f>IFERROR(MATCH(512,Сборка!$R$2:$R$501,0),"")</f>
        <v/>
      </c>
      <c r="L532" t="str">
        <f>IFERROR(IF(INDEX(Сборка!$Q$2:$Q$501,MATCH(512+1,Сборка!$R$2:$R$501,0))=1,INDEX(Сборка!$P$2:$P$501,MATCH(512+1,Сборка!$R$2:$R$501,0)),""),"")</f>
        <v/>
      </c>
      <c r="M532" t="str">
        <f t="shared" si="31"/>
        <v/>
      </c>
    </row>
    <row r="533" spans="1:13" hidden="1" x14ac:dyDescent="0.3">
      <c r="A533" t="str">
        <f>IF(ISNUMBER($K533),INDEX(Сборка!$O$2:$O$501,$K533),"")</f>
        <v/>
      </c>
      <c r="B533" t="str">
        <f>IF(ISNUMBER($K533),INDEX(Сборка!$C$2:$C$501,$K533),"")</f>
        <v/>
      </c>
      <c r="C533" s="5" t="str">
        <f>IF($L533&lt;&gt;"",INDEX(Сборка!$S$2:$S$501,MATCH($L533,Сборка!$P$2:$P$501,0)),IF(ISNUMBER($K533),INDEX(Сборка!$D$2:$D$501,$K533)&amp;IF(INDEX(Сборка!$I$2:$I$501,$K533)&lt;&gt;""," — "&amp;INDEX(Сборка!$I$2:$I$501,$K533),""),""))</f>
        <v/>
      </c>
      <c r="D533" t="str">
        <f>IF(ISNUMBER($K533),INDEX(Сборка!$E$2:$E$501,$K533),"")</f>
        <v/>
      </c>
      <c r="E533" t="str">
        <f>IF(ISNUMBER($K533),INDEX(Сборка!$G$2:$G$501,$K533),"")</f>
        <v/>
      </c>
      <c r="F533" s="6" t="str">
        <f>IF(ISNUMBER($K533),INDEX(Сборка!$J$2:$J$501,$K533),"")</f>
        <v/>
      </c>
      <c r="G533" s="6" t="str">
        <f>IF(ISNUMBER($K533),INDEX(Сборка!$K$2:$K$501,$K533),"")</f>
        <v/>
      </c>
      <c r="H533" s="6" t="str">
        <f t="shared" ref="H533:H538" si="32">IF(ISNUMBER($K533),ROUND($E533*$F533,2),"")</f>
        <v/>
      </c>
      <c r="I533" s="6" t="str">
        <f t="shared" ref="I533:I538" si="33">IF(ISNUMBER($K533),ROUND($E533*$G533,2),"")</f>
        <v/>
      </c>
      <c r="J533" s="6" t="str">
        <f t="shared" ref="J533:J538" si="34">IF(ISNUMBER($K533),$H533+$I533,"")</f>
        <v/>
      </c>
      <c r="K533" t="str">
        <f>IFERROR(MATCH(513,Сборка!$R$2:$R$501,0),"")</f>
        <v/>
      </c>
      <c r="L533" t="str">
        <f>IFERROR(IF(INDEX(Сборка!$Q$2:$Q$501,MATCH(513+1,Сборка!$R$2:$R$501,0))=1,INDEX(Сборка!$P$2:$P$501,MATCH(513+1,Сборка!$R$2:$R$501,0)),""),"")</f>
        <v/>
      </c>
      <c r="M533" t="str">
        <f t="shared" ref="M533:M538" si="35">IF(OR(ISNUMBER($K533),$L533&lt;&gt;""),"показать","")</f>
        <v/>
      </c>
    </row>
    <row r="534" spans="1:13" hidden="1" x14ac:dyDescent="0.3">
      <c r="A534" t="str">
        <f>IF(ISNUMBER($K534),INDEX(Сборка!$O$2:$O$501,$K534),"")</f>
        <v/>
      </c>
      <c r="B534" t="str">
        <f>IF(ISNUMBER($K534),INDEX(Сборка!$C$2:$C$501,$K534),"")</f>
        <v/>
      </c>
      <c r="C534" s="5" t="str">
        <f>IF($L534&lt;&gt;"",INDEX(Сборка!$S$2:$S$501,MATCH($L534,Сборка!$P$2:$P$501,0)),IF(ISNUMBER($K534),INDEX(Сборка!$D$2:$D$501,$K534)&amp;IF(INDEX(Сборка!$I$2:$I$501,$K534)&lt;&gt;""," — "&amp;INDEX(Сборка!$I$2:$I$501,$K534),""),""))</f>
        <v/>
      </c>
      <c r="D534" t="str">
        <f>IF(ISNUMBER($K534),INDEX(Сборка!$E$2:$E$501,$K534),"")</f>
        <v/>
      </c>
      <c r="E534" t="str">
        <f>IF(ISNUMBER($K534),INDEX(Сборка!$G$2:$G$501,$K534),"")</f>
        <v/>
      </c>
      <c r="F534" s="6" t="str">
        <f>IF(ISNUMBER($K534),INDEX(Сборка!$J$2:$J$501,$K534),"")</f>
        <v/>
      </c>
      <c r="G534" s="6" t="str">
        <f>IF(ISNUMBER($K534),INDEX(Сборка!$K$2:$K$501,$K534),"")</f>
        <v/>
      </c>
      <c r="H534" s="6" t="str">
        <f t="shared" si="32"/>
        <v/>
      </c>
      <c r="I534" s="6" t="str">
        <f t="shared" si="33"/>
        <v/>
      </c>
      <c r="J534" s="6" t="str">
        <f t="shared" si="34"/>
        <v/>
      </c>
      <c r="K534" t="str">
        <f>IFERROR(MATCH(514,Сборка!$R$2:$R$501,0),"")</f>
        <v/>
      </c>
      <c r="L534" t="str">
        <f>IFERROR(IF(INDEX(Сборка!$Q$2:$Q$501,MATCH(514+1,Сборка!$R$2:$R$501,0))=1,INDEX(Сборка!$P$2:$P$501,MATCH(514+1,Сборка!$R$2:$R$501,0)),""),"")</f>
        <v/>
      </c>
      <c r="M534" t="str">
        <f t="shared" si="35"/>
        <v/>
      </c>
    </row>
    <row r="535" spans="1:13" hidden="1" x14ac:dyDescent="0.3">
      <c r="A535" t="str">
        <f>IF(ISNUMBER($K535),INDEX(Сборка!$O$2:$O$501,$K535),"")</f>
        <v/>
      </c>
      <c r="B535" t="str">
        <f>IF(ISNUMBER($K535),INDEX(Сборка!$C$2:$C$501,$K535),"")</f>
        <v/>
      </c>
      <c r="C535" s="5" t="str">
        <f>IF($L535&lt;&gt;"",INDEX(Сборка!$S$2:$S$501,MATCH($L535,Сборка!$P$2:$P$501,0)),IF(ISNUMBER($K535),INDEX(Сборка!$D$2:$D$501,$K535)&amp;IF(INDEX(Сборка!$I$2:$I$501,$K535)&lt;&gt;""," — "&amp;INDEX(Сборка!$I$2:$I$501,$K535),""),""))</f>
        <v/>
      </c>
      <c r="D535" t="str">
        <f>IF(ISNUMBER($K535),INDEX(Сборка!$E$2:$E$501,$K535),"")</f>
        <v/>
      </c>
      <c r="E535" t="str">
        <f>IF(ISNUMBER($K535),INDEX(Сборка!$G$2:$G$501,$K535),"")</f>
        <v/>
      </c>
      <c r="F535" s="6" t="str">
        <f>IF(ISNUMBER($K535),INDEX(Сборка!$J$2:$J$501,$K535),"")</f>
        <v/>
      </c>
      <c r="G535" s="6" t="str">
        <f>IF(ISNUMBER($K535),INDEX(Сборка!$K$2:$K$501,$K535),"")</f>
        <v/>
      </c>
      <c r="H535" s="6" t="str">
        <f t="shared" si="32"/>
        <v/>
      </c>
      <c r="I535" s="6" t="str">
        <f t="shared" si="33"/>
        <v/>
      </c>
      <c r="J535" s="6" t="str">
        <f t="shared" si="34"/>
        <v/>
      </c>
      <c r="K535" t="str">
        <f>IFERROR(MATCH(515,Сборка!$R$2:$R$501,0),"")</f>
        <v/>
      </c>
      <c r="L535" t="str">
        <f>IFERROR(IF(INDEX(Сборка!$Q$2:$Q$501,MATCH(515+1,Сборка!$R$2:$R$501,0))=1,INDEX(Сборка!$P$2:$P$501,MATCH(515+1,Сборка!$R$2:$R$501,0)),""),"")</f>
        <v/>
      </c>
      <c r="M535" t="str">
        <f t="shared" si="35"/>
        <v/>
      </c>
    </row>
    <row r="536" spans="1:13" hidden="1" x14ac:dyDescent="0.3">
      <c r="A536" t="str">
        <f>IF(ISNUMBER($K536),INDEX(Сборка!$O$2:$O$501,$K536),"")</f>
        <v/>
      </c>
      <c r="B536" t="str">
        <f>IF(ISNUMBER($K536),INDEX(Сборка!$C$2:$C$501,$K536),"")</f>
        <v/>
      </c>
      <c r="C536" s="5" t="str">
        <f>IF($L536&lt;&gt;"",INDEX(Сборка!$S$2:$S$501,MATCH($L536,Сборка!$P$2:$P$501,0)),IF(ISNUMBER($K536),INDEX(Сборка!$D$2:$D$501,$K536)&amp;IF(INDEX(Сборка!$I$2:$I$501,$K536)&lt;&gt;""," — "&amp;INDEX(Сборка!$I$2:$I$501,$K536),""),""))</f>
        <v/>
      </c>
      <c r="D536" t="str">
        <f>IF(ISNUMBER($K536),INDEX(Сборка!$E$2:$E$501,$K536),"")</f>
        <v/>
      </c>
      <c r="E536" t="str">
        <f>IF(ISNUMBER($K536),INDEX(Сборка!$G$2:$G$501,$K536),"")</f>
        <v/>
      </c>
      <c r="F536" s="6" t="str">
        <f>IF(ISNUMBER($K536),INDEX(Сборка!$J$2:$J$501,$K536),"")</f>
        <v/>
      </c>
      <c r="G536" s="6" t="str">
        <f>IF(ISNUMBER($K536),INDEX(Сборка!$K$2:$K$501,$K536),"")</f>
        <v/>
      </c>
      <c r="H536" s="6" t="str">
        <f t="shared" si="32"/>
        <v/>
      </c>
      <c r="I536" s="6" t="str">
        <f t="shared" si="33"/>
        <v/>
      </c>
      <c r="J536" s="6" t="str">
        <f t="shared" si="34"/>
        <v/>
      </c>
      <c r="K536" t="str">
        <f>IFERROR(MATCH(516,Сборка!$R$2:$R$501,0),"")</f>
        <v/>
      </c>
      <c r="L536" t="str">
        <f>IFERROR(IF(INDEX(Сборка!$Q$2:$Q$501,MATCH(516+1,Сборка!$R$2:$R$501,0))=1,INDEX(Сборка!$P$2:$P$501,MATCH(516+1,Сборка!$R$2:$R$501,0)),""),"")</f>
        <v/>
      </c>
      <c r="M536" t="str">
        <f t="shared" si="35"/>
        <v/>
      </c>
    </row>
    <row r="537" spans="1:13" hidden="1" x14ac:dyDescent="0.3">
      <c r="A537" t="str">
        <f>IF(ISNUMBER($K537),INDEX(Сборка!$O$2:$O$501,$K537),"")</f>
        <v/>
      </c>
      <c r="B537" t="str">
        <f>IF(ISNUMBER($K537),INDEX(Сборка!$C$2:$C$501,$K537),"")</f>
        <v/>
      </c>
      <c r="C537" s="5" t="str">
        <f>IF($L537&lt;&gt;"",INDEX(Сборка!$S$2:$S$501,MATCH($L537,Сборка!$P$2:$P$501,0)),IF(ISNUMBER($K537),INDEX(Сборка!$D$2:$D$501,$K537)&amp;IF(INDEX(Сборка!$I$2:$I$501,$K537)&lt;&gt;""," — "&amp;INDEX(Сборка!$I$2:$I$501,$K537),""),""))</f>
        <v/>
      </c>
      <c r="D537" t="str">
        <f>IF(ISNUMBER($K537),INDEX(Сборка!$E$2:$E$501,$K537),"")</f>
        <v/>
      </c>
      <c r="E537" t="str">
        <f>IF(ISNUMBER($K537),INDEX(Сборка!$G$2:$G$501,$K537),"")</f>
        <v/>
      </c>
      <c r="F537" s="6" t="str">
        <f>IF(ISNUMBER($K537),INDEX(Сборка!$J$2:$J$501,$K537),"")</f>
        <v/>
      </c>
      <c r="G537" s="6" t="str">
        <f>IF(ISNUMBER($K537),INDEX(Сборка!$K$2:$K$501,$K537),"")</f>
        <v/>
      </c>
      <c r="H537" s="6" t="str">
        <f t="shared" si="32"/>
        <v/>
      </c>
      <c r="I537" s="6" t="str">
        <f t="shared" si="33"/>
        <v/>
      </c>
      <c r="J537" s="6" t="str">
        <f t="shared" si="34"/>
        <v/>
      </c>
      <c r="K537" t="str">
        <f>IFERROR(MATCH(517,Сборка!$R$2:$R$501,0),"")</f>
        <v/>
      </c>
      <c r="L537" t="str">
        <f>IFERROR(IF(INDEX(Сборка!$Q$2:$Q$501,MATCH(517+1,Сборка!$R$2:$R$501,0))=1,INDEX(Сборка!$P$2:$P$501,MATCH(517+1,Сборка!$R$2:$R$501,0)),""),"")</f>
        <v/>
      </c>
      <c r="M537" t="str">
        <f t="shared" si="35"/>
        <v/>
      </c>
    </row>
    <row r="538" spans="1:13" hidden="1" x14ac:dyDescent="0.3">
      <c r="A538" t="str">
        <f>IF(ISNUMBER($K538),INDEX(Сборка!$O$2:$O$501,$K538),"")</f>
        <v/>
      </c>
      <c r="B538" t="str">
        <f>IF(ISNUMBER($K538),INDEX(Сборка!$C$2:$C$501,$K538),"")</f>
        <v/>
      </c>
      <c r="C538" s="5" t="str">
        <f>IF($L538&lt;&gt;"",INDEX(Сборка!$S$2:$S$501,MATCH($L538,Сборка!$P$2:$P$501,0)),IF(ISNUMBER($K538),INDEX(Сборка!$D$2:$D$501,$K538)&amp;IF(INDEX(Сборка!$I$2:$I$501,$K538)&lt;&gt;""," — "&amp;INDEX(Сборка!$I$2:$I$501,$K538),""),""))</f>
        <v/>
      </c>
      <c r="D538" t="str">
        <f>IF(ISNUMBER($K538),INDEX(Сборка!$E$2:$E$501,$K538),"")</f>
        <v/>
      </c>
      <c r="E538" t="str">
        <f>IF(ISNUMBER($K538),INDEX(Сборка!$G$2:$G$501,$K538),"")</f>
        <v/>
      </c>
      <c r="F538" s="6" t="str">
        <f>IF(ISNUMBER($K538),INDEX(Сборка!$J$2:$J$501,$K538),"")</f>
        <v/>
      </c>
      <c r="G538" s="6" t="str">
        <f>IF(ISNUMBER($K538),INDEX(Сборка!$K$2:$K$501,$K538),"")</f>
        <v/>
      </c>
      <c r="H538" s="6" t="str">
        <f t="shared" si="32"/>
        <v/>
      </c>
      <c r="I538" s="6" t="str">
        <f t="shared" si="33"/>
        <v/>
      </c>
      <c r="J538" s="6" t="str">
        <f t="shared" si="34"/>
        <v/>
      </c>
      <c r="K538" t="str">
        <f>IFERROR(MATCH(518,Сборка!$R$2:$R$501,0),"")</f>
        <v/>
      </c>
      <c r="L538" t="str">
        <f>IFERROR(IF(INDEX(Сборка!$Q$2:$Q$501,MATCH(518+1,Сборка!$R$2:$R$501,0))=1,INDEX(Сборка!$P$2:$P$501,MATCH(518+1,Сборка!$R$2:$R$501,0)),""),"")</f>
        <v/>
      </c>
      <c r="M538" t="str">
        <f t="shared" si="35"/>
        <v/>
      </c>
    </row>
    <row r="539" spans="1:13" x14ac:dyDescent="0.3">
      <c r="B539" t="s">
        <v>66</v>
      </c>
      <c r="H539" s="6">
        <f>SUM($H$21:$H$538)</f>
        <v>0</v>
      </c>
      <c r="M539" t="s">
        <v>67</v>
      </c>
    </row>
    <row r="540" spans="1:13" x14ac:dyDescent="0.3">
      <c r="B540" t="s">
        <v>68</v>
      </c>
      <c r="I540" s="6">
        <f>SUM($I$21:$I$538)</f>
        <v>0</v>
      </c>
      <c r="M540" t="s">
        <v>67</v>
      </c>
    </row>
    <row r="541" spans="1:13" x14ac:dyDescent="0.3">
      <c r="B541" s="2" t="s">
        <v>69</v>
      </c>
      <c r="J541" s="13">
        <f>SUM($J$21:$J$538)</f>
        <v>0</v>
      </c>
      <c r="M541" t="s">
        <v>67</v>
      </c>
    </row>
    <row r="542" spans="1:13" x14ac:dyDescent="0.3">
      <c r="M542" t="s">
        <v>67</v>
      </c>
    </row>
    <row r="543" spans="1:13" x14ac:dyDescent="0.3">
      <c r="A543" t="s">
        <v>70</v>
      </c>
      <c r="M543" t="s">
        <v>67</v>
      </c>
    </row>
    <row r="544" spans="1:13" x14ac:dyDescent="0.3">
      <c r="M544" t="s">
        <v>67</v>
      </c>
    </row>
    <row r="545" spans="1:13" x14ac:dyDescent="0.3">
      <c r="A545" t="s">
        <v>71</v>
      </c>
      <c r="G545" t="s">
        <v>72</v>
      </c>
      <c r="M545" t="s">
        <v>67</v>
      </c>
    </row>
  </sheetData>
  <autoFilter ref="A20:M545" xr:uid="{00000000-0009-0000-0000-000002000000}">
    <filterColumn colId="12">
      <filters>
        <filter val="показать"/>
      </filters>
    </filterColumn>
  </autoFilter>
  <conditionalFormatting sqref="A21:J538">
    <cfRule type="expression" dxfId="0" priority="1">
      <formula>$L21&lt;&gt;""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N85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60" customWidth="1"/>
    <col min="3" max="4" width="8" customWidth="1"/>
    <col min="5" max="5" width="32" customWidth="1"/>
    <col min="6" max="6" width="8" customWidth="1"/>
    <col min="7" max="7" width="16" customWidth="1"/>
    <col min="8" max="8" width="14" customWidth="1"/>
    <col min="9" max="9" width="15" customWidth="1"/>
    <col min="10" max="10" width="12" customWidth="1"/>
    <col min="11" max="11" width="30" customWidth="1"/>
    <col min="12" max="12" width="14" customWidth="1"/>
    <col min="13" max="13" width="30" customWidth="1"/>
    <col min="14" max="14" width="74" customWidth="1"/>
  </cols>
  <sheetData>
    <row r="1" spans="1:14" ht="28.8" x14ac:dyDescent="0.3">
      <c r="A1" s="3" t="s">
        <v>73</v>
      </c>
      <c r="B1" s="3" t="s">
        <v>74</v>
      </c>
      <c r="C1" s="3" t="s">
        <v>75</v>
      </c>
      <c r="D1" s="3" t="s">
        <v>18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  <c r="L1" s="3" t="s">
        <v>83</v>
      </c>
      <c r="M1" s="3" t="s">
        <v>84</v>
      </c>
      <c r="N1" s="3" t="s">
        <v>85</v>
      </c>
    </row>
    <row r="2" spans="1:14" x14ac:dyDescent="0.3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H2">
        <v>3675</v>
      </c>
      <c r="I2">
        <v>0</v>
      </c>
      <c r="J2" t="s">
        <v>92</v>
      </c>
      <c r="N2" s="14" t="s">
        <v>93</v>
      </c>
    </row>
    <row r="3" spans="1:14" x14ac:dyDescent="0.3">
      <c r="A3" t="s">
        <v>94</v>
      </c>
      <c r="B3" t="s">
        <v>95</v>
      </c>
      <c r="C3" t="s">
        <v>88</v>
      </c>
      <c r="D3" t="s">
        <v>89</v>
      </c>
      <c r="E3" t="s">
        <v>90</v>
      </c>
      <c r="F3" t="s">
        <v>91</v>
      </c>
      <c r="H3">
        <v>7822.5</v>
      </c>
      <c r="I3">
        <v>0</v>
      </c>
      <c r="J3" t="s">
        <v>92</v>
      </c>
      <c r="N3" s="14" t="s">
        <v>96</v>
      </c>
    </row>
    <row r="4" spans="1:14" x14ac:dyDescent="0.3">
      <c r="A4" t="s">
        <v>97</v>
      </c>
      <c r="B4" t="s">
        <v>98</v>
      </c>
      <c r="C4" t="s">
        <v>99</v>
      </c>
      <c r="D4" t="s">
        <v>89</v>
      </c>
      <c r="E4" t="s">
        <v>90</v>
      </c>
      <c r="F4" t="s">
        <v>91</v>
      </c>
      <c r="G4" t="s">
        <v>100</v>
      </c>
      <c r="H4">
        <v>0</v>
      </c>
      <c r="I4">
        <v>0</v>
      </c>
      <c r="J4" t="s">
        <v>92</v>
      </c>
      <c r="N4" s="14" t="s">
        <v>101</v>
      </c>
    </row>
    <row r="5" spans="1:14" x14ac:dyDescent="0.3">
      <c r="A5" t="s">
        <v>102</v>
      </c>
      <c r="B5" t="s">
        <v>103</v>
      </c>
      <c r="C5" t="s">
        <v>99</v>
      </c>
      <c r="D5" t="s">
        <v>89</v>
      </c>
      <c r="E5" t="s">
        <v>90</v>
      </c>
      <c r="F5" t="s">
        <v>91</v>
      </c>
      <c r="G5" t="s">
        <v>104</v>
      </c>
      <c r="H5">
        <v>0</v>
      </c>
      <c r="I5">
        <v>0</v>
      </c>
      <c r="J5" t="s">
        <v>92</v>
      </c>
      <c r="N5" s="14" t="s">
        <v>105</v>
      </c>
    </row>
    <row r="6" spans="1:14" x14ac:dyDescent="0.3">
      <c r="A6" t="s">
        <v>106</v>
      </c>
      <c r="B6" t="s">
        <v>107</v>
      </c>
      <c r="C6" t="s">
        <v>88</v>
      </c>
      <c r="D6" t="s">
        <v>89</v>
      </c>
      <c r="E6" t="s">
        <v>90</v>
      </c>
      <c r="F6" t="s">
        <v>91</v>
      </c>
      <c r="H6">
        <v>3675</v>
      </c>
      <c r="I6">
        <v>0</v>
      </c>
      <c r="J6" t="s">
        <v>92</v>
      </c>
      <c r="N6" s="14" t="s">
        <v>108</v>
      </c>
    </row>
    <row r="7" spans="1:14" x14ac:dyDescent="0.3">
      <c r="A7" t="s">
        <v>109</v>
      </c>
      <c r="B7" t="s">
        <v>110</v>
      </c>
      <c r="C7" t="s">
        <v>111</v>
      </c>
      <c r="D7" t="s">
        <v>89</v>
      </c>
      <c r="E7" t="s">
        <v>90</v>
      </c>
      <c r="F7" t="s">
        <v>91</v>
      </c>
      <c r="H7">
        <v>7822.5</v>
      </c>
      <c r="I7">
        <v>0</v>
      </c>
      <c r="J7" t="s">
        <v>92</v>
      </c>
      <c r="N7" s="14" t="s">
        <v>112</v>
      </c>
    </row>
    <row r="8" spans="1:14" x14ac:dyDescent="0.3">
      <c r="A8" t="s">
        <v>113</v>
      </c>
      <c r="B8" t="s">
        <v>114</v>
      </c>
      <c r="C8" t="s">
        <v>88</v>
      </c>
      <c r="D8" t="s">
        <v>89</v>
      </c>
      <c r="E8" t="s">
        <v>90</v>
      </c>
      <c r="F8" t="s">
        <v>91</v>
      </c>
      <c r="H8">
        <v>0</v>
      </c>
      <c r="I8">
        <v>0</v>
      </c>
      <c r="J8" t="s">
        <v>115</v>
      </c>
      <c r="N8" s="14" t="s">
        <v>116</v>
      </c>
    </row>
    <row r="9" spans="1:14" x14ac:dyDescent="0.3">
      <c r="A9" t="s">
        <v>117</v>
      </c>
      <c r="B9" t="s">
        <v>118</v>
      </c>
      <c r="C9" t="s">
        <v>88</v>
      </c>
      <c r="D9" t="s">
        <v>89</v>
      </c>
      <c r="E9" t="s">
        <v>90</v>
      </c>
      <c r="F9" t="s">
        <v>91</v>
      </c>
      <c r="H9">
        <v>0</v>
      </c>
      <c r="I9">
        <v>0</v>
      </c>
      <c r="J9" t="s">
        <v>115</v>
      </c>
      <c r="N9" s="14" t="s">
        <v>119</v>
      </c>
    </row>
    <row r="10" spans="1:14" x14ac:dyDescent="0.3">
      <c r="A10" t="s">
        <v>120</v>
      </c>
      <c r="B10" t="s">
        <v>121</v>
      </c>
      <c r="C10" t="s">
        <v>88</v>
      </c>
      <c r="D10" t="s">
        <v>89</v>
      </c>
      <c r="E10" t="s">
        <v>90</v>
      </c>
      <c r="F10" t="s">
        <v>91</v>
      </c>
      <c r="H10">
        <v>0</v>
      </c>
      <c r="I10">
        <v>0</v>
      </c>
      <c r="J10" t="s">
        <v>115</v>
      </c>
      <c r="N10" s="14" t="s">
        <v>122</v>
      </c>
    </row>
    <row r="11" spans="1:14" x14ac:dyDescent="0.3">
      <c r="A11" t="s">
        <v>123</v>
      </c>
      <c r="B11" t="s">
        <v>124</v>
      </c>
      <c r="C11" t="s">
        <v>88</v>
      </c>
      <c r="D11" t="s">
        <v>89</v>
      </c>
      <c r="E11" t="s">
        <v>90</v>
      </c>
      <c r="F11" t="s">
        <v>91</v>
      </c>
      <c r="H11">
        <v>88.99</v>
      </c>
      <c r="I11">
        <v>0</v>
      </c>
      <c r="J11" t="s">
        <v>115</v>
      </c>
      <c r="N11" s="14" t="s">
        <v>125</v>
      </c>
    </row>
    <row r="12" spans="1:14" x14ac:dyDescent="0.3">
      <c r="A12" t="s">
        <v>126</v>
      </c>
      <c r="B12" t="s">
        <v>127</v>
      </c>
      <c r="C12" t="s">
        <v>88</v>
      </c>
      <c r="D12" t="s">
        <v>89</v>
      </c>
      <c r="E12" t="s">
        <v>90</v>
      </c>
      <c r="F12" t="s">
        <v>91</v>
      </c>
      <c r="H12">
        <v>149.82</v>
      </c>
      <c r="I12">
        <v>0</v>
      </c>
      <c r="J12" t="s">
        <v>115</v>
      </c>
      <c r="N12" s="14" t="s">
        <v>128</v>
      </c>
    </row>
    <row r="13" spans="1:14" x14ac:dyDescent="0.3">
      <c r="A13" t="s">
        <v>129</v>
      </c>
      <c r="B13" t="s">
        <v>130</v>
      </c>
      <c r="C13" t="s">
        <v>88</v>
      </c>
      <c r="D13" t="s">
        <v>89</v>
      </c>
      <c r="E13" t="s">
        <v>90</v>
      </c>
      <c r="F13" t="s">
        <v>91</v>
      </c>
      <c r="H13">
        <v>96.48</v>
      </c>
      <c r="I13">
        <v>0</v>
      </c>
      <c r="J13" t="s">
        <v>115</v>
      </c>
      <c r="N13" s="14" t="s">
        <v>131</v>
      </c>
    </row>
    <row r="14" spans="1:14" x14ac:dyDescent="0.3">
      <c r="A14" t="s">
        <v>132</v>
      </c>
      <c r="B14" t="s">
        <v>133</v>
      </c>
      <c r="C14" t="s">
        <v>88</v>
      </c>
      <c r="D14" t="s">
        <v>89</v>
      </c>
      <c r="E14" t="s">
        <v>90</v>
      </c>
      <c r="F14" t="s">
        <v>91</v>
      </c>
      <c r="H14">
        <v>123.58</v>
      </c>
      <c r="I14">
        <v>0</v>
      </c>
      <c r="J14" t="s">
        <v>115</v>
      </c>
      <c r="N14" s="14" t="s">
        <v>134</v>
      </c>
    </row>
    <row r="15" spans="1:14" x14ac:dyDescent="0.3">
      <c r="A15" t="s">
        <v>135</v>
      </c>
      <c r="B15" t="s">
        <v>136</v>
      </c>
      <c r="C15" t="s">
        <v>137</v>
      </c>
      <c r="D15" t="s">
        <v>89</v>
      </c>
      <c r="E15" t="s">
        <v>90</v>
      </c>
      <c r="F15" t="s">
        <v>91</v>
      </c>
      <c r="H15">
        <v>13074.35</v>
      </c>
      <c r="I15">
        <v>0</v>
      </c>
      <c r="J15" t="s">
        <v>115</v>
      </c>
      <c r="N15" s="14" t="s">
        <v>138</v>
      </c>
    </row>
    <row r="16" spans="1:14" x14ac:dyDescent="0.3">
      <c r="A16" t="s">
        <v>139</v>
      </c>
      <c r="B16" t="s">
        <v>140</v>
      </c>
      <c r="C16" t="s">
        <v>88</v>
      </c>
      <c r="D16" t="s">
        <v>89</v>
      </c>
      <c r="E16" t="s">
        <v>90</v>
      </c>
      <c r="F16" t="s">
        <v>91</v>
      </c>
      <c r="H16">
        <v>190.9</v>
      </c>
      <c r="I16">
        <v>0</v>
      </c>
      <c r="J16" t="s">
        <v>92</v>
      </c>
      <c r="N16" s="14" t="s">
        <v>141</v>
      </c>
    </row>
    <row r="17" spans="1:14" x14ac:dyDescent="0.3">
      <c r="A17" t="s">
        <v>142</v>
      </c>
      <c r="B17" t="s">
        <v>143</v>
      </c>
      <c r="C17" t="s">
        <v>88</v>
      </c>
      <c r="D17" t="s">
        <v>89</v>
      </c>
      <c r="E17" t="s">
        <v>90</v>
      </c>
      <c r="F17" t="s">
        <v>91</v>
      </c>
      <c r="H17">
        <v>0</v>
      </c>
      <c r="I17">
        <v>0</v>
      </c>
      <c r="J17" t="s">
        <v>115</v>
      </c>
      <c r="N17" s="14" t="s">
        <v>144</v>
      </c>
    </row>
    <row r="18" spans="1:14" x14ac:dyDescent="0.3">
      <c r="A18" t="s">
        <v>145</v>
      </c>
      <c r="B18" t="s">
        <v>146</v>
      </c>
      <c r="C18" t="s">
        <v>88</v>
      </c>
      <c r="D18" t="s">
        <v>89</v>
      </c>
      <c r="E18" t="s">
        <v>90</v>
      </c>
      <c r="F18" t="s">
        <v>91</v>
      </c>
      <c r="H18">
        <v>98.96</v>
      </c>
      <c r="I18">
        <v>0</v>
      </c>
      <c r="J18" t="s">
        <v>115</v>
      </c>
      <c r="N18" s="14" t="s">
        <v>147</v>
      </c>
    </row>
    <row r="19" spans="1:14" x14ac:dyDescent="0.3">
      <c r="A19" t="s">
        <v>148</v>
      </c>
      <c r="B19" t="s">
        <v>149</v>
      </c>
      <c r="C19" t="s">
        <v>88</v>
      </c>
      <c r="D19" t="s">
        <v>89</v>
      </c>
      <c r="E19" t="s">
        <v>90</v>
      </c>
      <c r="F19" t="s">
        <v>91</v>
      </c>
      <c r="H19">
        <v>0</v>
      </c>
      <c r="I19">
        <v>0</v>
      </c>
      <c r="J19" t="s">
        <v>115</v>
      </c>
      <c r="N19" s="14" t="s">
        <v>150</v>
      </c>
    </row>
    <row r="20" spans="1:14" x14ac:dyDescent="0.3">
      <c r="A20" t="s">
        <v>151</v>
      </c>
      <c r="B20" t="s">
        <v>152</v>
      </c>
      <c r="C20" t="s">
        <v>88</v>
      </c>
      <c r="D20" t="s">
        <v>89</v>
      </c>
      <c r="E20" t="s">
        <v>90</v>
      </c>
      <c r="F20" t="s">
        <v>91</v>
      </c>
      <c r="H20">
        <v>0</v>
      </c>
      <c r="I20">
        <v>0</v>
      </c>
      <c r="J20" t="s">
        <v>115</v>
      </c>
      <c r="N20" s="14" t="s">
        <v>153</v>
      </c>
    </row>
    <row r="21" spans="1:14" x14ac:dyDescent="0.3">
      <c r="A21" t="s">
        <v>154</v>
      </c>
      <c r="B21" t="s">
        <v>155</v>
      </c>
      <c r="C21" t="s">
        <v>88</v>
      </c>
      <c r="D21" t="s">
        <v>89</v>
      </c>
      <c r="E21" t="s">
        <v>90</v>
      </c>
      <c r="F21" t="s">
        <v>91</v>
      </c>
      <c r="H21">
        <v>0</v>
      </c>
      <c r="I21">
        <v>0</v>
      </c>
      <c r="J21" t="s">
        <v>115</v>
      </c>
      <c r="N21" s="14" t="s">
        <v>156</v>
      </c>
    </row>
    <row r="22" spans="1:14" x14ac:dyDescent="0.3">
      <c r="A22" t="s">
        <v>157</v>
      </c>
      <c r="B22" t="s">
        <v>158</v>
      </c>
      <c r="C22" t="s">
        <v>88</v>
      </c>
      <c r="D22" t="s">
        <v>89</v>
      </c>
      <c r="E22" t="s">
        <v>90</v>
      </c>
      <c r="F22" t="s">
        <v>91</v>
      </c>
      <c r="H22">
        <v>114.84</v>
      </c>
      <c r="I22">
        <v>0</v>
      </c>
      <c r="J22" t="s">
        <v>115</v>
      </c>
      <c r="N22" s="14" t="s">
        <v>159</v>
      </c>
    </row>
    <row r="23" spans="1:14" x14ac:dyDescent="0.3">
      <c r="A23" t="s">
        <v>160</v>
      </c>
      <c r="B23" t="s">
        <v>161</v>
      </c>
      <c r="C23" t="s">
        <v>88</v>
      </c>
      <c r="D23" t="s">
        <v>89</v>
      </c>
      <c r="E23" t="s">
        <v>90</v>
      </c>
      <c r="F23" t="s">
        <v>91</v>
      </c>
      <c r="H23">
        <v>52.25</v>
      </c>
      <c r="I23">
        <v>0</v>
      </c>
      <c r="J23" t="s">
        <v>115</v>
      </c>
      <c r="N23" s="14" t="s">
        <v>162</v>
      </c>
    </row>
    <row r="24" spans="1:14" x14ac:dyDescent="0.3">
      <c r="A24" t="s">
        <v>163</v>
      </c>
      <c r="B24" t="s">
        <v>164</v>
      </c>
      <c r="C24" t="s">
        <v>88</v>
      </c>
      <c r="D24" t="s">
        <v>89</v>
      </c>
      <c r="E24" t="s">
        <v>90</v>
      </c>
      <c r="F24" t="s">
        <v>91</v>
      </c>
      <c r="H24">
        <v>0</v>
      </c>
      <c r="I24">
        <v>0</v>
      </c>
      <c r="J24" t="s">
        <v>115</v>
      </c>
      <c r="N24" s="14" t="s">
        <v>165</v>
      </c>
    </row>
    <row r="25" spans="1:14" x14ac:dyDescent="0.3">
      <c r="A25" t="s">
        <v>166</v>
      </c>
      <c r="B25" t="s">
        <v>167</v>
      </c>
      <c r="C25" t="s">
        <v>88</v>
      </c>
      <c r="D25" t="s">
        <v>89</v>
      </c>
      <c r="E25" t="s">
        <v>90</v>
      </c>
      <c r="F25" t="s">
        <v>91</v>
      </c>
      <c r="H25">
        <v>30.63</v>
      </c>
      <c r="I25">
        <v>0</v>
      </c>
      <c r="J25" t="s">
        <v>115</v>
      </c>
      <c r="N25" s="14" t="s">
        <v>168</v>
      </c>
    </row>
    <row r="26" spans="1:14" x14ac:dyDescent="0.3">
      <c r="A26" t="s">
        <v>169</v>
      </c>
      <c r="B26" t="s">
        <v>170</v>
      </c>
      <c r="C26" t="s">
        <v>137</v>
      </c>
      <c r="D26" t="s">
        <v>89</v>
      </c>
      <c r="E26" t="s">
        <v>90</v>
      </c>
      <c r="F26" t="s">
        <v>91</v>
      </c>
      <c r="H26">
        <v>10207.56</v>
      </c>
      <c r="I26">
        <v>0</v>
      </c>
      <c r="J26" t="s">
        <v>115</v>
      </c>
      <c r="N26" s="14" t="s">
        <v>171</v>
      </c>
    </row>
    <row r="27" spans="1:14" x14ac:dyDescent="0.3">
      <c r="A27" t="s">
        <v>172</v>
      </c>
      <c r="B27" t="s">
        <v>173</v>
      </c>
      <c r="C27" t="s">
        <v>88</v>
      </c>
      <c r="D27" t="s">
        <v>89</v>
      </c>
      <c r="E27" t="s">
        <v>90</v>
      </c>
      <c r="F27" t="s">
        <v>91</v>
      </c>
      <c r="H27">
        <v>76.52</v>
      </c>
      <c r="I27">
        <v>0</v>
      </c>
      <c r="J27" t="s">
        <v>115</v>
      </c>
      <c r="N27" s="14" t="s">
        <v>174</v>
      </c>
    </row>
    <row r="28" spans="1:14" x14ac:dyDescent="0.3">
      <c r="A28" t="s">
        <v>175</v>
      </c>
      <c r="B28" t="s">
        <v>176</v>
      </c>
      <c r="C28" t="s">
        <v>88</v>
      </c>
      <c r="D28" t="s">
        <v>89</v>
      </c>
      <c r="E28" t="s">
        <v>90</v>
      </c>
      <c r="F28" t="s">
        <v>91</v>
      </c>
      <c r="H28">
        <v>0</v>
      </c>
      <c r="I28">
        <v>0</v>
      </c>
      <c r="J28" t="s">
        <v>115</v>
      </c>
      <c r="N28" s="14" t="s">
        <v>177</v>
      </c>
    </row>
    <row r="29" spans="1:14" x14ac:dyDescent="0.3">
      <c r="A29" t="s">
        <v>178</v>
      </c>
      <c r="B29" t="s">
        <v>179</v>
      </c>
      <c r="C29" t="s">
        <v>88</v>
      </c>
      <c r="D29" t="s">
        <v>89</v>
      </c>
      <c r="E29" t="s">
        <v>90</v>
      </c>
      <c r="F29" t="s">
        <v>91</v>
      </c>
      <c r="H29">
        <v>0</v>
      </c>
      <c r="I29">
        <v>0</v>
      </c>
      <c r="J29" t="s">
        <v>115</v>
      </c>
      <c r="N29" s="14" t="s">
        <v>180</v>
      </c>
    </row>
    <row r="30" spans="1:14" x14ac:dyDescent="0.3">
      <c r="A30" t="s">
        <v>181</v>
      </c>
      <c r="B30" t="s">
        <v>182</v>
      </c>
      <c r="C30" t="s">
        <v>183</v>
      </c>
      <c r="D30" t="s">
        <v>89</v>
      </c>
      <c r="E30" t="s">
        <v>90</v>
      </c>
      <c r="F30" t="s">
        <v>91</v>
      </c>
      <c r="H30">
        <v>16168.42</v>
      </c>
      <c r="I30">
        <v>0</v>
      </c>
      <c r="J30" t="s">
        <v>115</v>
      </c>
      <c r="N30" s="14" t="s">
        <v>184</v>
      </c>
    </row>
    <row r="31" spans="1:14" x14ac:dyDescent="0.3">
      <c r="A31" t="s">
        <v>185</v>
      </c>
      <c r="B31" t="s">
        <v>186</v>
      </c>
      <c r="C31" t="s">
        <v>137</v>
      </c>
      <c r="D31" t="s">
        <v>89</v>
      </c>
      <c r="E31" t="s">
        <v>90</v>
      </c>
      <c r="F31" t="s">
        <v>91</v>
      </c>
      <c r="H31">
        <v>23438.15</v>
      </c>
      <c r="I31">
        <v>0</v>
      </c>
      <c r="J31" t="s">
        <v>115</v>
      </c>
      <c r="N31" s="14" t="s">
        <v>187</v>
      </c>
    </row>
    <row r="32" spans="1:14" x14ac:dyDescent="0.3">
      <c r="A32" t="s">
        <v>188</v>
      </c>
      <c r="B32" t="s">
        <v>189</v>
      </c>
      <c r="C32" t="s">
        <v>88</v>
      </c>
      <c r="D32" t="s">
        <v>89</v>
      </c>
      <c r="E32" t="s">
        <v>90</v>
      </c>
      <c r="F32" t="s">
        <v>91</v>
      </c>
      <c r="H32">
        <v>17.8</v>
      </c>
      <c r="I32">
        <v>0</v>
      </c>
      <c r="J32" t="s">
        <v>115</v>
      </c>
      <c r="N32" s="14" t="s">
        <v>190</v>
      </c>
    </row>
    <row r="33" spans="1:14" x14ac:dyDescent="0.3">
      <c r="A33" t="s">
        <v>191</v>
      </c>
      <c r="B33" t="s">
        <v>192</v>
      </c>
      <c r="C33" t="s">
        <v>137</v>
      </c>
      <c r="D33" t="s">
        <v>89</v>
      </c>
      <c r="E33" t="s">
        <v>90</v>
      </c>
      <c r="F33" t="s">
        <v>91</v>
      </c>
      <c r="H33">
        <v>132501.92000000001</v>
      </c>
      <c r="I33">
        <v>0</v>
      </c>
      <c r="J33" t="s">
        <v>115</v>
      </c>
      <c r="N33" s="14" t="s">
        <v>193</v>
      </c>
    </row>
    <row r="34" spans="1:14" x14ac:dyDescent="0.3">
      <c r="A34" t="s">
        <v>194</v>
      </c>
      <c r="B34" t="s">
        <v>195</v>
      </c>
      <c r="C34" t="s">
        <v>137</v>
      </c>
      <c r="D34" t="s">
        <v>89</v>
      </c>
      <c r="E34" t="s">
        <v>90</v>
      </c>
      <c r="F34" t="s">
        <v>91</v>
      </c>
      <c r="H34">
        <v>134515.32999999999</v>
      </c>
      <c r="I34">
        <v>0</v>
      </c>
      <c r="J34" t="s">
        <v>115</v>
      </c>
      <c r="N34" s="14" t="s">
        <v>196</v>
      </c>
    </row>
    <row r="35" spans="1:14" x14ac:dyDescent="0.3">
      <c r="A35" t="s">
        <v>197</v>
      </c>
      <c r="B35" t="s">
        <v>198</v>
      </c>
      <c r="C35" t="s">
        <v>199</v>
      </c>
      <c r="D35" t="s">
        <v>89</v>
      </c>
      <c r="E35" t="s">
        <v>90</v>
      </c>
      <c r="F35" t="s">
        <v>91</v>
      </c>
      <c r="H35">
        <v>137099.85999999999</v>
      </c>
      <c r="I35">
        <v>0</v>
      </c>
      <c r="J35" t="s">
        <v>115</v>
      </c>
      <c r="N35" s="14" t="s">
        <v>200</v>
      </c>
    </row>
    <row r="36" spans="1:14" x14ac:dyDescent="0.3">
      <c r="A36" t="s">
        <v>201</v>
      </c>
      <c r="B36" t="s">
        <v>121</v>
      </c>
      <c r="C36" t="s">
        <v>137</v>
      </c>
      <c r="D36" t="s">
        <v>89</v>
      </c>
      <c r="E36" t="s">
        <v>90</v>
      </c>
      <c r="F36" t="s">
        <v>91</v>
      </c>
      <c r="H36">
        <v>134499.93</v>
      </c>
      <c r="I36">
        <v>0</v>
      </c>
      <c r="J36" t="s">
        <v>115</v>
      </c>
      <c r="N36" s="14" t="s">
        <v>202</v>
      </c>
    </row>
    <row r="37" spans="1:14" x14ac:dyDescent="0.3">
      <c r="A37" t="s">
        <v>203</v>
      </c>
      <c r="B37" t="s">
        <v>204</v>
      </c>
      <c r="C37" t="s">
        <v>137</v>
      </c>
      <c r="D37" t="s">
        <v>89</v>
      </c>
      <c r="E37" t="s">
        <v>90</v>
      </c>
      <c r="F37" t="s">
        <v>91</v>
      </c>
      <c r="H37">
        <v>135524.49</v>
      </c>
      <c r="I37">
        <v>0</v>
      </c>
      <c r="J37" t="s">
        <v>115</v>
      </c>
      <c r="N37" s="14" t="s">
        <v>205</v>
      </c>
    </row>
    <row r="38" spans="1:14" x14ac:dyDescent="0.3">
      <c r="A38" t="s">
        <v>206</v>
      </c>
      <c r="B38" t="s">
        <v>207</v>
      </c>
      <c r="C38" t="s">
        <v>137</v>
      </c>
      <c r="D38" t="s">
        <v>89</v>
      </c>
      <c r="E38" t="s">
        <v>90</v>
      </c>
      <c r="F38" t="s">
        <v>91</v>
      </c>
      <c r="H38">
        <v>134002.26</v>
      </c>
      <c r="I38">
        <v>0</v>
      </c>
      <c r="J38" t="s">
        <v>115</v>
      </c>
      <c r="N38" s="14" t="s">
        <v>208</v>
      </c>
    </row>
    <row r="39" spans="1:14" x14ac:dyDescent="0.3">
      <c r="A39" t="s">
        <v>209</v>
      </c>
      <c r="B39" t="s">
        <v>210</v>
      </c>
      <c r="C39" t="s">
        <v>137</v>
      </c>
      <c r="D39" t="s">
        <v>89</v>
      </c>
      <c r="E39" t="s">
        <v>90</v>
      </c>
      <c r="F39" t="s">
        <v>91</v>
      </c>
      <c r="H39">
        <v>852600</v>
      </c>
      <c r="I39">
        <v>0</v>
      </c>
      <c r="J39" t="s">
        <v>115</v>
      </c>
      <c r="N39" s="14" t="s">
        <v>211</v>
      </c>
    </row>
    <row r="40" spans="1:14" x14ac:dyDescent="0.3">
      <c r="A40" t="s">
        <v>212</v>
      </c>
      <c r="B40" t="s">
        <v>213</v>
      </c>
      <c r="C40" t="s">
        <v>88</v>
      </c>
      <c r="D40" t="s">
        <v>214</v>
      </c>
      <c r="E40" t="s">
        <v>215</v>
      </c>
      <c r="F40" t="s">
        <v>91</v>
      </c>
      <c r="H40">
        <v>313.2</v>
      </c>
      <c r="I40">
        <v>0</v>
      </c>
      <c r="J40" t="s">
        <v>115</v>
      </c>
      <c r="N40" s="14" t="s">
        <v>216</v>
      </c>
    </row>
    <row r="41" spans="1:14" x14ac:dyDescent="0.3">
      <c r="A41" t="s">
        <v>217</v>
      </c>
      <c r="B41" t="s">
        <v>218</v>
      </c>
      <c r="C41" t="s">
        <v>88</v>
      </c>
      <c r="D41" t="s">
        <v>214</v>
      </c>
      <c r="E41" t="s">
        <v>215</v>
      </c>
      <c r="F41" t="s">
        <v>91</v>
      </c>
      <c r="H41">
        <v>574.75</v>
      </c>
      <c r="I41">
        <v>0</v>
      </c>
      <c r="J41" t="s">
        <v>115</v>
      </c>
      <c r="N41" s="14" t="s">
        <v>219</v>
      </c>
    </row>
    <row r="42" spans="1:14" x14ac:dyDescent="0.3">
      <c r="A42" t="s">
        <v>220</v>
      </c>
      <c r="B42" t="s">
        <v>221</v>
      </c>
      <c r="C42" t="s">
        <v>88</v>
      </c>
      <c r="D42" t="s">
        <v>214</v>
      </c>
      <c r="E42" t="s">
        <v>215</v>
      </c>
      <c r="F42" t="s">
        <v>91</v>
      </c>
      <c r="H42">
        <v>318.72000000000003</v>
      </c>
      <c r="I42">
        <v>0</v>
      </c>
      <c r="J42" t="s">
        <v>115</v>
      </c>
      <c r="N42" s="14" t="s">
        <v>222</v>
      </c>
    </row>
    <row r="43" spans="1:14" x14ac:dyDescent="0.3">
      <c r="A43" t="s">
        <v>223</v>
      </c>
      <c r="B43" t="s">
        <v>224</v>
      </c>
      <c r="C43" t="s">
        <v>88</v>
      </c>
      <c r="D43" t="s">
        <v>214</v>
      </c>
      <c r="E43" t="s">
        <v>215</v>
      </c>
      <c r="F43" t="s">
        <v>91</v>
      </c>
      <c r="H43">
        <v>341.73</v>
      </c>
      <c r="I43">
        <v>0</v>
      </c>
      <c r="J43" t="s">
        <v>115</v>
      </c>
      <c r="N43" s="14" t="s">
        <v>225</v>
      </c>
    </row>
    <row r="44" spans="1:14" x14ac:dyDescent="0.3">
      <c r="A44" t="s">
        <v>226</v>
      </c>
      <c r="B44" t="s">
        <v>227</v>
      </c>
      <c r="C44" t="s">
        <v>88</v>
      </c>
      <c r="D44" t="s">
        <v>214</v>
      </c>
      <c r="E44" t="s">
        <v>215</v>
      </c>
      <c r="F44" t="s">
        <v>91</v>
      </c>
      <c r="H44">
        <v>260.13</v>
      </c>
      <c r="I44">
        <v>0</v>
      </c>
      <c r="J44" t="s">
        <v>115</v>
      </c>
      <c r="N44" s="14" t="s">
        <v>228</v>
      </c>
    </row>
    <row r="45" spans="1:14" x14ac:dyDescent="0.3">
      <c r="A45" t="s">
        <v>229</v>
      </c>
      <c r="B45" t="s">
        <v>230</v>
      </c>
      <c r="C45" t="s">
        <v>88</v>
      </c>
      <c r="D45" t="s">
        <v>214</v>
      </c>
      <c r="E45" t="s">
        <v>215</v>
      </c>
      <c r="F45" t="s">
        <v>91</v>
      </c>
      <c r="H45">
        <v>276.02</v>
      </c>
      <c r="I45">
        <v>0</v>
      </c>
      <c r="J45" t="s">
        <v>115</v>
      </c>
      <c r="N45" s="14" t="s">
        <v>231</v>
      </c>
    </row>
    <row r="46" spans="1:14" x14ac:dyDescent="0.3">
      <c r="A46" t="s">
        <v>232</v>
      </c>
      <c r="B46" t="s">
        <v>233</v>
      </c>
      <c r="C46" t="s">
        <v>88</v>
      </c>
      <c r="D46" t="s">
        <v>214</v>
      </c>
      <c r="E46" t="s">
        <v>215</v>
      </c>
      <c r="F46" t="s">
        <v>91</v>
      </c>
      <c r="H46">
        <v>234.9</v>
      </c>
      <c r="I46">
        <v>0</v>
      </c>
      <c r="J46" t="s">
        <v>115</v>
      </c>
      <c r="N46" s="14" t="s">
        <v>234</v>
      </c>
    </row>
    <row r="47" spans="1:14" x14ac:dyDescent="0.3">
      <c r="A47" t="s">
        <v>235</v>
      </c>
      <c r="B47" t="s">
        <v>236</v>
      </c>
      <c r="C47" t="s">
        <v>237</v>
      </c>
      <c r="D47" t="s">
        <v>214</v>
      </c>
      <c r="E47" t="s">
        <v>215</v>
      </c>
      <c r="F47" t="s">
        <v>91</v>
      </c>
      <c r="H47">
        <v>814.32</v>
      </c>
      <c r="I47">
        <v>0</v>
      </c>
      <c r="J47" t="s">
        <v>115</v>
      </c>
      <c r="N47" s="14" t="s">
        <v>238</v>
      </c>
    </row>
    <row r="48" spans="1:14" x14ac:dyDescent="0.3">
      <c r="A48" t="s">
        <v>239</v>
      </c>
      <c r="B48" t="s">
        <v>240</v>
      </c>
      <c r="C48" t="s">
        <v>241</v>
      </c>
      <c r="D48" t="s">
        <v>214</v>
      </c>
      <c r="E48" t="s">
        <v>215</v>
      </c>
      <c r="F48" t="s">
        <v>91</v>
      </c>
      <c r="H48">
        <v>78.3</v>
      </c>
      <c r="I48">
        <v>0</v>
      </c>
      <c r="J48" t="s">
        <v>115</v>
      </c>
      <c r="N48" s="14" t="s">
        <v>242</v>
      </c>
    </row>
    <row r="49" spans="1:14" x14ac:dyDescent="0.3">
      <c r="A49" t="s">
        <v>243</v>
      </c>
      <c r="B49" t="s">
        <v>244</v>
      </c>
      <c r="C49" t="s">
        <v>241</v>
      </c>
      <c r="D49" t="s">
        <v>214</v>
      </c>
      <c r="E49" t="s">
        <v>215</v>
      </c>
      <c r="F49" t="s">
        <v>91</v>
      </c>
      <c r="H49">
        <v>134.19999999999999</v>
      </c>
      <c r="I49">
        <v>0</v>
      </c>
      <c r="J49" t="s">
        <v>115</v>
      </c>
      <c r="N49" s="14" t="s">
        <v>245</v>
      </c>
    </row>
    <row r="50" spans="1:14" x14ac:dyDescent="0.3">
      <c r="A50" t="s">
        <v>246</v>
      </c>
      <c r="B50" t="s">
        <v>247</v>
      </c>
      <c r="C50" t="s">
        <v>88</v>
      </c>
      <c r="D50" t="s">
        <v>214</v>
      </c>
      <c r="E50" t="s">
        <v>215</v>
      </c>
      <c r="F50" t="s">
        <v>91</v>
      </c>
      <c r="H50">
        <v>157.72</v>
      </c>
      <c r="I50">
        <v>0</v>
      </c>
      <c r="J50" t="s">
        <v>115</v>
      </c>
      <c r="N50" s="14" t="s">
        <v>248</v>
      </c>
    </row>
    <row r="51" spans="1:14" x14ac:dyDescent="0.3">
      <c r="A51" t="s">
        <v>249</v>
      </c>
      <c r="B51" t="s">
        <v>250</v>
      </c>
      <c r="C51" t="s">
        <v>88</v>
      </c>
      <c r="D51" t="s">
        <v>214</v>
      </c>
      <c r="E51" t="s">
        <v>215</v>
      </c>
      <c r="F51" t="s">
        <v>91</v>
      </c>
      <c r="H51">
        <v>281.88</v>
      </c>
      <c r="I51">
        <v>0</v>
      </c>
      <c r="J51" t="s">
        <v>115</v>
      </c>
      <c r="N51" s="14" t="s">
        <v>251</v>
      </c>
    </row>
    <row r="52" spans="1:14" x14ac:dyDescent="0.3">
      <c r="A52" t="s">
        <v>252</v>
      </c>
      <c r="B52" t="s">
        <v>253</v>
      </c>
      <c r="C52" t="s">
        <v>88</v>
      </c>
      <c r="D52" t="s">
        <v>214</v>
      </c>
      <c r="E52" t="s">
        <v>215</v>
      </c>
      <c r="F52" t="s">
        <v>254</v>
      </c>
      <c r="H52">
        <v>232.64</v>
      </c>
      <c r="I52">
        <v>0</v>
      </c>
      <c r="J52" t="s">
        <v>115</v>
      </c>
      <c r="N52" s="14" t="s">
        <v>255</v>
      </c>
    </row>
    <row r="53" spans="1:14" x14ac:dyDescent="0.3">
      <c r="A53" t="s">
        <v>256</v>
      </c>
      <c r="B53" t="s">
        <v>257</v>
      </c>
      <c r="C53" t="s">
        <v>88</v>
      </c>
      <c r="D53" t="s">
        <v>214</v>
      </c>
      <c r="E53" t="s">
        <v>215</v>
      </c>
      <c r="F53" t="s">
        <v>254</v>
      </c>
      <c r="H53">
        <v>319.39</v>
      </c>
      <c r="I53">
        <v>0</v>
      </c>
      <c r="J53" t="s">
        <v>115</v>
      </c>
      <c r="N53" s="14" t="s">
        <v>258</v>
      </c>
    </row>
    <row r="54" spans="1:14" x14ac:dyDescent="0.3">
      <c r="A54" t="s">
        <v>259</v>
      </c>
      <c r="B54" t="s">
        <v>260</v>
      </c>
      <c r="C54" t="s">
        <v>88</v>
      </c>
      <c r="D54" t="s">
        <v>214</v>
      </c>
      <c r="E54" t="s">
        <v>215</v>
      </c>
      <c r="F54" t="s">
        <v>254</v>
      </c>
      <c r="H54">
        <v>272.8</v>
      </c>
      <c r="I54">
        <v>0</v>
      </c>
      <c r="J54" t="s">
        <v>115</v>
      </c>
      <c r="N54" s="14" t="s">
        <v>261</v>
      </c>
    </row>
    <row r="55" spans="1:14" x14ac:dyDescent="0.3">
      <c r="A55" t="s">
        <v>262</v>
      </c>
      <c r="B55" t="s">
        <v>263</v>
      </c>
      <c r="C55" t="s">
        <v>88</v>
      </c>
      <c r="D55" t="s">
        <v>214</v>
      </c>
      <c r="E55" t="s">
        <v>215</v>
      </c>
      <c r="F55" t="s">
        <v>254</v>
      </c>
      <c r="H55">
        <v>391.5</v>
      </c>
      <c r="I55">
        <v>0</v>
      </c>
      <c r="J55" t="s">
        <v>115</v>
      </c>
      <c r="N55" s="14" t="s">
        <v>264</v>
      </c>
    </row>
    <row r="56" spans="1:14" x14ac:dyDescent="0.3">
      <c r="A56" t="s">
        <v>265</v>
      </c>
      <c r="B56" t="s">
        <v>266</v>
      </c>
      <c r="C56" t="s">
        <v>88</v>
      </c>
      <c r="D56" t="s">
        <v>214</v>
      </c>
      <c r="E56" t="s">
        <v>215</v>
      </c>
      <c r="F56" t="s">
        <v>254</v>
      </c>
      <c r="H56">
        <v>376.67</v>
      </c>
      <c r="I56">
        <v>0</v>
      </c>
      <c r="J56" t="s">
        <v>115</v>
      </c>
      <c r="N56" s="14" t="s">
        <v>267</v>
      </c>
    </row>
    <row r="57" spans="1:14" x14ac:dyDescent="0.3">
      <c r="A57" t="s">
        <v>268</v>
      </c>
      <c r="B57" t="s">
        <v>269</v>
      </c>
      <c r="C57" t="s">
        <v>88</v>
      </c>
      <c r="D57" t="s">
        <v>214</v>
      </c>
      <c r="E57" t="s">
        <v>215</v>
      </c>
      <c r="F57" t="s">
        <v>254</v>
      </c>
      <c r="H57">
        <v>501.12</v>
      </c>
      <c r="I57">
        <v>0</v>
      </c>
      <c r="J57" t="s">
        <v>115</v>
      </c>
      <c r="N57" s="14" t="s">
        <v>270</v>
      </c>
    </row>
    <row r="58" spans="1:14" x14ac:dyDescent="0.3">
      <c r="A58" t="s">
        <v>271</v>
      </c>
      <c r="B58" t="s">
        <v>272</v>
      </c>
      <c r="C58" t="s">
        <v>88</v>
      </c>
      <c r="D58" t="s">
        <v>214</v>
      </c>
      <c r="E58" t="s">
        <v>215</v>
      </c>
      <c r="F58" t="s">
        <v>254</v>
      </c>
      <c r="H58">
        <v>187.92</v>
      </c>
      <c r="I58">
        <v>0</v>
      </c>
      <c r="J58" t="s">
        <v>115</v>
      </c>
      <c r="N58" s="14" t="s">
        <v>273</v>
      </c>
    </row>
    <row r="59" spans="1:14" x14ac:dyDescent="0.3">
      <c r="A59" t="s">
        <v>274</v>
      </c>
      <c r="B59" t="s">
        <v>275</v>
      </c>
      <c r="C59" t="s">
        <v>88</v>
      </c>
      <c r="D59" t="s">
        <v>214</v>
      </c>
      <c r="E59" t="s">
        <v>215</v>
      </c>
      <c r="F59" t="s">
        <v>254</v>
      </c>
      <c r="H59">
        <v>220</v>
      </c>
      <c r="I59">
        <v>0</v>
      </c>
      <c r="J59" t="s">
        <v>115</v>
      </c>
      <c r="N59" s="14" t="s">
        <v>276</v>
      </c>
    </row>
    <row r="60" spans="1:14" x14ac:dyDescent="0.3">
      <c r="A60" t="s">
        <v>277</v>
      </c>
      <c r="B60" t="s">
        <v>278</v>
      </c>
      <c r="C60" t="s">
        <v>88</v>
      </c>
      <c r="D60" t="s">
        <v>214</v>
      </c>
      <c r="E60" t="s">
        <v>215</v>
      </c>
      <c r="F60" t="s">
        <v>254</v>
      </c>
      <c r="H60">
        <v>374.59</v>
      </c>
      <c r="I60">
        <v>0</v>
      </c>
      <c r="J60" t="s">
        <v>115</v>
      </c>
      <c r="N60" s="14" t="s">
        <v>279</v>
      </c>
    </row>
    <row r="61" spans="1:14" x14ac:dyDescent="0.3">
      <c r="A61" t="s">
        <v>280</v>
      </c>
      <c r="B61" t="s">
        <v>281</v>
      </c>
      <c r="C61" t="s">
        <v>88</v>
      </c>
      <c r="D61" t="s">
        <v>214</v>
      </c>
      <c r="E61" t="s">
        <v>215</v>
      </c>
      <c r="F61" t="s">
        <v>254</v>
      </c>
      <c r="H61">
        <v>322.01</v>
      </c>
      <c r="I61">
        <v>0</v>
      </c>
      <c r="J61" t="s">
        <v>115</v>
      </c>
      <c r="N61" s="14" t="s">
        <v>282</v>
      </c>
    </row>
    <row r="62" spans="1:14" x14ac:dyDescent="0.3">
      <c r="A62" t="s">
        <v>283</v>
      </c>
      <c r="B62" t="s">
        <v>284</v>
      </c>
      <c r="C62" t="s">
        <v>88</v>
      </c>
      <c r="D62" t="s">
        <v>214</v>
      </c>
      <c r="E62" t="s">
        <v>215</v>
      </c>
      <c r="F62" t="s">
        <v>254</v>
      </c>
      <c r="H62">
        <v>375.84</v>
      </c>
      <c r="I62">
        <v>0</v>
      </c>
      <c r="J62" t="s">
        <v>115</v>
      </c>
      <c r="N62" s="14" t="s">
        <v>285</v>
      </c>
    </row>
    <row r="63" spans="1:14" x14ac:dyDescent="0.3">
      <c r="A63" t="s">
        <v>286</v>
      </c>
      <c r="B63" t="s">
        <v>287</v>
      </c>
      <c r="C63" t="s">
        <v>241</v>
      </c>
      <c r="D63" t="s">
        <v>214</v>
      </c>
      <c r="E63" t="s">
        <v>215</v>
      </c>
      <c r="F63" t="s">
        <v>254</v>
      </c>
      <c r="H63">
        <v>78.86</v>
      </c>
      <c r="I63">
        <v>0</v>
      </c>
      <c r="J63" t="s">
        <v>115</v>
      </c>
      <c r="N63" s="14" t="s">
        <v>288</v>
      </c>
    </row>
    <row r="64" spans="1:14" x14ac:dyDescent="0.3">
      <c r="A64" t="s">
        <v>289</v>
      </c>
      <c r="B64" t="s">
        <v>290</v>
      </c>
      <c r="C64" t="s">
        <v>241</v>
      </c>
      <c r="D64" t="s">
        <v>214</v>
      </c>
      <c r="E64" t="s">
        <v>215</v>
      </c>
      <c r="F64" t="s">
        <v>254</v>
      </c>
      <c r="H64">
        <v>78.38</v>
      </c>
      <c r="I64">
        <v>0</v>
      </c>
      <c r="J64" t="s">
        <v>115</v>
      </c>
      <c r="N64" s="14" t="s">
        <v>291</v>
      </c>
    </row>
    <row r="65" spans="1:14" x14ac:dyDescent="0.3">
      <c r="A65" t="s">
        <v>292</v>
      </c>
      <c r="B65" t="s">
        <v>293</v>
      </c>
      <c r="C65" t="s">
        <v>88</v>
      </c>
      <c r="D65" t="s">
        <v>214</v>
      </c>
      <c r="E65" t="s">
        <v>215</v>
      </c>
      <c r="F65" t="s">
        <v>254</v>
      </c>
      <c r="H65">
        <v>5622.11</v>
      </c>
      <c r="I65">
        <v>0</v>
      </c>
      <c r="J65" t="s">
        <v>115</v>
      </c>
      <c r="N65" s="14" t="s">
        <v>294</v>
      </c>
    </row>
    <row r="66" spans="1:14" x14ac:dyDescent="0.3">
      <c r="A66" t="s">
        <v>295</v>
      </c>
      <c r="B66" t="s">
        <v>296</v>
      </c>
      <c r="C66" t="s">
        <v>241</v>
      </c>
      <c r="D66" t="s">
        <v>214</v>
      </c>
      <c r="E66" t="s">
        <v>215</v>
      </c>
      <c r="F66" t="s">
        <v>254</v>
      </c>
      <c r="H66">
        <v>814.32</v>
      </c>
      <c r="I66">
        <v>0</v>
      </c>
      <c r="J66" t="s">
        <v>115</v>
      </c>
      <c r="N66" s="14" t="s">
        <v>297</v>
      </c>
    </row>
    <row r="67" spans="1:14" x14ac:dyDescent="0.3">
      <c r="A67" t="s">
        <v>298</v>
      </c>
      <c r="B67" t="s">
        <v>299</v>
      </c>
      <c r="C67" t="s">
        <v>88</v>
      </c>
      <c r="D67" t="s">
        <v>214</v>
      </c>
      <c r="E67" t="s">
        <v>215</v>
      </c>
      <c r="F67" t="s">
        <v>254</v>
      </c>
      <c r="H67">
        <v>209</v>
      </c>
      <c r="I67">
        <v>0</v>
      </c>
      <c r="J67" t="s">
        <v>115</v>
      </c>
      <c r="N67" s="14" t="s">
        <v>300</v>
      </c>
    </row>
    <row r="68" spans="1:14" x14ac:dyDescent="0.3">
      <c r="A68" t="s">
        <v>301</v>
      </c>
      <c r="B68" t="s">
        <v>302</v>
      </c>
      <c r="C68" t="s">
        <v>88</v>
      </c>
      <c r="D68" t="s">
        <v>214</v>
      </c>
      <c r="E68" t="s">
        <v>215</v>
      </c>
      <c r="F68" t="s">
        <v>303</v>
      </c>
      <c r="H68">
        <v>1021.9</v>
      </c>
      <c r="I68">
        <v>0</v>
      </c>
      <c r="J68" t="s">
        <v>115</v>
      </c>
      <c r="N68" s="14" t="s">
        <v>304</v>
      </c>
    </row>
    <row r="69" spans="1:14" x14ac:dyDescent="0.3">
      <c r="A69" t="s">
        <v>305</v>
      </c>
      <c r="B69" t="s">
        <v>306</v>
      </c>
      <c r="C69" t="s">
        <v>88</v>
      </c>
      <c r="D69" t="s">
        <v>214</v>
      </c>
      <c r="E69" t="s">
        <v>215</v>
      </c>
      <c r="F69" t="s">
        <v>303</v>
      </c>
      <c r="H69">
        <v>1287</v>
      </c>
      <c r="I69">
        <v>0</v>
      </c>
      <c r="J69" t="s">
        <v>115</v>
      </c>
      <c r="N69" s="14" t="s">
        <v>307</v>
      </c>
    </row>
    <row r="70" spans="1:14" x14ac:dyDescent="0.3">
      <c r="A70" t="s">
        <v>308</v>
      </c>
      <c r="B70" t="s">
        <v>309</v>
      </c>
      <c r="C70" t="s">
        <v>237</v>
      </c>
      <c r="D70" t="s">
        <v>214</v>
      </c>
      <c r="E70" t="s">
        <v>215</v>
      </c>
      <c r="F70" t="s">
        <v>303</v>
      </c>
      <c r="H70">
        <v>8175.22</v>
      </c>
      <c r="I70">
        <v>0</v>
      </c>
      <c r="J70" t="s">
        <v>115</v>
      </c>
      <c r="N70" s="14" t="s">
        <v>310</v>
      </c>
    </row>
    <row r="71" spans="1:14" x14ac:dyDescent="0.3">
      <c r="A71" t="s">
        <v>311</v>
      </c>
      <c r="B71" t="s">
        <v>312</v>
      </c>
      <c r="C71" t="s">
        <v>237</v>
      </c>
      <c r="D71" t="s">
        <v>214</v>
      </c>
      <c r="E71" t="s">
        <v>215</v>
      </c>
      <c r="F71" t="s">
        <v>303</v>
      </c>
      <c r="H71">
        <v>8992.74</v>
      </c>
      <c r="I71">
        <v>0</v>
      </c>
      <c r="J71" t="s">
        <v>115</v>
      </c>
      <c r="N71" s="14" t="s">
        <v>313</v>
      </c>
    </row>
    <row r="72" spans="1:14" x14ac:dyDescent="0.3">
      <c r="A72" t="s">
        <v>314</v>
      </c>
      <c r="B72" t="s">
        <v>315</v>
      </c>
      <c r="C72" t="s">
        <v>88</v>
      </c>
      <c r="D72" t="s">
        <v>214</v>
      </c>
      <c r="E72" t="s">
        <v>215</v>
      </c>
      <c r="F72" t="s">
        <v>303</v>
      </c>
      <c r="H72">
        <v>144.58000000000001</v>
      </c>
      <c r="I72">
        <v>0</v>
      </c>
      <c r="J72" t="s">
        <v>115</v>
      </c>
      <c r="N72" s="14" t="s">
        <v>316</v>
      </c>
    </row>
    <row r="73" spans="1:14" x14ac:dyDescent="0.3">
      <c r="A73" t="s">
        <v>317</v>
      </c>
      <c r="B73" t="s">
        <v>318</v>
      </c>
      <c r="C73" t="s">
        <v>237</v>
      </c>
      <c r="D73" t="s">
        <v>214</v>
      </c>
      <c r="E73" t="s">
        <v>215</v>
      </c>
      <c r="F73" t="s">
        <v>303</v>
      </c>
      <c r="H73">
        <v>156.6</v>
      </c>
      <c r="I73">
        <v>0</v>
      </c>
      <c r="J73" t="s">
        <v>115</v>
      </c>
      <c r="N73" s="14" t="s">
        <v>319</v>
      </c>
    </row>
    <row r="74" spans="1:14" x14ac:dyDescent="0.3">
      <c r="A74" t="s">
        <v>320</v>
      </c>
      <c r="B74" t="s">
        <v>321</v>
      </c>
      <c r="C74" t="s">
        <v>88</v>
      </c>
      <c r="D74" t="s">
        <v>214</v>
      </c>
      <c r="E74" t="s">
        <v>215</v>
      </c>
      <c r="F74" t="s">
        <v>303</v>
      </c>
      <c r="H74">
        <v>341.73</v>
      </c>
      <c r="I74">
        <v>0</v>
      </c>
      <c r="J74" t="s">
        <v>115</v>
      </c>
      <c r="N74" s="14" t="s">
        <v>322</v>
      </c>
    </row>
    <row r="75" spans="1:14" x14ac:dyDescent="0.3">
      <c r="A75" t="s">
        <v>323</v>
      </c>
      <c r="B75" t="s">
        <v>324</v>
      </c>
      <c r="C75" t="s">
        <v>88</v>
      </c>
      <c r="D75" t="s">
        <v>214</v>
      </c>
      <c r="E75" t="s">
        <v>215</v>
      </c>
      <c r="F75" t="s">
        <v>303</v>
      </c>
      <c r="H75">
        <v>281.88</v>
      </c>
      <c r="I75">
        <v>0</v>
      </c>
      <c r="J75" t="s">
        <v>115</v>
      </c>
      <c r="N75" s="14" t="s">
        <v>325</v>
      </c>
    </row>
    <row r="76" spans="1:14" x14ac:dyDescent="0.3">
      <c r="A76" t="s">
        <v>326</v>
      </c>
      <c r="B76" t="s">
        <v>327</v>
      </c>
      <c r="C76" t="s">
        <v>88</v>
      </c>
      <c r="D76" t="s">
        <v>214</v>
      </c>
      <c r="E76" t="s">
        <v>215</v>
      </c>
      <c r="F76" t="s">
        <v>303</v>
      </c>
      <c r="H76">
        <v>433.73</v>
      </c>
      <c r="I76">
        <v>0</v>
      </c>
      <c r="J76" t="s">
        <v>115</v>
      </c>
      <c r="N76" s="14" t="s">
        <v>328</v>
      </c>
    </row>
    <row r="77" spans="1:14" x14ac:dyDescent="0.3">
      <c r="A77" t="s">
        <v>329</v>
      </c>
      <c r="B77" t="s">
        <v>330</v>
      </c>
      <c r="C77" t="s">
        <v>88</v>
      </c>
      <c r="D77" t="s">
        <v>214</v>
      </c>
      <c r="E77" t="s">
        <v>215</v>
      </c>
      <c r="F77" t="s">
        <v>303</v>
      </c>
      <c r="H77">
        <v>453.45</v>
      </c>
      <c r="I77">
        <v>0</v>
      </c>
      <c r="J77" t="s">
        <v>115</v>
      </c>
      <c r="N77" s="14" t="s">
        <v>331</v>
      </c>
    </row>
    <row r="78" spans="1:14" x14ac:dyDescent="0.3">
      <c r="A78" t="s">
        <v>332</v>
      </c>
      <c r="B78" t="s">
        <v>333</v>
      </c>
      <c r="C78" t="s">
        <v>88</v>
      </c>
      <c r="D78" t="s">
        <v>214</v>
      </c>
      <c r="E78" t="s">
        <v>215</v>
      </c>
      <c r="F78" t="s">
        <v>303</v>
      </c>
      <c r="H78">
        <v>337.56</v>
      </c>
      <c r="I78">
        <v>0</v>
      </c>
      <c r="J78" t="s">
        <v>115</v>
      </c>
      <c r="N78" s="14" t="s">
        <v>334</v>
      </c>
    </row>
    <row r="79" spans="1:14" x14ac:dyDescent="0.3">
      <c r="A79" t="s">
        <v>335</v>
      </c>
      <c r="B79" t="s">
        <v>336</v>
      </c>
      <c r="C79" t="s">
        <v>88</v>
      </c>
      <c r="D79" t="s">
        <v>214</v>
      </c>
      <c r="E79" t="s">
        <v>215</v>
      </c>
      <c r="F79" t="s">
        <v>303</v>
      </c>
      <c r="H79">
        <v>125.28</v>
      </c>
      <c r="I79">
        <v>0</v>
      </c>
      <c r="J79" t="s">
        <v>115</v>
      </c>
      <c r="N79" s="14" t="s">
        <v>337</v>
      </c>
    </row>
    <row r="80" spans="1:14" x14ac:dyDescent="0.3">
      <c r="A80" t="s">
        <v>338</v>
      </c>
      <c r="B80" t="s">
        <v>339</v>
      </c>
      <c r="C80" t="s">
        <v>88</v>
      </c>
      <c r="D80" t="s">
        <v>214</v>
      </c>
      <c r="E80" t="s">
        <v>215</v>
      </c>
      <c r="F80" t="s">
        <v>303</v>
      </c>
      <c r="H80">
        <v>501.12</v>
      </c>
      <c r="I80">
        <v>0</v>
      </c>
      <c r="J80" t="s">
        <v>115</v>
      </c>
      <c r="N80" s="14" t="s">
        <v>340</v>
      </c>
    </row>
    <row r="81" spans="1:14" x14ac:dyDescent="0.3">
      <c r="A81" t="s">
        <v>341</v>
      </c>
      <c r="B81" t="s">
        <v>342</v>
      </c>
      <c r="C81" t="s">
        <v>88</v>
      </c>
      <c r="D81" t="s">
        <v>214</v>
      </c>
      <c r="E81" t="s">
        <v>215</v>
      </c>
      <c r="F81" t="s">
        <v>303</v>
      </c>
      <c r="H81">
        <v>627</v>
      </c>
      <c r="I81">
        <v>0</v>
      </c>
      <c r="J81" t="s">
        <v>115</v>
      </c>
      <c r="N81" s="14" t="s">
        <v>343</v>
      </c>
    </row>
    <row r="82" spans="1:14" x14ac:dyDescent="0.3">
      <c r="A82" t="s">
        <v>344</v>
      </c>
      <c r="B82" t="s">
        <v>345</v>
      </c>
      <c r="C82" t="s">
        <v>88</v>
      </c>
      <c r="D82" t="s">
        <v>214</v>
      </c>
      <c r="E82" t="s">
        <v>215</v>
      </c>
      <c r="F82" t="s">
        <v>303</v>
      </c>
      <c r="H82">
        <v>1252.8</v>
      </c>
      <c r="I82">
        <v>0</v>
      </c>
      <c r="J82" t="s">
        <v>115</v>
      </c>
      <c r="N82" s="14" t="s">
        <v>346</v>
      </c>
    </row>
    <row r="83" spans="1:14" x14ac:dyDescent="0.3">
      <c r="A83" t="s">
        <v>347</v>
      </c>
      <c r="B83" t="s">
        <v>348</v>
      </c>
      <c r="C83" t="s">
        <v>88</v>
      </c>
      <c r="D83" t="s">
        <v>214</v>
      </c>
      <c r="E83" t="s">
        <v>215</v>
      </c>
      <c r="F83" t="s">
        <v>303</v>
      </c>
      <c r="H83">
        <v>313.2</v>
      </c>
      <c r="I83">
        <v>0</v>
      </c>
      <c r="J83" t="s">
        <v>115</v>
      </c>
      <c r="N83" s="14" t="s">
        <v>349</v>
      </c>
    </row>
    <row r="84" spans="1:14" x14ac:dyDescent="0.3">
      <c r="A84" t="s">
        <v>350</v>
      </c>
      <c r="B84" t="s">
        <v>351</v>
      </c>
      <c r="C84" t="s">
        <v>88</v>
      </c>
      <c r="D84" t="s">
        <v>214</v>
      </c>
      <c r="E84" t="s">
        <v>215</v>
      </c>
      <c r="F84" t="s">
        <v>303</v>
      </c>
      <c r="H84">
        <v>402.77</v>
      </c>
      <c r="I84">
        <v>0</v>
      </c>
      <c r="J84" t="s">
        <v>115</v>
      </c>
      <c r="N84" s="14" t="s">
        <v>352</v>
      </c>
    </row>
    <row r="85" spans="1:14" x14ac:dyDescent="0.3">
      <c r="A85" t="s">
        <v>353</v>
      </c>
      <c r="B85" t="s">
        <v>354</v>
      </c>
      <c r="C85" t="s">
        <v>183</v>
      </c>
      <c r="D85" t="s">
        <v>214</v>
      </c>
      <c r="E85" t="s">
        <v>215</v>
      </c>
      <c r="F85" t="s">
        <v>355</v>
      </c>
      <c r="H85">
        <v>1045</v>
      </c>
      <c r="I85">
        <v>0</v>
      </c>
      <c r="J85" t="s">
        <v>115</v>
      </c>
      <c r="N85" s="14" t="s">
        <v>356</v>
      </c>
    </row>
    <row r="86" spans="1:14" x14ac:dyDescent="0.3">
      <c r="A86" t="s">
        <v>357</v>
      </c>
      <c r="B86" t="s">
        <v>358</v>
      </c>
      <c r="C86" t="s">
        <v>183</v>
      </c>
      <c r="D86" t="s">
        <v>214</v>
      </c>
      <c r="E86" t="s">
        <v>215</v>
      </c>
      <c r="F86" t="s">
        <v>355</v>
      </c>
      <c r="H86">
        <v>1252.8</v>
      </c>
      <c r="I86">
        <v>0</v>
      </c>
      <c r="J86" t="s">
        <v>115</v>
      </c>
      <c r="N86" s="14" t="s">
        <v>359</v>
      </c>
    </row>
    <row r="87" spans="1:14" x14ac:dyDescent="0.3">
      <c r="A87" t="s">
        <v>360</v>
      </c>
      <c r="B87" t="s">
        <v>361</v>
      </c>
      <c r="C87" t="s">
        <v>183</v>
      </c>
      <c r="D87" t="s">
        <v>214</v>
      </c>
      <c r="E87" t="s">
        <v>215</v>
      </c>
      <c r="F87" t="s">
        <v>355</v>
      </c>
      <c r="H87">
        <v>1980</v>
      </c>
      <c r="I87">
        <v>0</v>
      </c>
      <c r="J87" t="s">
        <v>115</v>
      </c>
      <c r="N87" s="14" t="s">
        <v>362</v>
      </c>
    </row>
    <row r="88" spans="1:14" x14ac:dyDescent="0.3">
      <c r="A88" t="s">
        <v>363</v>
      </c>
      <c r="B88" t="s">
        <v>364</v>
      </c>
      <c r="C88" t="s">
        <v>183</v>
      </c>
      <c r="D88" t="s">
        <v>214</v>
      </c>
      <c r="E88" t="s">
        <v>215</v>
      </c>
      <c r="F88" t="s">
        <v>355</v>
      </c>
      <c r="H88">
        <v>2750</v>
      </c>
      <c r="I88">
        <v>0</v>
      </c>
      <c r="J88" t="s">
        <v>115</v>
      </c>
      <c r="N88" s="14" t="s">
        <v>365</v>
      </c>
    </row>
    <row r="89" spans="1:14" x14ac:dyDescent="0.3">
      <c r="A89" t="s">
        <v>366</v>
      </c>
      <c r="B89" t="s">
        <v>367</v>
      </c>
      <c r="C89" t="s">
        <v>183</v>
      </c>
      <c r="D89" t="s">
        <v>214</v>
      </c>
      <c r="E89" t="s">
        <v>215</v>
      </c>
      <c r="F89" t="s">
        <v>355</v>
      </c>
      <c r="H89">
        <v>2612.5</v>
      </c>
      <c r="I89">
        <v>0</v>
      </c>
      <c r="J89" t="s">
        <v>115</v>
      </c>
      <c r="N89" s="14" t="s">
        <v>368</v>
      </c>
    </row>
    <row r="90" spans="1:14" x14ac:dyDescent="0.3">
      <c r="A90" t="s">
        <v>369</v>
      </c>
      <c r="B90" t="s">
        <v>370</v>
      </c>
      <c r="C90" t="s">
        <v>183</v>
      </c>
      <c r="D90" t="s">
        <v>214</v>
      </c>
      <c r="E90" t="s">
        <v>215</v>
      </c>
      <c r="F90" t="s">
        <v>355</v>
      </c>
      <c r="H90">
        <v>1412.92</v>
      </c>
      <c r="I90">
        <v>0</v>
      </c>
      <c r="J90" t="s">
        <v>115</v>
      </c>
      <c r="N90" s="14" t="s">
        <v>371</v>
      </c>
    </row>
    <row r="91" spans="1:14" x14ac:dyDescent="0.3">
      <c r="A91" t="s">
        <v>372</v>
      </c>
      <c r="B91" t="s">
        <v>373</v>
      </c>
      <c r="C91" t="s">
        <v>183</v>
      </c>
      <c r="D91" t="s">
        <v>214</v>
      </c>
      <c r="E91" t="s">
        <v>215</v>
      </c>
      <c r="F91" t="s">
        <v>355</v>
      </c>
      <c r="H91">
        <v>3052.5</v>
      </c>
      <c r="I91">
        <v>0</v>
      </c>
      <c r="J91" t="s">
        <v>115</v>
      </c>
      <c r="N91" s="14" t="s">
        <v>374</v>
      </c>
    </row>
    <row r="92" spans="1:14" x14ac:dyDescent="0.3">
      <c r="A92" t="s">
        <v>375</v>
      </c>
      <c r="B92" t="s">
        <v>376</v>
      </c>
      <c r="C92" t="s">
        <v>183</v>
      </c>
      <c r="D92" t="s">
        <v>214</v>
      </c>
      <c r="E92" t="s">
        <v>215</v>
      </c>
      <c r="F92" t="s">
        <v>355</v>
      </c>
      <c r="H92">
        <v>3135</v>
      </c>
      <c r="I92">
        <v>0</v>
      </c>
      <c r="J92" t="s">
        <v>115</v>
      </c>
      <c r="N92" s="14" t="s">
        <v>377</v>
      </c>
    </row>
    <row r="93" spans="1:14" x14ac:dyDescent="0.3">
      <c r="A93" t="s">
        <v>378</v>
      </c>
      <c r="B93" t="s">
        <v>379</v>
      </c>
      <c r="C93" t="s">
        <v>88</v>
      </c>
      <c r="D93" t="s">
        <v>214</v>
      </c>
      <c r="E93" t="s">
        <v>215</v>
      </c>
      <c r="F93" t="s">
        <v>380</v>
      </c>
      <c r="H93">
        <v>736.03</v>
      </c>
      <c r="I93">
        <v>0</v>
      </c>
      <c r="J93" t="s">
        <v>115</v>
      </c>
      <c r="N93" s="14" t="s">
        <v>381</v>
      </c>
    </row>
    <row r="94" spans="1:14" x14ac:dyDescent="0.3">
      <c r="A94" t="s">
        <v>382</v>
      </c>
      <c r="B94" t="s">
        <v>383</v>
      </c>
      <c r="C94" t="s">
        <v>88</v>
      </c>
      <c r="D94" t="s">
        <v>214</v>
      </c>
      <c r="E94" t="s">
        <v>215</v>
      </c>
      <c r="F94" t="s">
        <v>380</v>
      </c>
      <c r="H94">
        <v>1612.66</v>
      </c>
      <c r="I94">
        <v>0</v>
      </c>
      <c r="J94" t="s">
        <v>115</v>
      </c>
      <c r="N94" s="14" t="s">
        <v>384</v>
      </c>
    </row>
    <row r="95" spans="1:14" x14ac:dyDescent="0.3">
      <c r="A95" t="s">
        <v>385</v>
      </c>
      <c r="B95" t="s">
        <v>386</v>
      </c>
      <c r="C95" t="s">
        <v>241</v>
      </c>
      <c r="D95" t="s">
        <v>214</v>
      </c>
      <c r="E95" t="s">
        <v>215</v>
      </c>
      <c r="F95" t="s">
        <v>380</v>
      </c>
      <c r="H95">
        <v>261</v>
      </c>
      <c r="I95">
        <v>0</v>
      </c>
      <c r="J95" t="s">
        <v>115</v>
      </c>
      <c r="N95" s="14" t="s">
        <v>387</v>
      </c>
    </row>
    <row r="96" spans="1:14" x14ac:dyDescent="0.3">
      <c r="A96" t="s">
        <v>388</v>
      </c>
      <c r="B96" t="s">
        <v>389</v>
      </c>
      <c r="C96" t="s">
        <v>241</v>
      </c>
      <c r="D96" t="s">
        <v>214</v>
      </c>
      <c r="E96" t="s">
        <v>215</v>
      </c>
      <c r="F96" t="s">
        <v>380</v>
      </c>
      <c r="H96">
        <v>689.04</v>
      </c>
      <c r="I96">
        <v>0</v>
      </c>
      <c r="J96" t="s">
        <v>115</v>
      </c>
      <c r="N96" s="14" t="s">
        <v>390</v>
      </c>
    </row>
    <row r="97" spans="1:14" x14ac:dyDescent="0.3">
      <c r="A97" t="s">
        <v>391</v>
      </c>
      <c r="B97" t="s">
        <v>392</v>
      </c>
      <c r="C97" t="s">
        <v>241</v>
      </c>
      <c r="D97" t="s">
        <v>214</v>
      </c>
      <c r="E97" t="s">
        <v>215</v>
      </c>
      <c r="F97" t="s">
        <v>380</v>
      </c>
      <c r="H97">
        <v>111.79</v>
      </c>
      <c r="I97">
        <v>0</v>
      </c>
      <c r="J97" t="s">
        <v>115</v>
      </c>
      <c r="N97" s="14" t="s">
        <v>393</v>
      </c>
    </row>
    <row r="98" spans="1:14" x14ac:dyDescent="0.3">
      <c r="A98" t="s">
        <v>394</v>
      </c>
      <c r="B98" t="s">
        <v>395</v>
      </c>
      <c r="C98" t="s">
        <v>88</v>
      </c>
      <c r="D98" t="s">
        <v>214</v>
      </c>
      <c r="E98" t="s">
        <v>215</v>
      </c>
      <c r="F98" t="s">
        <v>380</v>
      </c>
      <c r="H98">
        <v>130.5</v>
      </c>
      <c r="I98">
        <v>0</v>
      </c>
      <c r="J98" t="s">
        <v>115</v>
      </c>
      <c r="N98" s="14" t="s">
        <v>396</v>
      </c>
    </row>
    <row r="99" spans="1:14" x14ac:dyDescent="0.3">
      <c r="A99" t="s">
        <v>397</v>
      </c>
      <c r="B99" t="s">
        <v>398</v>
      </c>
      <c r="C99" t="s">
        <v>88</v>
      </c>
      <c r="D99" t="s">
        <v>214</v>
      </c>
      <c r="E99" t="s">
        <v>215</v>
      </c>
      <c r="F99" t="s">
        <v>399</v>
      </c>
      <c r="H99">
        <v>1460</v>
      </c>
      <c r="I99">
        <v>0</v>
      </c>
      <c r="J99" t="s">
        <v>92</v>
      </c>
      <c r="N99" s="14" t="s">
        <v>400</v>
      </c>
    </row>
    <row r="100" spans="1:14" x14ac:dyDescent="0.3">
      <c r="A100" t="s">
        <v>401</v>
      </c>
      <c r="B100" t="s">
        <v>402</v>
      </c>
      <c r="C100" t="s">
        <v>88</v>
      </c>
      <c r="D100" t="s">
        <v>214</v>
      </c>
      <c r="E100" t="s">
        <v>215</v>
      </c>
      <c r="F100" t="s">
        <v>399</v>
      </c>
      <c r="H100">
        <v>422.78</v>
      </c>
      <c r="I100">
        <v>0</v>
      </c>
      <c r="J100" t="s">
        <v>92</v>
      </c>
      <c r="N100" s="14" t="s">
        <v>403</v>
      </c>
    </row>
    <row r="101" spans="1:14" x14ac:dyDescent="0.3">
      <c r="A101" t="s">
        <v>404</v>
      </c>
      <c r="B101" t="s">
        <v>405</v>
      </c>
      <c r="C101" t="s">
        <v>88</v>
      </c>
      <c r="D101" t="s">
        <v>214</v>
      </c>
      <c r="E101" t="s">
        <v>215</v>
      </c>
      <c r="F101" t="s">
        <v>399</v>
      </c>
      <c r="H101">
        <v>1379.7</v>
      </c>
      <c r="I101">
        <v>0</v>
      </c>
      <c r="J101" t="s">
        <v>92</v>
      </c>
      <c r="N101" s="14" t="s">
        <v>406</v>
      </c>
    </row>
    <row r="102" spans="1:14" x14ac:dyDescent="0.3">
      <c r="A102" t="s">
        <v>407</v>
      </c>
      <c r="B102" t="s">
        <v>408</v>
      </c>
      <c r="C102" t="s">
        <v>237</v>
      </c>
      <c r="D102" t="s">
        <v>214</v>
      </c>
      <c r="E102" t="s">
        <v>215</v>
      </c>
      <c r="F102" t="s">
        <v>399</v>
      </c>
      <c r="H102">
        <v>1163.98</v>
      </c>
      <c r="I102">
        <v>0</v>
      </c>
      <c r="J102" t="s">
        <v>92</v>
      </c>
      <c r="N102" s="14" t="s">
        <v>409</v>
      </c>
    </row>
    <row r="103" spans="1:14" x14ac:dyDescent="0.3">
      <c r="A103" t="s">
        <v>410</v>
      </c>
      <c r="B103" t="s">
        <v>411</v>
      </c>
      <c r="C103" t="s">
        <v>241</v>
      </c>
      <c r="D103" t="s">
        <v>214</v>
      </c>
      <c r="E103" t="s">
        <v>215</v>
      </c>
      <c r="F103" t="s">
        <v>399</v>
      </c>
      <c r="H103">
        <v>209</v>
      </c>
      <c r="I103">
        <v>0</v>
      </c>
      <c r="J103" t="s">
        <v>115</v>
      </c>
      <c r="N103" s="14" t="s">
        <v>412</v>
      </c>
    </row>
    <row r="104" spans="1:14" x14ac:dyDescent="0.3">
      <c r="A104" t="s">
        <v>413</v>
      </c>
      <c r="B104" t="s">
        <v>414</v>
      </c>
      <c r="C104" t="s">
        <v>88</v>
      </c>
      <c r="D104" t="s">
        <v>214</v>
      </c>
      <c r="E104" t="s">
        <v>215</v>
      </c>
      <c r="F104" t="s">
        <v>415</v>
      </c>
      <c r="H104">
        <v>339.3</v>
      </c>
      <c r="I104">
        <v>0</v>
      </c>
      <c r="J104" t="s">
        <v>115</v>
      </c>
      <c r="N104" s="14" t="s">
        <v>416</v>
      </c>
    </row>
    <row r="105" spans="1:14" x14ac:dyDescent="0.3">
      <c r="A105" t="s">
        <v>417</v>
      </c>
      <c r="B105" t="s">
        <v>418</v>
      </c>
      <c r="C105" t="s">
        <v>88</v>
      </c>
      <c r="D105" t="s">
        <v>214</v>
      </c>
      <c r="E105" t="s">
        <v>215</v>
      </c>
      <c r="F105" t="s">
        <v>415</v>
      </c>
      <c r="H105">
        <v>882.18</v>
      </c>
      <c r="I105">
        <v>0</v>
      </c>
      <c r="J105" t="s">
        <v>115</v>
      </c>
      <c r="N105" s="14" t="s">
        <v>419</v>
      </c>
    </row>
    <row r="106" spans="1:14" x14ac:dyDescent="0.3">
      <c r="A106" t="s">
        <v>420</v>
      </c>
      <c r="B106" t="s">
        <v>421</v>
      </c>
      <c r="C106" t="s">
        <v>88</v>
      </c>
      <c r="D106" t="s">
        <v>214</v>
      </c>
      <c r="E106" t="s">
        <v>215</v>
      </c>
      <c r="F106" t="s">
        <v>415</v>
      </c>
      <c r="H106">
        <v>7464.6</v>
      </c>
      <c r="I106">
        <v>0</v>
      </c>
      <c r="J106" t="s">
        <v>115</v>
      </c>
      <c r="N106" s="14" t="s">
        <v>422</v>
      </c>
    </row>
    <row r="107" spans="1:14" x14ac:dyDescent="0.3">
      <c r="A107" t="s">
        <v>423</v>
      </c>
      <c r="B107" t="s">
        <v>424</v>
      </c>
      <c r="C107" t="s">
        <v>237</v>
      </c>
      <c r="D107" t="s">
        <v>214</v>
      </c>
      <c r="E107" t="s">
        <v>215</v>
      </c>
      <c r="F107" t="s">
        <v>415</v>
      </c>
      <c r="H107">
        <v>3732.3</v>
      </c>
      <c r="I107">
        <v>0</v>
      </c>
      <c r="J107" t="s">
        <v>115</v>
      </c>
      <c r="N107" s="14" t="s">
        <v>425</v>
      </c>
    </row>
    <row r="108" spans="1:14" x14ac:dyDescent="0.3">
      <c r="A108" t="s">
        <v>426</v>
      </c>
      <c r="B108" t="s">
        <v>427</v>
      </c>
      <c r="C108" t="s">
        <v>241</v>
      </c>
      <c r="D108" t="s">
        <v>214</v>
      </c>
      <c r="E108" t="s">
        <v>215</v>
      </c>
      <c r="F108" t="s">
        <v>415</v>
      </c>
      <c r="H108">
        <v>916.11</v>
      </c>
      <c r="I108">
        <v>0</v>
      </c>
      <c r="J108" t="s">
        <v>115</v>
      </c>
      <c r="N108" s="14" t="s">
        <v>428</v>
      </c>
    </row>
    <row r="109" spans="1:14" x14ac:dyDescent="0.3">
      <c r="A109" t="s">
        <v>429</v>
      </c>
      <c r="B109" t="s">
        <v>430</v>
      </c>
      <c r="C109" t="s">
        <v>241</v>
      </c>
      <c r="D109" t="s">
        <v>214</v>
      </c>
      <c r="E109" t="s">
        <v>215</v>
      </c>
      <c r="F109" t="s">
        <v>415</v>
      </c>
      <c r="H109">
        <v>610.74</v>
      </c>
      <c r="I109">
        <v>0</v>
      </c>
      <c r="J109" t="s">
        <v>115</v>
      </c>
      <c r="N109" s="14" t="s">
        <v>431</v>
      </c>
    </row>
    <row r="110" spans="1:14" x14ac:dyDescent="0.3">
      <c r="A110" t="s">
        <v>432</v>
      </c>
      <c r="B110" t="s">
        <v>433</v>
      </c>
      <c r="C110" t="s">
        <v>88</v>
      </c>
      <c r="D110" t="s">
        <v>214</v>
      </c>
      <c r="E110" t="s">
        <v>215</v>
      </c>
      <c r="F110" t="s">
        <v>415</v>
      </c>
      <c r="H110">
        <v>780.39</v>
      </c>
      <c r="I110">
        <v>0</v>
      </c>
      <c r="J110" t="s">
        <v>115</v>
      </c>
      <c r="N110" s="14" t="s">
        <v>434</v>
      </c>
    </row>
    <row r="111" spans="1:14" x14ac:dyDescent="0.3">
      <c r="A111" t="s">
        <v>435</v>
      </c>
      <c r="B111" t="s">
        <v>436</v>
      </c>
      <c r="C111" t="s">
        <v>88</v>
      </c>
      <c r="D111" t="s">
        <v>214</v>
      </c>
      <c r="E111" t="s">
        <v>215</v>
      </c>
      <c r="F111" t="s">
        <v>415</v>
      </c>
      <c r="H111">
        <v>433.22</v>
      </c>
      <c r="I111">
        <v>0</v>
      </c>
      <c r="J111" t="s">
        <v>92</v>
      </c>
      <c r="N111" s="14" t="s">
        <v>437</v>
      </c>
    </row>
    <row r="112" spans="1:14" x14ac:dyDescent="0.3">
      <c r="A112" t="s">
        <v>438</v>
      </c>
      <c r="B112" t="s">
        <v>439</v>
      </c>
      <c r="C112" t="s">
        <v>88</v>
      </c>
      <c r="D112" t="s">
        <v>214</v>
      </c>
      <c r="E112" t="s">
        <v>215</v>
      </c>
      <c r="F112" t="s">
        <v>415</v>
      </c>
      <c r="H112">
        <v>470.25</v>
      </c>
      <c r="I112">
        <v>0</v>
      </c>
      <c r="J112" t="s">
        <v>92</v>
      </c>
      <c r="N112" s="14" t="s">
        <v>440</v>
      </c>
    </row>
    <row r="113" spans="1:14" x14ac:dyDescent="0.3">
      <c r="A113" t="s">
        <v>441</v>
      </c>
      <c r="B113" t="s">
        <v>442</v>
      </c>
      <c r="C113" t="s">
        <v>241</v>
      </c>
      <c r="D113" t="s">
        <v>214</v>
      </c>
      <c r="E113" t="s">
        <v>215</v>
      </c>
      <c r="F113" t="s">
        <v>415</v>
      </c>
      <c r="H113">
        <v>434.96</v>
      </c>
      <c r="I113">
        <v>0</v>
      </c>
      <c r="J113" t="s">
        <v>92</v>
      </c>
      <c r="N113" s="14" t="s">
        <v>443</v>
      </c>
    </row>
    <row r="114" spans="1:14" x14ac:dyDescent="0.3">
      <c r="A114" t="s">
        <v>444</v>
      </c>
      <c r="B114" t="s">
        <v>445</v>
      </c>
      <c r="C114" t="s">
        <v>88</v>
      </c>
      <c r="D114" t="s">
        <v>214</v>
      </c>
      <c r="E114" t="s">
        <v>215</v>
      </c>
      <c r="F114" t="s">
        <v>415</v>
      </c>
      <c r="H114">
        <v>627</v>
      </c>
      <c r="I114">
        <v>0</v>
      </c>
      <c r="J114" t="s">
        <v>92</v>
      </c>
      <c r="N114" s="14" t="s">
        <v>446</v>
      </c>
    </row>
    <row r="115" spans="1:14" x14ac:dyDescent="0.3">
      <c r="A115" t="s">
        <v>447</v>
      </c>
      <c r="B115" t="s">
        <v>448</v>
      </c>
      <c r="C115" t="s">
        <v>88</v>
      </c>
      <c r="D115" t="s">
        <v>214</v>
      </c>
      <c r="E115" t="s">
        <v>215</v>
      </c>
      <c r="F115" t="s">
        <v>415</v>
      </c>
      <c r="H115">
        <v>475.02</v>
      </c>
      <c r="I115">
        <v>0</v>
      </c>
      <c r="J115" t="s">
        <v>92</v>
      </c>
      <c r="N115" s="14" t="s">
        <v>449</v>
      </c>
    </row>
    <row r="116" spans="1:14" x14ac:dyDescent="0.3">
      <c r="A116" t="s">
        <v>450</v>
      </c>
      <c r="B116" t="s">
        <v>451</v>
      </c>
      <c r="C116" t="s">
        <v>88</v>
      </c>
      <c r="D116" t="s">
        <v>214</v>
      </c>
      <c r="E116" t="s">
        <v>215</v>
      </c>
      <c r="F116" t="s">
        <v>415</v>
      </c>
      <c r="H116">
        <v>373.23</v>
      </c>
      <c r="I116">
        <v>0</v>
      </c>
      <c r="J116" t="s">
        <v>115</v>
      </c>
      <c r="N116" s="14" t="s">
        <v>452</v>
      </c>
    </row>
    <row r="117" spans="1:14" x14ac:dyDescent="0.3">
      <c r="A117" t="s">
        <v>453</v>
      </c>
      <c r="B117" t="s">
        <v>454</v>
      </c>
      <c r="C117" t="s">
        <v>455</v>
      </c>
      <c r="D117" t="s">
        <v>214</v>
      </c>
      <c r="E117" t="s">
        <v>215</v>
      </c>
      <c r="F117" t="s">
        <v>415</v>
      </c>
      <c r="H117">
        <v>6786</v>
      </c>
      <c r="I117">
        <v>0</v>
      </c>
      <c r="J117" t="s">
        <v>115</v>
      </c>
      <c r="N117" s="14" t="s">
        <v>456</v>
      </c>
    </row>
    <row r="118" spans="1:14" x14ac:dyDescent="0.3">
      <c r="A118" t="s">
        <v>457</v>
      </c>
      <c r="B118" t="s">
        <v>458</v>
      </c>
      <c r="C118" t="s">
        <v>199</v>
      </c>
      <c r="D118" t="s">
        <v>214</v>
      </c>
      <c r="E118" t="s">
        <v>215</v>
      </c>
      <c r="F118" t="s">
        <v>459</v>
      </c>
      <c r="H118">
        <v>86.13</v>
      </c>
      <c r="I118">
        <v>0</v>
      </c>
      <c r="J118" t="s">
        <v>115</v>
      </c>
      <c r="N118" s="14" t="s">
        <v>460</v>
      </c>
    </row>
    <row r="119" spans="1:14" x14ac:dyDescent="0.3">
      <c r="A119" t="s">
        <v>461</v>
      </c>
      <c r="B119" t="s">
        <v>462</v>
      </c>
      <c r="C119" t="s">
        <v>199</v>
      </c>
      <c r="D119" t="s">
        <v>214</v>
      </c>
      <c r="E119" t="s">
        <v>215</v>
      </c>
      <c r="F119" t="s">
        <v>459</v>
      </c>
      <c r="H119">
        <v>92.39</v>
      </c>
      <c r="I119">
        <v>0</v>
      </c>
      <c r="J119" t="s">
        <v>115</v>
      </c>
      <c r="N119" s="14" t="s">
        <v>463</v>
      </c>
    </row>
    <row r="120" spans="1:14" x14ac:dyDescent="0.3">
      <c r="A120" t="s">
        <v>464</v>
      </c>
      <c r="B120" t="s">
        <v>465</v>
      </c>
      <c r="C120" t="s">
        <v>183</v>
      </c>
      <c r="D120" t="s">
        <v>214</v>
      </c>
      <c r="E120" t="s">
        <v>215</v>
      </c>
      <c r="F120" t="s">
        <v>459</v>
      </c>
      <c r="H120">
        <v>191.4</v>
      </c>
      <c r="I120">
        <v>0</v>
      </c>
      <c r="J120" t="s">
        <v>115</v>
      </c>
      <c r="N120" s="14" t="s">
        <v>466</v>
      </c>
    </row>
    <row r="121" spans="1:14" x14ac:dyDescent="0.3">
      <c r="A121" t="s">
        <v>467</v>
      </c>
      <c r="B121" t="s">
        <v>468</v>
      </c>
      <c r="C121" t="s">
        <v>183</v>
      </c>
      <c r="D121" t="s">
        <v>214</v>
      </c>
      <c r="E121" t="s">
        <v>215</v>
      </c>
      <c r="F121" t="s">
        <v>459</v>
      </c>
      <c r="H121">
        <v>431.61</v>
      </c>
      <c r="I121">
        <v>0</v>
      </c>
      <c r="J121" t="s">
        <v>115</v>
      </c>
      <c r="N121" s="14" t="s">
        <v>469</v>
      </c>
    </row>
    <row r="122" spans="1:14" x14ac:dyDescent="0.3">
      <c r="A122" t="s">
        <v>470</v>
      </c>
      <c r="B122" t="s">
        <v>471</v>
      </c>
      <c r="C122" t="s">
        <v>183</v>
      </c>
      <c r="D122" t="s">
        <v>214</v>
      </c>
      <c r="E122" t="s">
        <v>215</v>
      </c>
      <c r="F122" t="s">
        <v>459</v>
      </c>
      <c r="H122">
        <v>2200</v>
      </c>
      <c r="I122">
        <v>0</v>
      </c>
      <c r="J122" t="s">
        <v>115</v>
      </c>
      <c r="N122" s="14" t="s">
        <v>472</v>
      </c>
    </row>
    <row r="123" spans="1:14" x14ac:dyDescent="0.3">
      <c r="A123" t="s">
        <v>473</v>
      </c>
      <c r="B123" t="s">
        <v>474</v>
      </c>
      <c r="C123" t="s">
        <v>183</v>
      </c>
      <c r="D123" t="s">
        <v>214</v>
      </c>
      <c r="E123" t="s">
        <v>215</v>
      </c>
      <c r="F123" t="s">
        <v>459</v>
      </c>
      <c r="H123">
        <v>5225</v>
      </c>
      <c r="I123">
        <v>0</v>
      </c>
      <c r="J123" t="s">
        <v>115</v>
      </c>
      <c r="N123" s="14" t="s">
        <v>475</v>
      </c>
    </row>
    <row r="124" spans="1:14" x14ac:dyDescent="0.3">
      <c r="A124" t="s">
        <v>476</v>
      </c>
      <c r="B124" t="s">
        <v>477</v>
      </c>
      <c r="C124" t="s">
        <v>241</v>
      </c>
      <c r="D124" t="s">
        <v>214</v>
      </c>
      <c r="E124" t="s">
        <v>215</v>
      </c>
      <c r="F124" t="s">
        <v>459</v>
      </c>
      <c r="H124">
        <v>435.41</v>
      </c>
      <c r="I124">
        <v>0</v>
      </c>
      <c r="J124" t="s">
        <v>115</v>
      </c>
      <c r="N124" s="14" t="s">
        <v>478</v>
      </c>
    </row>
    <row r="125" spans="1:14" x14ac:dyDescent="0.3">
      <c r="A125" t="s">
        <v>479</v>
      </c>
      <c r="B125" t="s">
        <v>480</v>
      </c>
      <c r="C125" t="s">
        <v>183</v>
      </c>
      <c r="D125" t="s">
        <v>214</v>
      </c>
      <c r="E125" t="s">
        <v>215</v>
      </c>
      <c r="F125" t="s">
        <v>459</v>
      </c>
      <c r="H125">
        <v>1045</v>
      </c>
      <c r="I125">
        <v>0</v>
      </c>
      <c r="J125" t="s">
        <v>115</v>
      </c>
      <c r="N125" s="14" t="s">
        <v>481</v>
      </c>
    </row>
    <row r="126" spans="1:14" x14ac:dyDescent="0.3">
      <c r="A126" t="s">
        <v>482</v>
      </c>
      <c r="B126" t="s">
        <v>483</v>
      </c>
      <c r="C126" t="s">
        <v>241</v>
      </c>
      <c r="D126" t="s">
        <v>214</v>
      </c>
      <c r="E126" t="s">
        <v>215</v>
      </c>
      <c r="F126" t="s">
        <v>459</v>
      </c>
      <c r="H126">
        <v>255.07</v>
      </c>
      <c r="I126">
        <v>0</v>
      </c>
      <c r="J126" t="s">
        <v>115</v>
      </c>
      <c r="N126" s="14" t="s">
        <v>484</v>
      </c>
    </row>
    <row r="127" spans="1:14" x14ac:dyDescent="0.3">
      <c r="A127" t="s">
        <v>485</v>
      </c>
      <c r="B127" t="s">
        <v>486</v>
      </c>
      <c r="C127" t="s">
        <v>199</v>
      </c>
      <c r="D127" t="s">
        <v>214</v>
      </c>
      <c r="E127" t="s">
        <v>215</v>
      </c>
      <c r="F127" t="s">
        <v>487</v>
      </c>
      <c r="H127">
        <v>197.84</v>
      </c>
      <c r="I127">
        <v>0</v>
      </c>
      <c r="J127" t="s">
        <v>115</v>
      </c>
      <c r="N127" s="14" t="s">
        <v>488</v>
      </c>
    </row>
    <row r="128" spans="1:14" x14ac:dyDescent="0.3">
      <c r="A128" t="s">
        <v>489</v>
      </c>
      <c r="B128" t="s">
        <v>490</v>
      </c>
      <c r="C128" t="s">
        <v>183</v>
      </c>
      <c r="D128" t="s">
        <v>214</v>
      </c>
      <c r="E128" t="s">
        <v>215</v>
      </c>
      <c r="F128" t="s">
        <v>487</v>
      </c>
      <c r="H128">
        <v>2639.67</v>
      </c>
      <c r="I128">
        <v>0</v>
      </c>
      <c r="J128" t="s">
        <v>115</v>
      </c>
      <c r="N128" s="14" t="s">
        <v>491</v>
      </c>
    </row>
    <row r="129" spans="1:14" x14ac:dyDescent="0.3">
      <c r="A129" t="s">
        <v>492</v>
      </c>
      <c r="B129" t="s">
        <v>493</v>
      </c>
      <c r="C129" t="s">
        <v>183</v>
      </c>
      <c r="D129" t="s">
        <v>214</v>
      </c>
      <c r="E129" t="s">
        <v>215</v>
      </c>
      <c r="F129" t="s">
        <v>487</v>
      </c>
      <c r="H129">
        <v>7657.74</v>
      </c>
      <c r="I129">
        <v>0</v>
      </c>
      <c r="J129" t="s">
        <v>115</v>
      </c>
      <c r="N129" s="14" t="s">
        <v>494</v>
      </c>
    </row>
    <row r="130" spans="1:14" x14ac:dyDescent="0.3">
      <c r="A130" t="s">
        <v>495</v>
      </c>
      <c r="B130" t="s">
        <v>496</v>
      </c>
      <c r="C130" t="s">
        <v>183</v>
      </c>
      <c r="D130" t="s">
        <v>214</v>
      </c>
      <c r="E130" t="s">
        <v>215</v>
      </c>
      <c r="F130" t="s">
        <v>487</v>
      </c>
      <c r="H130">
        <v>27311.040000000001</v>
      </c>
      <c r="I130">
        <v>0</v>
      </c>
      <c r="J130" t="s">
        <v>115</v>
      </c>
      <c r="N130" s="14" t="s">
        <v>497</v>
      </c>
    </row>
    <row r="131" spans="1:14" x14ac:dyDescent="0.3">
      <c r="A131" t="s">
        <v>498</v>
      </c>
      <c r="B131" t="s">
        <v>499</v>
      </c>
      <c r="C131" t="s">
        <v>183</v>
      </c>
      <c r="D131" t="s">
        <v>214</v>
      </c>
      <c r="E131" t="s">
        <v>215</v>
      </c>
      <c r="F131" t="s">
        <v>487</v>
      </c>
      <c r="H131">
        <v>39400.559999999998</v>
      </c>
      <c r="I131">
        <v>0</v>
      </c>
      <c r="J131" t="s">
        <v>115</v>
      </c>
      <c r="N131" s="14" t="s">
        <v>500</v>
      </c>
    </row>
    <row r="132" spans="1:14" x14ac:dyDescent="0.3">
      <c r="A132" t="s">
        <v>501</v>
      </c>
      <c r="B132" t="s">
        <v>502</v>
      </c>
      <c r="C132" t="s">
        <v>183</v>
      </c>
      <c r="D132" t="s">
        <v>214</v>
      </c>
      <c r="E132" t="s">
        <v>215</v>
      </c>
      <c r="F132" t="s">
        <v>503</v>
      </c>
      <c r="H132">
        <v>783</v>
      </c>
      <c r="I132">
        <v>0</v>
      </c>
      <c r="J132" t="s">
        <v>115</v>
      </c>
      <c r="N132" s="14" t="s">
        <v>504</v>
      </c>
    </row>
    <row r="133" spans="1:14" x14ac:dyDescent="0.3">
      <c r="A133" t="s">
        <v>505</v>
      </c>
      <c r="B133" t="s">
        <v>506</v>
      </c>
      <c r="C133" t="s">
        <v>183</v>
      </c>
      <c r="D133" t="s">
        <v>214</v>
      </c>
      <c r="E133" t="s">
        <v>215</v>
      </c>
      <c r="F133" t="s">
        <v>503</v>
      </c>
      <c r="H133">
        <v>689.04</v>
      </c>
      <c r="I133">
        <v>0</v>
      </c>
      <c r="J133" t="s">
        <v>115</v>
      </c>
      <c r="N133" s="14" t="s">
        <v>507</v>
      </c>
    </row>
    <row r="134" spans="1:14" x14ac:dyDescent="0.3">
      <c r="A134" t="s">
        <v>508</v>
      </c>
      <c r="B134" t="s">
        <v>509</v>
      </c>
      <c r="C134" t="s">
        <v>137</v>
      </c>
      <c r="D134" t="s">
        <v>214</v>
      </c>
      <c r="E134" t="s">
        <v>215</v>
      </c>
      <c r="F134" t="s">
        <v>503</v>
      </c>
      <c r="H134">
        <v>330</v>
      </c>
      <c r="I134">
        <v>0</v>
      </c>
      <c r="J134" t="s">
        <v>115</v>
      </c>
      <c r="N134" s="14" t="s">
        <v>510</v>
      </c>
    </row>
    <row r="135" spans="1:14" x14ac:dyDescent="0.3">
      <c r="A135" t="s">
        <v>511</v>
      </c>
      <c r="B135" t="s">
        <v>512</v>
      </c>
      <c r="C135" t="s">
        <v>183</v>
      </c>
      <c r="D135" t="s">
        <v>214</v>
      </c>
      <c r="E135" t="s">
        <v>215</v>
      </c>
      <c r="F135" t="s">
        <v>503</v>
      </c>
      <c r="H135">
        <v>2612.5</v>
      </c>
      <c r="I135">
        <v>0</v>
      </c>
      <c r="J135" t="s">
        <v>115</v>
      </c>
      <c r="N135" s="14" t="s">
        <v>513</v>
      </c>
    </row>
    <row r="136" spans="1:14" x14ac:dyDescent="0.3">
      <c r="A136" t="s">
        <v>514</v>
      </c>
      <c r="B136" t="s">
        <v>515</v>
      </c>
      <c r="C136" t="s">
        <v>183</v>
      </c>
      <c r="D136" t="s">
        <v>214</v>
      </c>
      <c r="E136" t="s">
        <v>215</v>
      </c>
      <c r="F136" t="s">
        <v>503</v>
      </c>
      <c r="H136">
        <v>1212.71</v>
      </c>
      <c r="I136">
        <v>0</v>
      </c>
      <c r="J136" t="s">
        <v>115</v>
      </c>
      <c r="N136" s="14" t="s">
        <v>516</v>
      </c>
    </row>
    <row r="137" spans="1:14" x14ac:dyDescent="0.3">
      <c r="A137" t="s">
        <v>517</v>
      </c>
      <c r="B137" t="s">
        <v>518</v>
      </c>
      <c r="C137" t="s">
        <v>241</v>
      </c>
      <c r="D137" t="s">
        <v>214</v>
      </c>
      <c r="E137" t="s">
        <v>215</v>
      </c>
      <c r="F137" t="s">
        <v>503</v>
      </c>
      <c r="H137">
        <v>128.15</v>
      </c>
      <c r="I137">
        <v>0</v>
      </c>
      <c r="J137" t="s">
        <v>115</v>
      </c>
      <c r="N137" s="14" t="s">
        <v>519</v>
      </c>
    </row>
    <row r="138" spans="1:14" x14ac:dyDescent="0.3">
      <c r="A138" t="s">
        <v>520</v>
      </c>
      <c r="B138" t="s">
        <v>521</v>
      </c>
      <c r="C138" t="s">
        <v>241</v>
      </c>
      <c r="D138" t="s">
        <v>214</v>
      </c>
      <c r="E138" t="s">
        <v>215</v>
      </c>
      <c r="F138" t="s">
        <v>503</v>
      </c>
      <c r="H138">
        <v>178.94</v>
      </c>
      <c r="I138">
        <v>0</v>
      </c>
      <c r="J138" t="s">
        <v>115</v>
      </c>
      <c r="N138" s="14" t="s">
        <v>522</v>
      </c>
    </row>
    <row r="139" spans="1:14" x14ac:dyDescent="0.3">
      <c r="A139" t="s">
        <v>523</v>
      </c>
      <c r="B139" t="s">
        <v>524</v>
      </c>
      <c r="C139" t="s">
        <v>241</v>
      </c>
      <c r="D139" t="s">
        <v>214</v>
      </c>
      <c r="E139" t="s">
        <v>215</v>
      </c>
      <c r="F139" t="s">
        <v>503</v>
      </c>
      <c r="H139">
        <v>183.45</v>
      </c>
      <c r="I139">
        <v>0</v>
      </c>
      <c r="J139" t="s">
        <v>115</v>
      </c>
      <c r="N139" s="14" t="s">
        <v>525</v>
      </c>
    </row>
    <row r="140" spans="1:14" x14ac:dyDescent="0.3">
      <c r="A140" t="s">
        <v>526</v>
      </c>
      <c r="B140" t="s">
        <v>527</v>
      </c>
      <c r="C140" t="s">
        <v>183</v>
      </c>
      <c r="D140" t="s">
        <v>214</v>
      </c>
      <c r="E140" t="s">
        <v>215</v>
      </c>
      <c r="F140" t="s">
        <v>503</v>
      </c>
      <c r="H140">
        <v>720.26</v>
      </c>
      <c r="I140">
        <v>0</v>
      </c>
      <c r="J140" t="s">
        <v>115</v>
      </c>
      <c r="N140" s="14" t="s">
        <v>528</v>
      </c>
    </row>
    <row r="141" spans="1:14" x14ac:dyDescent="0.3">
      <c r="A141" t="s">
        <v>529</v>
      </c>
      <c r="B141" t="s">
        <v>530</v>
      </c>
      <c r="C141" t="s">
        <v>183</v>
      </c>
      <c r="D141" t="s">
        <v>214</v>
      </c>
      <c r="E141" t="s">
        <v>215</v>
      </c>
      <c r="F141" t="s">
        <v>503</v>
      </c>
      <c r="H141">
        <v>313.5</v>
      </c>
      <c r="I141">
        <v>0</v>
      </c>
      <c r="J141" t="s">
        <v>115</v>
      </c>
      <c r="N141" s="14" t="s">
        <v>531</v>
      </c>
    </row>
    <row r="142" spans="1:14" x14ac:dyDescent="0.3">
      <c r="A142" t="s">
        <v>532</v>
      </c>
      <c r="B142" t="s">
        <v>533</v>
      </c>
      <c r="C142" t="s">
        <v>183</v>
      </c>
      <c r="D142" t="s">
        <v>214</v>
      </c>
      <c r="E142" t="s">
        <v>215</v>
      </c>
      <c r="F142" t="s">
        <v>503</v>
      </c>
      <c r="H142">
        <v>1492.92</v>
      </c>
      <c r="I142">
        <v>0</v>
      </c>
      <c r="J142" t="s">
        <v>115</v>
      </c>
      <c r="N142" s="14" t="s">
        <v>534</v>
      </c>
    </row>
    <row r="143" spans="1:14" x14ac:dyDescent="0.3">
      <c r="A143" t="s">
        <v>535</v>
      </c>
      <c r="B143" t="s">
        <v>536</v>
      </c>
      <c r="C143" t="s">
        <v>183</v>
      </c>
      <c r="D143" t="s">
        <v>214</v>
      </c>
      <c r="E143" t="s">
        <v>215</v>
      </c>
      <c r="F143" t="s">
        <v>503</v>
      </c>
      <c r="H143">
        <v>463.67</v>
      </c>
      <c r="I143">
        <v>0</v>
      </c>
      <c r="J143" t="s">
        <v>115</v>
      </c>
      <c r="N143" s="14" t="s">
        <v>537</v>
      </c>
    </row>
    <row r="144" spans="1:14" x14ac:dyDescent="0.3">
      <c r="A144" t="s">
        <v>538</v>
      </c>
      <c r="B144" t="s">
        <v>539</v>
      </c>
      <c r="C144" t="s">
        <v>183</v>
      </c>
      <c r="D144" t="s">
        <v>214</v>
      </c>
      <c r="E144" t="s">
        <v>215</v>
      </c>
      <c r="F144" t="s">
        <v>503</v>
      </c>
      <c r="H144">
        <v>2592.6</v>
      </c>
      <c r="I144">
        <v>0</v>
      </c>
      <c r="J144" t="s">
        <v>115</v>
      </c>
      <c r="N144" s="14" t="s">
        <v>540</v>
      </c>
    </row>
    <row r="145" spans="1:14" x14ac:dyDescent="0.3">
      <c r="A145" t="s">
        <v>541</v>
      </c>
      <c r="B145" t="s">
        <v>542</v>
      </c>
      <c r="C145" t="s">
        <v>183</v>
      </c>
      <c r="D145" t="s">
        <v>214</v>
      </c>
      <c r="E145" t="s">
        <v>215</v>
      </c>
      <c r="F145" t="s">
        <v>543</v>
      </c>
      <c r="H145">
        <v>13200</v>
      </c>
      <c r="I145">
        <v>0</v>
      </c>
      <c r="J145" t="s">
        <v>115</v>
      </c>
      <c r="N145" s="14" t="s">
        <v>544</v>
      </c>
    </row>
    <row r="146" spans="1:14" x14ac:dyDescent="0.3">
      <c r="A146" t="s">
        <v>545</v>
      </c>
      <c r="B146" t="s">
        <v>546</v>
      </c>
      <c r="C146" t="s">
        <v>183</v>
      </c>
      <c r="D146" t="s">
        <v>214</v>
      </c>
      <c r="E146" t="s">
        <v>215</v>
      </c>
      <c r="F146" t="s">
        <v>543</v>
      </c>
      <c r="H146">
        <v>32447.25</v>
      </c>
      <c r="I146">
        <v>0</v>
      </c>
      <c r="J146" t="s">
        <v>115</v>
      </c>
      <c r="N146" s="14" t="s">
        <v>547</v>
      </c>
    </row>
    <row r="147" spans="1:14" x14ac:dyDescent="0.3">
      <c r="A147" t="s">
        <v>548</v>
      </c>
      <c r="B147" t="s">
        <v>549</v>
      </c>
      <c r="C147" t="s">
        <v>183</v>
      </c>
      <c r="D147" t="s">
        <v>214</v>
      </c>
      <c r="E147" t="s">
        <v>215</v>
      </c>
      <c r="F147" t="s">
        <v>543</v>
      </c>
      <c r="H147">
        <v>28842</v>
      </c>
      <c r="I147">
        <v>0</v>
      </c>
      <c r="J147" t="s">
        <v>115</v>
      </c>
      <c r="N147" s="14" t="s">
        <v>550</v>
      </c>
    </row>
    <row r="148" spans="1:14" x14ac:dyDescent="0.3">
      <c r="A148" t="s">
        <v>551</v>
      </c>
      <c r="B148" t="s">
        <v>552</v>
      </c>
      <c r="C148" t="s">
        <v>183</v>
      </c>
      <c r="D148" t="s">
        <v>214</v>
      </c>
      <c r="E148" t="s">
        <v>215</v>
      </c>
      <c r="F148" t="s">
        <v>543</v>
      </c>
      <c r="H148">
        <v>24795</v>
      </c>
      <c r="I148">
        <v>0</v>
      </c>
      <c r="J148" t="s">
        <v>115</v>
      </c>
      <c r="N148" s="14" t="s">
        <v>553</v>
      </c>
    </row>
    <row r="149" spans="1:14" x14ac:dyDescent="0.3">
      <c r="A149" t="s">
        <v>554</v>
      </c>
      <c r="B149" t="s">
        <v>555</v>
      </c>
      <c r="C149" t="s">
        <v>455</v>
      </c>
      <c r="D149" t="s">
        <v>214</v>
      </c>
      <c r="E149" t="s">
        <v>215</v>
      </c>
      <c r="F149" t="s">
        <v>543</v>
      </c>
      <c r="H149">
        <v>1268.6300000000001</v>
      </c>
      <c r="I149">
        <v>0</v>
      </c>
      <c r="J149" t="s">
        <v>115</v>
      </c>
      <c r="N149" s="14" t="s">
        <v>556</v>
      </c>
    </row>
    <row r="150" spans="1:14" x14ac:dyDescent="0.3">
      <c r="A150" t="s">
        <v>557</v>
      </c>
      <c r="B150" t="s">
        <v>558</v>
      </c>
      <c r="C150" t="s">
        <v>88</v>
      </c>
      <c r="D150" t="s">
        <v>214</v>
      </c>
      <c r="E150" t="s">
        <v>215</v>
      </c>
      <c r="F150" t="s">
        <v>543</v>
      </c>
      <c r="H150">
        <v>94.05</v>
      </c>
      <c r="I150">
        <v>0</v>
      </c>
      <c r="J150" t="s">
        <v>115</v>
      </c>
      <c r="N150" s="14" t="s">
        <v>559</v>
      </c>
    </row>
    <row r="151" spans="1:14" x14ac:dyDescent="0.3">
      <c r="A151" t="s">
        <v>560</v>
      </c>
      <c r="B151" t="s">
        <v>561</v>
      </c>
      <c r="C151" t="s">
        <v>88</v>
      </c>
      <c r="D151" t="s">
        <v>214</v>
      </c>
      <c r="E151" t="s">
        <v>215</v>
      </c>
      <c r="F151" t="s">
        <v>543</v>
      </c>
      <c r="H151">
        <v>110.69</v>
      </c>
      <c r="I151">
        <v>0</v>
      </c>
      <c r="J151" t="s">
        <v>115</v>
      </c>
      <c r="N151" s="14" t="s">
        <v>562</v>
      </c>
    </row>
    <row r="152" spans="1:14" x14ac:dyDescent="0.3">
      <c r="A152" t="s">
        <v>563</v>
      </c>
      <c r="B152" t="s">
        <v>564</v>
      </c>
      <c r="C152" t="s">
        <v>88</v>
      </c>
      <c r="D152" t="s">
        <v>214</v>
      </c>
      <c r="E152" t="s">
        <v>215</v>
      </c>
      <c r="F152" t="s">
        <v>543</v>
      </c>
      <c r="H152">
        <v>519</v>
      </c>
      <c r="I152">
        <v>0</v>
      </c>
      <c r="J152" t="s">
        <v>115</v>
      </c>
      <c r="N152" s="14" t="s">
        <v>565</v>
      </c>
    </row>
    <row r="153" spans="1:14" x14ac:dyDescent="0.3">
      <c r="A153" t="s">
        <v>566</v>
      </c>
      <c r="B153" t="s">
        <v>567</v>
      </c>
      <c r="C153" t="s">
        <v>183</v>
      </c>
      <c r="D153" t="s">
        <v>214</v>
      </c>
      <c r="E153" t="s">
        <v>215</v>
      </c>
      <c r="F153" t="s">
        <v>568</v>
      </c>
      <c r="H153">
        <v>522.5</v>
      </c>
      <c r="I153">
        <v>0</v>
      </c>
      <c r="J153" t="s">
        <v>115</v>
      </c>
      <c r="N153" s="14" t="s">
        <v>569</v>
      </c>
    </row>
    <row r="154" spans="1:14" x14ac:dyDescent="0.3">
      <c r="A154" t="s">
        <v>570</v>
      </c>
      <c r="B154" t="s">
        <v>571</v>
      </c>
      <c r="C154" t="s">
        <v>183</v>
      </c>
      <c r="D154" t="s">
        <v>214</v>
      </c>
      <c r="E154" t="s">
        <v>215</v>
      </c>
      <c r="F154" t="s">
        <v>568</v>
      </c>
      <c r="H154">
        <v>3027.6</v>
      </c>
      <c r="I154">
        <v>0</v>
      </c>
      <c r="J154" t="s">
        <v>115</v>
      </c>
      <c r="N154" s="14" t="s">
        <v>572</v>
      </c>
    </row>
    <row r="155" spans="1:14" x14ac:dyDescent="0.3">
      <c r="A155" t="s">
        <v>573</v>
      </c>
      <c r="B155" t="s">
        <v>574</v>
      </c>
      <c r="C155" t="s">
        <v>88</v>
      </c>
      <c r="D155" t="s">
        <v>214</v>
      </c>
      <c r="E155" t="s">
        <v>215</v>
      </c>
      <c r="F155" t="s">
        <v>568</v>
      </c>
      <c r="H155">
        <v>626.4</v>
      </c>
      <c r="I155">
        <v>0</v>
      </c>
      <c r="J155" t="s">
        <v>115</v>
      </c>
      <c r="N155" s="14" t="s">
        <v>575</v>
      </c>
    </row>
    <row r="156" spans="1:14" x14ac:dyDescent="0.3">
      <c r="A156" t="s">
        <v>576</v>
      </c>
      <c r="B156" t="s">
        <v>577</v>
      </c>
      <c r="C156" t="s">
        <v>88</v>
      </c>
      <c r="D156" t="s">
        <v>214</v>
      </c>
      <c r="E156" t="s">
        <v>215</v>
      </c>
      <c r="F156" t="s">
        <v>568</v>
      </c>
      <c r="H156">
        <v>174</v>
      </c>
      <c r="I156">
        <v>0</v>
      </c>
      <c r="J156" t="s">
        <v>115</v>
      </c>
      <c r="N156" s="14" t="s">
        <v>578</v>
      </c>
    </row>
    <row r="157" spans="1:14" x14ac:dyDescent="0.3">
      <c r="A157" t="s">
        <v>579</v>
      </c>
      <c r="B157" t="s">
        <v>580</v>
      </c>
      <c r="C157" t="s">
        <v>455</v>
      </c>
      <c r="D157" t="s">
        <v>214</v>
      </c>
      <c r="E157" t="s">
        <v>215</v>
      </c>
      <c r="F157" t="s">
        <v>568</v>
      </c>
      <c r="H157">
        <v>5225</v>
      </c>
      <c r="I157">
        <v>0</v>
      </c>
      <c r="J157" t="s">
        <v>115</v>
      </c>
      <c r="N157" s="14" t="s">
        <v>581</v>
      </c>
    </row>
    <row r="158" spans="1:14" x14ac:dyDescent="0.3">
      <c r="A158" t="s">
        <v>582</v>
      </c>
      <c r="B158" t="s">
        <v>583</v>
      </c>
      <c r="C158" t="s">
        <v>183</v>
      </c>
      <c r="D158" t="s">
        <v>214</v>
      </c>
      <c r="E158" t="s">
        <v>215</v>
      </c>
      <c r="F158" t="s">
        <v>568</v>
      </c>
      <c r="H158">
        <v>8143.2</v>
      </c>
      <c r="I158">
        <v>0</v>
      </c>
      <c r="J158" t="s">
        <v>115</v>
      </c>
      <c r="N158" s="14" t="s">
        <v>584</v>
      </c>
    </row>
    <row r="159" spans="1:14" x14ac:dyDescent="0.3">
      <c r="A159" t="s">
        <v>585</v>
      </c>
      <c r="B159" t="s">
        <v>586</v>
      </c>
      <c r="C159" t="s">
        <v>183</v>
      </c>
      <c r="D159" t="s">
        <v>214</v>
      </c>
      <c r="E159" t="s">
        <v>215</v>
      </c>
      <c r="F159" t="s">
        <v>568</v>
      </c>
      <c r="H159">
        <v>305370</v>
      </c>
      <c r="I159">
        <v>0</v>
      </c>
      <c r="J159" t="s">
        <v>92</v>
      </c>
      <c r="N159" s="14" t="s">
        <v>587</v>
      </c>
    </row>
    <row r="160" spans="1:14" x14ac:dyDescent="0.3">
      <c r="A160" t="s">
        <v>588</v>
      </c>
      <c r="B160" t="s">
        <v>589</v>
      </c>
      <c r="C160" t="s">
        <v>88</v>
      </c>
      <c r="D160" t="s">
        <v>214</v>
      </c>
      <c r="E160" t="s">
        <v>215</v>
      </c>
      <c r="F160" t="s">
        <v>568</v>
      </c>
      <c r="H160">
        <v>820</v>
      </c>
      <c r="I160">
        <v>0</v>
      </c>
      <c r="J160" t="s">
        <v>115</v>
      </c>
      <c r="N160" s="14" t="s">
        <v>590</v>
      </c>
    </row>
    <row r="161" spans="1:14" x14ac:dyDescent="0.3">
      <c r="A161" t="s">
        <v>591</v>
      </c>
      <c r="B161" t="s">
        <v>592</v>
      </c>
      <c r="C161" t="s">
        <v>88</v>
      </c>
      <c r="D161" t="s">
        <v>214</v>
      </c>
      <c r="E161" t="s">
        <v>215</v>
      </c>
      <c r="F161" t="s">
        <v>593</v>
      </c>
      <c r="H161">
        <v>2133.33</v>
      </c>
      <c r="I161">
        <v>0</v>
      </c>
      <c r="J161" t="s">
        <v>115</v>
      </c>
      <c r="N161" s="14" t="s">
        <v>594</v>
      </c>
    </row>
    <row r="162" spans="1:14" x14ac:dyDescent="0.3">
      <c r="A162" t="s">
        <v>595</v>
      </c>
      <c r="B162" t="s">
        <v>596</v>
      </c>
      <c r="C162" t="s">
        <v>88</v>
      </c>
      <c r="D162" t="s">
        <v>597</v>
      </c>
      <c r="E162" t="s">
        <v>598</v>
      </c>
      <c r="F162" t="s">
        <v>91</v>
      </c>
      <c r="G162" t="s">
        <v>599</v>
      </c>
      <c r="H162">
        <v>2392.5</v>
      </c>
      <c r="I162">
        <v>5</v>
      </c>
      <c r="J162" t="s">
        <v>115</v>
      </c>
      <c r="N162" s="14" t="s">
        <v>600</v>
      </c>
    </row>
    <row r="163" spans="1:14" x14ac:dyDescent="0.3">
      <c r="A163" t="s">
        <v>601</v>
      </c>
      <c r="B163" t="s">
        <v>602</v>
      </c>
      <c r="C163" t="s">
        <v>88</v>
      </c>
      <c r="D163" t="s">
        <v>597</v>
      </c>
      <c r="E163" t="s">
        <v>598</v>
      </c>
      <c r="F163" t="s">
        <v>91</v>
      </c>
      <c r="G163" t="s">
        <v>599</v>
      </c>
      <c r="H163">
        <v>2704.48</v>
      </c>
      <c r="I163">
        <v>5</v>
      </c>
      <c r="J163" t="s">
        <v>115</v>
      </c>
      <c r="N163" s="14" t="s">
        <v>603</v>
      </c>
    </row>
    <row r="164" spans="1:14" x14ac:dyDescent="0.3">
      <c r="A164" t="s">
        <v>604</v>
      </c>
      <c r="B164" t="s">
        <v>605</v>
      </c>
      <c r="C164" t="s">
        <v>88</v>
      </c>
      <c r="D164" t="s">
        <v>597</v>
      </c>
      <c r="E164" t="s">
        <v>598</v>
      </c>
      <c r="F164" t="s">
        <v>91</v>
      </c>
      <c r="G164" t="s">
        <v>599</v>
      </c>
      <c r="H164">
        <v>2035.8</v>
      </c>
      <c r="I164">
        <v>5</v>
      </c>
      <c r="J164" t="s">
        <v>115</v>
      </c>
      <c r="N164" s="14" t="s">
        <v>606</v>
      </c>
    </row>
    <row r="165" spans="1:14" x14ac:dyDescent="0.3">
      <c r="A165" t="s">
        <v>607</v>
      </c>
      <c r="B165" t="s">
        <v>608</v>
      </c>
      <c r="C165" t="s">
        <v>237</v>
      </c>
      <c r="D165" t="s">
        <v>597</v>
      </c>
      <c r="E165" t="s">
        <v>598</v>
      </c>
      <c r="F165" t="s">
        <v>91</v>
      </c>
      <c r="G165" t="s">
        <v>599</v>
      </c>
      <c r="H165">
        <v>9787.5</v>
      </c>
      <c r="I165">
        <v>5</v>
      </c>
      <c r="J165" t="s">
        <v>115</v>
      </c>
      <c r="N165" s="14" t="s">
        <v>609</v>
      </c>
    </row>
    <row r="166" spans="1:14" x14ac:dyDescent="0.3">
      <c r="A166" t="s">
        <v>610</v>
      </c>
      <c r="B166" t="s">
        <v>611</v>
      </c>
      <c r="C166" t="s">
        <v>241</v>
      </c>
      <c r="D166" t="s">
        <v>597</v>
      </c>
      <c r="E166" t="s">
        <v>598</v>
      </c>
      <c r="F166" t="s">
        <v>91</v>
      </c>
      <c r="H166">
        <v>1045</v>
      </c>
      <c r="I166">
        <v>0</v>
      </c>
      <c r="J166" t="s">
        <v>92</v>
      </c>
      <c r="N166" s="14" t="s">
        <v>612</v>
      </c>
    </row>
    <row r="167" spans="1:14" x14ac:dyDescent="0.3">
      <c r="A167" t="s">
        <v>613</v>
      </c>
      <c r="B167" t="s">
        <v>614</v>
      </c>
      <c r="C167" t="s">
        <v>241</v>
      </c>
      <c r="D167" t="s">
        <v>597</v>
      </c>
      <c r="E167" t="s">
        <v>598</v>
      </c>
      <c r="F167" t="s">
        <v>91</v>
      </c>
      <c r="H167">
        <v>2090</v>
      </c>
      <c r="I167">
        <v>0</v>
      </c>
      <c r="J167" t="s">
        <v>92</v>
      </c>
      <c r="N167" s="14" t="s">
        <v>615</v>
      </c>
    </row>
    <row r="168" spans="1:14" x14ac:dyDescent="0.3">
      <c r="A168" t="s">
        <v>616</v>
      </c>
      <c r="B168" t="s">
        <v>617</v>
      </c>
      <c r="C168" t="s">
        <v>88</v>
      </c>
      <c r="D168" t="s">
        <v>597</v>
      </c>
      <c r="E168" t="s">
        <v>598</v>
      </c>
      <c r="F168" t="s">
        <v>91</v>
      </c>
      <c r="G168" t="s">
        <v>618</v>
      </c>
      <c r="H168">
        <v>1722.6</v>
      </c>
      <c r="I168">
        <v>5</v>
      </c>
      <c r="J168" t="s">
        <v>115</v>
      </c>
      <c r="N168" s="14" t="s">
        <v>619</v>
      </c>
    </row>
    <row r="169" spans="1:14" x14ac:dyDescent="0.3">
      <c r="A169" t="s">
        <v>620</v>
      </c>
      <c r="B169" t="s">
        <v>621</v>
      </c>
      <c r="C169" t="s">
        <v>88</v>
      </c>
      <c r="D169" t="s">
        <v>597</v>
      </c>
      <c r="E169" t="s">
        <v>598</v>
      </c>
      <c r="F169" t="s">
        <v>91</v>
      </c>
      <c r="G169" t="s">
        <v>618</v>
      </c>
      <c r="H169">
        <v>1894.86</v>
      </c>
      <c r="I169">
        <v>5</v>
      </c>
      <c r="J169" t="s">
        <v>115</v>
      </c>
      <c r="N169" s="14" t="s">
        <v>622</v>
      </c>
    </row>
    <row r="170" spans="1:14" x14ac:dyDescent="0.3">
      <c r="A170" t="s">
        <v>623</v>
      </c>
      <c r="B170" t="s">
        <v>624</v>
      </c>
      <c r="C170" t="s">
        <v>88</v>
      </c>
      <c r="D170" t="s">
        <v>597</v>
      </c>
      <c r="E170" t="s">
        <v>598</v>
      </c>
      <c r="F170" t="s">
        <v>91</v>
      </c>
      <c r="G170" t="s">
        <v>618</v>
      </c>
      <c r="H170">
        <v>1305.22</v>
      </c>
      <c r="I170">
        <v>5</v>
      </c>
      <c r="J170" t="s">
        <v>115</v>
      </c>
      <c r="N170" s="14" t="s">
        <v>625</v>
      </c>
    </row>
    <row r="171" spans="1:14" x14ac:dyDescent="0.3">
      <c r="A171" t="s">
        <v>626</v>
      </c>
      <c r="B171" t="s">
        <v>624</v>
      </c>
      <c r="C171" t="s">
        <v>88</v>
      </c>
      <c r="D171" t="s">
        <v>597</v>
      </c>
      <c r="E171" t="s">
        <v>598</v>
      </c>
      <c r="F171" t="s">
        <v>91</v>
      </c>
      <c r="G171" t="s">
        <v>618</v>
      </c>
      <c r="H171">
        <v>1515.98</v>
      </c>
      <c r="I171">
        <v>5</v>
      </c>
      <c r="J171" t="s">
        <v>115</v>
      </c>
      <c r="N171" s="14" t="s">
        <v>627</v>
      </c>
    </row>
    <row r="172" spans="1:14" x14ac:dyDescent="0.3">
      <c r="A172" t="s">
        <v>628</v>
      </c>
      <c r="B172" t="s">
        <v>629</v>
      </c>
      <c r="C172" t="s">
        <v>88</v>
      </c>
      <c r="D172" t="s">
        <v>597</v>
      </c>
      <c r="E172" t="s">
        <v>598</v>
      </c>
      <c r="F172" t="s">
        <v>91</v>
      </c>
      <c r="G172" t="s">
        <v>618</v>
      </c>
      <c r="H172">
        <v>1357.2</v>
      </c>
      <c r="I172">
        <v>5</v>
      </c>
      <c r="J172" t="s">
        <v>115</v>
      </c>
      <c r="N172" s="14" t="s">
        <v>630</v>
      </c>
    </row>
    <row r="173" spans="1:14" x14ac:dyDescent="0.3">
      <c r="A173" t="s">
        <v>631</v>
      </c>
      <c r="B173" t="s">
        <v>632</v>
      </c>
      <c r="C173" t="s">
        <v>88</v>
      </c>
      <c r="D173" t="s">
        <v>597</v>
      </c>
      <c r="E173" t="s">
        <v>598</v>
      </c>
      <c r="F173" t="s">
        <v>91</v>
      </c>
      <c r="G173" t="s">
        <v>618</v>
      </c>
      <c r="H173">
        <v>1305</v>
      </c>
      <c r="I173">
        <v>5</v>
      </c>
      <c r="J173" t="s">
        <v>115</v>
      </c>
      <c r="N173" s="14" t="s">
        <v>633</v>
      </c>
    </row>
    <row r="174" spans="1:14" x14ac:dyDescent="0.3">
      <c r="A174" t="s">
        <v>634</v>
      </c>
      <c r="B174" t="s">
        <v>635</v>
      </c>
      <c r="C174" t="s">
        <v>88</v>
      </c>
      <c r="D174" t="s">
        <v>597</v>
      </c>
      <c r="E174" t="s">
        <v>598</v>
      </c>
      <c r="F174" t="s">
        <v>91</v>
      </c>
      <c r="G174" t="s">
        <v>636</v>
      </c>
      <c r="H174">
        <v>106.14</v>
      </c>
      <c r="I174">
        <v>5</v>
      </c>
      <c r="J174" t="s">
        <v>115</v>
      </c>
      <c r="N174" s="14" t="s">
        <v>637</v>
      </c>
    </row>
    <row r="175" spans="1:14" x14ac:dyDescent="0.3">
      <c r="A175" t="s">
        <v>638</v>
      </c>
      <c r="B175" t="s">
        <v>639</v>
      </c>
      <c r="C175" t="s">
        <v>88</v>
      </c>
      <c r="D175" t="s">
        <v>597</v>
      </c>
      <c r="E175" t="s">
        <v>598</v>
      </c>
      <c r="F175" t="s">
        <v>91</v>
      </c>
      <c r="H175">
        <v>977.08</v>
      </c>
      <c r="I175">
        <v>0</v>
      </c>
      <c r="J175" t="s">
        <v>115</v>
      </c>
      <c r="N175" s="14" t="s">
        <v>640</v>
      </c>
    </row>
    <row r="176" spans="1:14" x14ac:dyDescent="0.3">
      <c r="A176" t="s">
        <v>641</v>
      </c>
      <c r="B176" t="s">
        <v>642</v>
      </c>
      <c r="C176" t="s">
        <v>241</v>
      </c>
      <c r="D176" t="s">
        <v>597</v>
      </c>
      <c r="E176" t="s">
        <v>598</v>
      </c>
      <c r="F176" t="s">
        <v>91</v>
      </c>
      <c r="G176" t="s">
        <v>599</v>
      </c>
      <c r="H176">
        <v>616.1</v>
      </c>
      <c r="I176">
        <v>5</v>
      </c>
      <c r="J176" t="s">
        <v>115</v>
      </c>
      <c r="N176" s="14" t="s">
        <v>643</v>
      </c>
    </row>
    <row r="177" spans="1:14" x14ac:dyDescent="0.3">
      <c r="A177" t="s">
        <v>644</v>
      </c>
      <c r="B177" t="s">
        <v>645</v>
      </c>
      <c r="C177" t="s">
        <v>241</v>
      </c>
      <c r="D177" t="s">
        <v>597</v>
      </c>
      <c r="E177" t="s">
        <v>598</v>
      </c>
      <c r="F177" t="s">
        <v>91</v>
      </c>
      <c r="H177">
        <v>585.20000000000005</v>
      </c>
      <c r="I177">
        <v>0</v>
      </c>
      <c r="J177" t="s">
        <v>115</v>
      </c>
      <c r="N177" s="14" t="s">
        <v>646</v>
      </c>
    </row>
    <row r="178" spans="1:14" x14ac:dyDescent="0.3">
      <c r="A178" t="s">
        <v>647</v>
      </c>
      <c r="B178" t="s">
        <v>648</v>
      </c>
      <c r="C178" t="s">
        <v>237</v>
      </c>
      <c r="D178" t="s">
        <v>597</v>
      </c>
      <c r="E178" t="s">
        <v>598</v>
      </c>
      <c r="F178" t="s">
        <v>91</v>
      </c>
      <c r="G178" t="s">
        <v>599</v>
      </c>
      <c r="H178">
        <v>25414.48</v>
      </c>
      <c r="I178">
        <v>5</v>
      </c>
      <c r="J178" t="s">
        <v>92</v>
      </c>
      <c r="N178" s="14" t="s">
        <v>649</v>
      </c>
    </row>
    <row r="179" spans="1:14" x14ac:dyDescent="0.3">
      <c r="A179" t="s">
        <v>650</v>
      </c>
      <c r="B179" t="s">
        <v>651</v>
      </c>
      <c r="C179" t="s">
        <v>237</v>
      </c>
      <c r="D179" t="s">
        <v>597</v>
      </c>
      <c r="E179" t="s">
        <v>598</v>
      </c>
      <c r="F179" t="s">
        <v>91</v>
      </c>
      <c r="H179">
        <v>31115.45</v>
      </c>
      <c r="I179">
        <v>0</v>
      </c>
      <c r="J179" t="s">
        <v>92</v>
      </c>
      <c r="N179" s="14" t="s">
        <v>652</v>
      </c>
    </row>
    <row r="180" spans="1:14" x14ac:dyDescent="0.3">
      <c r="A180" t="s">
        <v>653</v>
      </c>
      <c r="B180" t="s">
        <v>654</v>
      </c>
      <c r="C180" t="s">
        <v>88</v>
      </c>
      <c r="D180" t="s">
        <v>597</v>
      </c>
      <c r="E180" t="s">
        <v>598</v>
      </c>
      <c r="F180" t="s">
        <v>91</v>
      </c>
      <c r="H180">
        <v>500.21</v>
      </c>
      <c r="I180">
        <v>0</v>
      </c>
      <c r="J180" t="s">
        <v>115</v>
      </c>
      <c r="N180" s="14" t="s">
        <v>655</v>
      </c>
    </row>
    <row r="181" spans="1:14" x14ac:dyDescent="0.3">
      <c r="A181" t="s">
        <v>656</v>
      </c>
      <c r="B181" t="s">
        <v>657</v>
      </c>
      <c r="C181" t="s">
        <v>237</v>
      </c>
      <c r="D181" t="s">
        <v>597</v>
      </c>
      <c r="E181" t="s">
        <v>598</v>
      </c>
      <c r="F181" t="s">
        <v>91</v>
      </c>
      <c r="H181">
        <v>12214.8</v>
      </c>
      <c r="I181">
        <v>0</v>
      </c>
      <c r="J181" t="s">
        <v>115</v>
      </c>
      <c r="N181" s="14" t="s">
        <v>658</v>
      </c>
    </row>
    <row r="182" spans="1:14" x14ac:dyDescent="0.3">
      <c r="A182" t="s">
        <v>659</v>
      </c>
      <c r="B182" t="s">
        <v>660</v>
      </c>
      <c r="C182" t="s">
        <v>237</v>
      </c>
      <c r="D182" t="s">
        <v>597</v>
      </c>
      <c r="E182" t="s">
        <v>598</v>
      </c>
      <c r="F182" t="s">
        <v>91</v>
      </c>
      <c r="G182" t="s">
        <v>599</v>
      </c>
      <c r="H182">
        <v>10521.32</v>
      </c>
      <c r="I182">
        <v>5</v>
      </c>
      <c r="J182" t="s">
        <v>115</v>
      </c>
      <c r="N182" s="14" t="s">
        <v>661</v>
      </c>
    </row>
    <row r="183" spans="1:14" x14ac:dyDescent="0.3">
      <c r="A183" t="s">
        <v>662</v>
      </c>
      <c r="B183" t="s">
        <v>663</v>
      </c>
      <c r="C183" t="s">
        <v>664</v>
      </c>
      <c r="D183" t="s">
        <v>597</v>
      </c>
      <c r="E183" t="s">
        <v>598</v>
      </c>
      <c r="F183" t="s">
        <v>91</v>
      </c>
      <c r="H183">
        <v>76.37</v>
      </c>
      <c r="I183">
        <v>0</v>
      </c>
      <c r="J183" t="s">
        <v>115</v>
      </c>
      <c r="N183" s="14" t="s">
        <v>665</v>
      </c>
    </row>
    <row r="184" spans="1:14" x14ac:dyDescent="0.3">
      <c r="A184" t="s">
        <v>666</v>
      </c>
      <c r="B184" t="s">
        <v>667</v>
      </c>
      <c r="C184" t="s">
        <v>664</v>
      </c>
      <c r="D184" t="s">
        <v>597</v>
      </c>
      <c r="E184" t="s">
        <v>598</v>
      </c>
      <c r="F184" t="s">
        <v>91</v>
      </c>
      <c r="H184">
        <v>78.959999999999994</v>
      </c>
      <c r="I184">
        <v>0</v>
      </c>
      <c r="J184" t="s">
        <v>115</v>
      </c>
      <c r="N184" s="14" t="s">
        <v>668</v>
      </c>
    </row>
    <row r="185" spans="1:14" x14ac:dyDescent="0.3">
      <c r="A185" t="s">
        <v>669</v>
      </c>
      <c r="B185" t="s">
        <v>670</v>
      </c>
      <c r="C185" t="s">
        <v>664</v>
      </c>
      <c r="D185" t="s">
        <v>597</v>
      </c>
      <c r="E185" t="s">
        <v>598</v>
      </c>
      <c r="F185" t="s">
        <v>91</v>
      </c>
      <c r="H185">
        <v>134.85</v>
      </c>
      <c r="I185">
        <v>0</v>
      </c>
      <c r="J185" t="s">
        <v>115</v>
      </c>
      <c r="N185" s="14" t="s">
        <v>671</v>
      </c>
    </row>
    <row r="186" spans="1:14" x14ac:dyDescent="0.3">
      <c r="A186" t="s">
        <v>672</v>
      </c>
      <c r="B186" t="s">
        <v>673</v>
      </c>
      <c r="C186" t="s">
        <v>664</v>
      </c>
      <c r="D186" t="s">
        <v>597</v>
      </c>
      <c r="E186" t="s">
        <v>598</v>
      </c>
      <c r="F186" t="s">
        <v>91</v>
      </c>
      <c r="H186">
        <v>174</v>
      </c>
      <c r="I186">
        <v>0</v>
      </c>
      <c r="J186" t="s">
        <v>115</v>
      </c>
      <c r="N186" s="14" t="s">
        <v>674</v>
      </c>
    </row>
    <row r="187" spans="1:14" x14ac:dyDescent="0.3">
      <c r="A187" t="s">
        <v>675</v>
      </c>
      <c r="B187" t="s">
        <v>676</v>
      </c>
      <c r="C187" t="s">
        <v>88</v>
      </c>
      <c r="D187" t="s">
        <v>597</v>
      </c>
      <c r="E187" t="s">
        <v>598</v>
      </c>
      <c r="F187" t="s">
        <v>91</v>
      </c>
      <c r="H187">
        <v>560</v>
      </c>
      <c r="I187">
        <v>0</v>
      </c>
      <c r="J187" t="s">
        <v>115</v>
      </c>
      <c r="N187" s="14" t="s">
        <v>677</v>
      </c>
    </row>
    <row r="188" spans="1:14" x14ac:dyDescent="0.3">
      <c r="A188" t="s">
        <v>678</v>
      </c>
      <c r="B188" t="s">
        <v>679</v>
      </c>
      <c r="C188" t="s">
        <v>183</v>
      </c>
      <c r="D188" t="s">
        <v>597</v>
      </c>
      <c r="E188" t="s">
        <v>598</v>
      </c>
      <c r="F188" t="s">
        <v>91</v>
      </c>
      <c r="G188" t="s">
        <v>618</v>
      </c>
      <c r="H188">
        <v>3063.98</v>
      </c>
      <c r="I188">
        <v>5</v>
      </c>
      <c r="J188" t="s">
        <v>115</v>
      </c>
      <c r="N188" s="14" t="s">
        <v>680</v>
      </c>
    </row>
    <row r="189" spans="1:14" x14ac:dyDescent="0.3">
      <c r="A189" t="s">
        <v>681</v>
      </c>
      <c r="B189" t="s">
        <v>682</v>
      </c>
      <c r="C189" t="s">
        <v>88</v>
      </c>
      <c r="D189" t="s">
        <v>597</v>
      </c>
      <c r="E189" t="s">
        <v>598</v>
      </c>
      <c r="F189" t="s">
        <v>91</v>
      </c>
      <c r="H189">
        <v>115.13</v>
      </c>
      <c r="I189">
        <v>0</v>
      </c>
      <c r="J189" t="s">
        <v>115</v>
      </c>
      <c r="N189" s="14" t="s">
        <v>683</v>
      </c>
    </row>
    <row r="190" spans="1:14" x14ac:dyDescent="0.3">
      <c r="A190" t="s">
        <v>684</v>
      </c>
      <c r="B190" t="s">
        <v>685</v>
      </c>
      <c r="C190" t="s">
        <v>241</v>
      </c>
      <c r="D190" t="s">
        <v>597</v>
      </c>
      <c r="E190" t="s">
        <v>598</v>
      </c>
      <c r="F190" t="s">
        <v>91</v>
      </c>
      <c r="H190">
        <v>490.94</v>
      </c>
      <c r="I190">
        <v>0</v>
      </c>
      <c r="J190" t="s">
        <v>92</v>
      </c>
      <c r="N190" s="14" t="s">
        <v>686</v>
      </c>
    </row>
    <row r="191" spans="1:14" x14ac:dyDescent="0.3">
      <c r="A191" t="s">
        <v>687</v>
      </c>
      <c r="B191" t="s">
        <v>688</v>
      </c>
      <c r="C191" t="s">
        <v>183</v>
      </c>
      <c r="D191" t="s">
        <v>597</v>
      </c>
      <c r="E191" t="s">
        <v>598</v>
      </c>
      <c r="F191" t="s">
        <v>91</v>
      </c>
      <c r="H191">
        <v>1788.72</v>
      </c>
      <c r="I191">
        <v>0</v>
      </c>
      <c r="J191" t="s">
        <v>115</v>
      </c>
      <c r="N191" s="14" t="s">
        <v>689</v>
      </c>
    </row>
    <row r="192" spans="1:14" x14ac:dyDescent="0.3">
      <c r="A192" t="s">
        <v>690</v>
      </c>
      <c r="B192" t="s">
        <v>691</v>
      </c>
      <c r="C192" t="s">
        <v>183</v>
      </c>
      <c r="D192" t="s">
        <v>597</v>
      </c>
      <c r="E192" t="s">
        <v>598</v>
      </c>
      <c r="F192" t="s">
        <v>91</v>
      </c>
      <c r="H192">
        <v>2401.1999999999998</v>
      </c>
      <c r="I192">
        <v>0</v>
      </c>
      <c r="J192" t="s">
        <v>115</v>
      </c>
      <c r="N192" s="14" t="s">
        <v>692</v>
      </c>
    </row>
    <row r="193" spans="1:14" x14ac:dyDescent="0.3">
      <c r="A193" t="s">
        <v>693</v>
      </c>
      <c r="B193" t="s">
        <v>694</v>
      </c>
      <c r="C193" t="s">
        <v>183</v>
      </c>
      <c r="D193" t="s">
        <v>597</v>
      </c>
      <c r="E193" t="s">
        <v>598</v>
      </c>
      <c r="F193" t="s">
        <v>91</v>
      </c>
      <c r="H193">
        <v>2554.3200000000002</v>
      </c>
      <c r="I193">
        <v>0</v>
      </c>
      <c r="J193" t="s">
        <v>115</v>
      </c>
      <c r="N193" s="14" t="s">
        <v>695</v>
      </c>
    </row>
    <row r="194" spans="1:14" x14ac:dyDescent="0.3">
      <c r="A194" t="s">
        <v>696</v>
      </c>
      <c r="B194" t="s">
        <v>697</v>
      </c>
      <c r="C194" t="s">
        <v>183</v>
      </c>
      <c r="D194" t="s">
        <v>597</v>
      </c>
      <c r="E194" t="s">
        <v>598</v>
      </c>
      <c r="F194" t="s">
        <v>91</v>
      </c>
      <c r="H194">
        <v>2924.94</v>
      </c>
      <c r="I194">
        <v>0</v>
      </c>
      <c r="J194" t="s">
        <v>115</v>
      </c>
      <c r="N194" s="14" t="s">
        <v>698</v>
      </c>
    </row>
    <row r="195" spans="1:14" x14ac:dyDescent="0.3">
      <c r="A195" t="s">
        <v>699</v>
      </c>
      <c r="B195" t="s">
        <v>700</v>
      </c>
      <c r="C195" t="s">
        <v>241</v>
      </c>
      <c r="D195" t="s">
        <v>597</v>
      </c>
      <c r="E195" t="s">
        <v>598</v>
      </c>
      <c r="F195" t="s">
        <v>91</v>
      </c>
      <c r="G195" t="s">
        <v>618</v>
      </c>
      <c r="H195">
        <v>1733.48</v>
      </c>
      <c r="I195">
        <v>5</v>
      </c>
      <c r="J195" t="s">
        <v>115</v>
      </c>
      <c r="N195" s="14" t="s">
        <v>701</v>
      </c>
    </row>
    <row r="196" spans="1:14" x14ac:dyDescent="0.3">
      <c r="A196" t="s">
        <v>702</v>
      </c>
      <c r="B196" t="s">
        <v>703</v>
      </c>
      <c r="C196" t="s">
        <v>88</v>
      </c>
      <c r="D196" t="s">
        <v>597</v>
      </c>
      <c r="E196" t="s">
        <v>598</v>
      </c>
      <c r="F196" t="s">
        <v>254</v>
      </c>
      <c r="H196">
        <v>3065.04</v>
      </c>
      <c r="I196">
        <v>0</v>
      </c>
      <c r="J196" t="s">
        <v>115</v>
      </c>
      <c r="N196" s="14" t="s">
        <v>704</v>
      </c>
    </row>
    <row r="197" spans="1:14" x14ac:dyDescent="0.3">
      <c r="A197" t="s">
        <v>705</v>
      </c>
      <c r="B197" t="s">
        <v>706</v>
      </c>
      <c r="C197" t="s">
        <v>88</v>
      </c>
      <c r="D197" t="s">
        <v>597</v>
      </c>
      <c r="E197" t="s">
        <v>598</v>
      </c>
      <c r="F197" t="s">
        <v>254</v>
      </c>
      <c r="G197" t="s">
        <v>707</v>
      </c>
      <c r="H197">
        <v>2210.33</v>
      </c>
      <c r="I197">
        <v>5</v>
      </c>
      <c r="J197" t="s">
        <v>115</v>
      </c>
      <c r="N197" s="14" t="s">
        <v>708</v>
      </c>
    </row>
    <row r="198" spans="1:14" x14ac:dyDescent="0.3">
      <c r="A198" t="s">
        <v>709</v>
      </c>
      <c r="B198" t="s">
        <v>710</v>
      </c>
      <c r="C198" t="s">
        <v>88</v>
      </c>
      <c r="D198" t="s">
        <v>597</v>
      </c>
      <c r="E198" t="s">
        <v>598</v>
      </c>
      <c r="F198" t="s">
        <v>254</v>
      </c>
      <c r="G198" t="s">
        <v>707</v>
      </c>
      <c r="H198">
        <v>2197.3200000000002</v>
      </c>
      <c r="I198">
        <v>5</v>
      </c>
      <c r="J198" t="s">
        <v>115</v>
      </c>
      <c r="N198" s="14" t="s">
        <v>711</v>
      </c>
    </row>
    <row r="199" spans="1:14" x14ac:dyDescent="0.3">
      <c r="A199" t="s">
        <v>712</v>
      </c>
      <c r="B199" t="s">
        <v>713</v>
      </c>
      <c r="C199" t="s">
        <v>88</v>
      </c>
      <c r="D199" t="s">
        <v>597</v>
      </c>
      <c r="E199" t="s">
        <v>598</v>
      </c>
      <c r="F199" t="s">
        <v>254</v>
      </c>
      <c r="H199">
        <v>1650</v>
      </c>
      <c r="I199">
        <v>0</v>
      </c>
      <c r="J199" t="s">
        <v>115</v>
      </c>
      <c r="N199" s="14" t="s">
        <v>714</v>
      </c>
    </row>
    <row r="200" spans="1:14" x14ac:dyDescent="0.3">
      <c r="A200" t="s">
        <v>715</v>
      </c>
      <c r="B200" t="s">
        <v>716</v>
      </c>
      <c r="C200" t="s">
        <v>88</v>
      </c>
      <c r="D200" t="s">
        <v>597</v>
      </c>
      <c r="E200" t="s">
        <v>598</v>
      </c>
      <c r="F200" t="s">
        <v>254</v>
      </c>
      <c r="G200" t="s">
        <v>707</v>
      </c>
      <c r="H200">
        <v>5637.6</v>
      </c>
      <c r="I200">
        <v>5</v>
      </c>
      <c r="J200" t="s">
        <v>115</v>
      </c>
      <c r="N200" s="14" t="s">
        <v>717</v>
      </c>
    </row>
    <row r="201" spans="1:14" x14ac:dyDescent="0.3">
      <c r="A201" t="s">
        <v>718</v>
      </c>
      <c r="B201" t="s">
        <v>719</v>
      </c>
      <c r="C201" t="s">
        <v>88</v>
      </c>
      <c r="D201" t="s">
        <v>597</v>
      </c>
      <c r="E201" t="s">
        <v>598</v>
      </c>
      <c r="F201" t="s">
        <v>254</v>
      </c>
      <c r="G201" t="s">
        <v>720</v>
      </c>
      <c r="H201">
        <v>8143.2</v>
      </c>
      <c r="I201">
        <v>5</v>
      </c>
      <c r="J201" t="s">
        <v>115</v>
      </c>
      <c r="N201" s="14" t="s">
        <v>721</v>
      </c>
    </row>
    <row r="202" spans="1:14" x14ac:dyDescent="0.3">
      <c r="A202" t="s">
        <v>722</v>
      </c>
      <c r="B202" t="s">
        <v>723</v>
      </c>
      <c r="C202" t="s">
        <v>183</v>
      </c>
      <c r="D202" t="s">
        <v>597</v>
      </c>
      <c r="E202" t="s">
        <v>598</v>
      </c>
      <c r="F202" t="s">
        <v>254</v>
      </c>
      <c r="G202" t="s">
        <v>724</v>
      </c>
      <c r="H202">
        <v>720.36</v>
      </c>
      <c r="I202">
        <v>5</v>
      </c>
      <c r="J202" t="s">
        <v>115</v>
      </c>
      <c r="N202" s="14" t="s">
        <v>725</v>
      </c>
    </row>
    <row r="203" spans="1:14" x14ac:dyDescent="0.3">
      <c r="A203" t="s">
        <v>726</v>
      </c>
      <c r="B203" t="s">
        <v>727</v>
      </c>
      <c r="C203" t="s">
        <v>183</v>
      </c>
      <c r="D203" t="s">
        <v>597</v>
      </c>
      <c r="E203" t="s">
        <v>598</v>
      </c>
      <c r="F203" t="s">
        <v>254</v>
      </c>
      <c r="H203">
        <v>250.56</v>
      </c>
      <c r="I203">
        <v>0</v>
      </c>
      <c r="J203" t="s">
        <v>115</v>
      </c>
      <c r="N203" s="14" t="s">
        <v>728</v>
      </c>
    </row>
    <row r="204" spans="1:14" x14ac:dyDescent="0.3">
      <c r="A204" t="s">
        <v>729</v>
      </c>
      <c r="B204" t="s">
        <v>730</v>
      </c>
      <c r="C204" t="s">
        <v>88</v>
      </c>
      <c r="D204" t="s">
        <v>597</v>
      </c>
      <c r="E204" t="s">
        <v>598</v>
      </c>
      <c r="F204" t="s">
        <v>303</v>
      </c>
      <c r="H204">
        <v>87</v>
      </c>
      <c r="I204">
        <v>0</v>
      </c>
      <c r="J204" t="s">
        <v>115</v>
      </c>
      <c r="N204" s="14" t="s">
        <v>731</v>
      </c>
    </row>
    <row r="205" spans="1:14" x14ac:dyDescent="0.3">
      <c r="A205" t="s">
        <v>732</v>
      </c>
      <c r="B205" t="s">
        <v>733</v>
      </c>
      <c r="C205" t="s">
        <v>88</v>
      </c>
      <c r="D205" t="s">
        <v>597</v>
      </c>
      <c r="E205" t="s">
        <v>598</v>
      </c>
      <c r="F205" t="s">
        <v>303</v>
      </c>
      <c r="H205">
        <v>143.55000000000001</v>
      </c>
      <c r="I205">
        <v>0</v>
      </c>
      <c r="J205" t="s">
        <v>115</v>
      </c>
      <c r="N205" s="14" t="s">
        <v>734</v>
      </c>
    </row>
    <row r="206" spans="1:14" x14ac:dyDescent="0.3">
      <c r="A206" t="s">
        <v>735</v>
      </c>
      <c r="B206" t="s">
        <v>736</v>
      </c>
      <c r="C206" t="s">
        <v>88</v>
      </c>
      <c r="D206" t="s">
        <v>597</v>
      </c>
      <c r="E206" t="s">
        <v>598</v>
      </c>
      <c r="F206" t="s">
        <v>303</v>
      </c>
      <c r="H206">
        <v>530.66</v>
      </c>
      <c r="I206">
        <v>0</v>
      </c>
      <c r="J206" t="s">
        <v>115</v>
      </c>
      <c r="N206" s="14" t="s">
        <v>737</v>
      </c>
    </row>
    <row r="207" spans="1:14" x14ac:dyDescent="0.3">
      <c r="A207" t="s">
        <v>738</v>
      </c>
      <c r="B207" t="s">
        <v>739</v>
      </c>
      <c r="C207" t="s">
        <v>88</v>
      </c>
      <c r="D207" t="s">
        <v>597</v>
      </c>
      <c r="E207" t="s">
        <v>598</v>
      </c>
      <c r="F207" t="s">
        <v>303</v>
      </c>
      <c r="H207">
        <v>531.53</v>
      </c>
      <c r="I207">
        <v>0</v>
      </c>
      <c r="J207" t="s">
        <v>115</v>
      </c>
      <c r="N207" s="14" t="s">
        <v>740</v>
      </c>
    </row>
    <row r="208" spans="1:14" x14ac:dyDescent="0.3">
      <c r="A208" t="s">
        <v>741</v>
      </c>
      <c r="B208" t="s">
        <v>742</v>
      </c>
      <c r="C208" t="s">
        <v>88</v>
      </c>
      <c r="D208" t="s">
        <v>597</v>
      </c>
      <c r="E208" t="s">
        <v>598</v>
      </c>
      <c r="F208" t="s">
        <v>303</v>
      </c>
      <c r="H208">
        <v>532.4</v>
      </c>
      <c r="I208">
        <v>0</v>
      </c>
      <c r="J208" t="s">
        <v>115</v>
      </c>
      <c r="N208" s="14" t="s">
        <v>743</v>
      </c>
    </row>
    <row r="209" spans="1:14" x14ac:dyDescent="0.3">
      <c r="A209" t="s">
        <v>744</v>
      </c>
      <c r="B209" t="s">
        <v>745</v>
      </c>
      <c r="C209" t="s">
        <v>88</v>
      </c>
      <c r="D209" t="s">
        <v>597</v>
      </c>
      <c r="E209" t="s">
        <v>598</v>
      </c>
      <c r="F209" t="s">
        <v>303</v>
      </c>
      <c r="H209">
        <v>75.2</v>
      </c>
      <c r="I209">
        <v>0</v>
      </c>
      <c r="J209" t="s">
        <v>115</v>
      </c>
      <c r="N209" s="14" t="s">
        <v>746</v>
      </c>
    </row>
    <row r="210" spans="1:14" x14ac:dyDescent="0.3">
      <c r="A210" t="s">
        <v>747</v>
      </c>
      <c r="B210" t="s">
        <v>748</v>
      </c>
      <c r="C210" t="s">
        <v>88</v>
      </c>
      <c r="D210" t="s">
        <v>597</v>
      </c>
      <c r="E210" t="s">
        <v>598</v>
      </c>
      <c r="F210" t="s">
        <v>303</v>
      </c>
      <c r="G210" t="s">
        <v>749</v>
      </c>
      <c r="H210">
        <v>350</v>
      </c>
      <c r="I210">
        <v>5</v>
      </c>
      <c r="J210" t="s">
        <v>115</v>
      </c>
      <c r="N210" s="14" t="s">
        <v>750</v>
      </c>
    </row>
    <row r="211" spans="1:14" x14ac:dyDescent="0.3">
      <c r="A211" t="s">
        <v>751</v>
      </c>
      <c r="B211" t="s">
        <v>752</v>
      </c>
      <c r="C211" t="s">
        <v>88</v>
      </c>
      <c r="D211" t="s">
        <v>597</v>
      </c>
      <c r="E211" t="s">
        <v>598</v>
      </c>
      <c r="F211" t="s">
        <v>303</v>
      </c>
      <c r="G211" t="s">
        <v>753</v>
      </c>
      <c r="H211">
        <v>220</v>
      </c>
      <c r="I211">
        <v>5</v>
      </c>
      <c r="J211" t="s">
        <v>115</v>
      </c>
      <c r="N211" s="14" t="s">
        <v>754</v>
      </c>
    </row>
    <row r="212" spans="1:14" x14ac:dyDescent="0.3">
      <c r="A212" t="s">
        <v>755</v>
      </c>
      <c r="B212" t="s">
        <v>756</v>
      </c>
      <c r="C212" t="s">
        <v>88</v>
      </c>
      <c r="D212" t="s">
        <v>597</v>
      </c>
      <c r="E212" t="s">
        <v>598</v>
      </c>
      <c r="F212" t="s">
        <v>303</v>
      </c>
      <c r="H212">
        <v>977.08</v>
      </c>
      <c r="I212">
        <v>0</v>
      </c>
      <c r="J212" t="s">
        <v>115</v>
      </c>
      <c r="N212" s="14" t="s">
        <v>757</v>
      </c>
    </row>
    <row r="213" spans="1:14" x14ac:dyDescent="0.3">
      <c r="A213" t="s">
        <v>758</v>
      </c>
      <c r="B213" t="s">
        <v>759</v>
      </c>
      <c r="C213" t="s">
        <v>88</v>
      </c>
      <c r="D213" t="s">
        <v>597</v>
      </c>
      <c r="E213" t="s">
        <v>598</v>
      </c>
      <c r="F213" t="s">
        <v>303</v>
      </c>
      <c r="G213" t="s">
        <v>760</v>
      </c>
      <c r="H213">
        <v>2307.71</v>
      </c>
      <c r="I213">
        <v>5</v>
      </c>
      <c r="J213" t="s">
        <v>115</v>
      </c>
      <c r="N213" s="14" t="s">
        <v>761</v>
      </c>
    </row>
    <row r="214" spans="1:14" x14ac:dyDescent="0.3">
      <c r="A214" t="s">
        <v>762</v>
      </c>
      <c r="B214" t="s">
        <v>763</v>
      </c>
      <c r="C214" t="s">
        <v>88</v>
      </c>
      <c r="D214" t="s">
        <v>597</v>
      </c>
      <c r="E214" t="s">
        <v>598</v>
      </c>
      <c r="F214" t="s">
        <v>303</v>
      </c>
      <c r="G214" t="s">
        <v>760</v>
      </c>
      <c r="H214">
        <v>3048.05</v>
      </c>
      <c r="I214">
        <v>5</v>
      </c>
      <c r="J214" t="s">
        <v>115</v>
      </c>
      <c r="N214" s="14" t="s">
        <v>764</v>
      </c>
    </row>
    <row r="215" spans="1:14" x14ac:dyDescent="0.3">
      <c r="A215" t="s">
        <v>765</v>
      </c>
      <c r="B215" t="s">
        <v>766</v>
      </c>
      <c r="C215" t="s">
        <v>183</v>
      </c>
      <c r="D215" t="s">
        <v>597</v>
      </c>
      <c r="E215" t="s">
        <v>598</v>
      </c>
      <c r="F215" t="s">
        <v>303</v>
      </c>
      <c r="H215">
        <v>339.3</v>
      </c>
      <c r="I215">
        <v>0</v>
      </c>
      <c r="J215" t="s">
        <v>115</v>
      </c>
      <c r="N215" s="14" t="s">
        <v>767</v>
      </c>
    </row>
    <row r="216" spans="1:14" x14ac:dyDescent="0.3">
      <c r="A216" t="s">
        <v>768</v>
      </c>
      <c r="B216" t="s">
        <v>769</v>
      </c>
      <c r="C216" t="s">
        <v>241</v>
      </c>
      <c r="D216" t="s">
        <v>597</v>
      </c>
      <c r="E216" t="s">
        <v>598</v>
      </c>
      <c r="F216" t="s">
        <v>303</v>
      </c>
      <c r="H216">
        <v>297.58</v>
      </c>
      <c r="I216">
        <v>0</v>
      </c>
      <c r="J216" t="s">
        <v>115</v>
      </c>
      <c r="N216" s="14" t="s">
        <v>770</v>
      </c>
    </row>
    <row r="217" spans="1:14" x14ac:dyDescent="0.3">
      <c r="A217" t="s">
        <v>771</v>
      </c>
      <c r="B217" t="s">
        <v>772</v>
      </c>
      <c r="C217" t="s">
        <v>88</v>
      </c>
      <c r="D217" t="s">
        <v>597</v>
      </c>
      <c r="E217" t="s">
        <v>598</v>
      </c>
      <c r="F217" t="s">
        <v>303</v>
      </c>
      <c r="H217">
        <v>2926</v>
      </c>
      <c r="I217">
        <v>0</v>
      </c>
      <c r="J217" t="s">
        <v>115</v>
      </c>
      <c r="N217" s="14" t="s">
        <v>773</v>
      </c>
    </row>
    <row r="218" spans="1:14" x14ac:dyDescent="0.3">
      <c r="A218" t="s">
        <v>774</v>
      </c>
      <c r="B218" t="s">
        <v>775</v>
      </c>
      <c r="C218" t="s">
        <v>88</v>
      </c>
      <c r="D218" t="s">
        <v>597</v>
      </c>
      <c r="E218" t="s">
        <v>598</v>
      </c>
      <c r="F218" t="s">
        <v>303</v>
      </c>
      <c r="G218" t="s">
        <v>753</v>
      </c>
      <c r="H218">
        <v>475.02</v>
      </c>
      <c r="I218">
        <v>5</v>
      </c>
      <c r="J218" t="s">
        <v>115</v>
      </c>
      <c r="N218" s="14" t="s">
        <v>776</v>
      </c>
    </row>
    <row r="219" spans="1:14" x14ac:dyDescent="0.3">
      <c r="A219" t="s">
        <v>777</v>
      </c>
      <c r="B219" t="s">
        <v>778</v>
      </c>
      <c r="C219" t="s">
        <v>88</v>
      </c>
      <c r="D219" t="s">
        <v>597</v>
      </c>
      <c r="E219" t="s">
        <v>598</v>
      </c>
      <c r="F219" t="s">
        <v>303</v>
      </c>
      <c r="H219">
        <v>1289.3399999999999</v>
      </c>
      <c r="I219">
        <v>0</v>
      </c>
      <c r="J219" t="s">
        <v>115</v>
      </c>
      <c r="N219" s="14" t="s">
        <v>779</v>
      </c>
    </row>
    <row r="220" spans="1:14" x14ac:dyDescent="0.3">
      <c r="A220" t="s">
        <v>780</v>
      </c>
      <c r="B220" t="s">
        <v>781</v>
      </c>
      <c r="C220" t="s">
        <v>88</v>
      </c>
      <c r="D220" t="s">
        <v>597</v>
      </c>
      <c r="E220" t="s">
        <v>598</v>
      </c>
      <c r="F220" t="s">
        <v>303</v>
      </c>
      <c r="H220">
        <v>548.05999999999995</v>
      </c>
      <c r="I220">
        <v>0</v>
      </c>
      <c r="J220" t="s">
        <v>115</v>
      </c>
      <c r="N220" s="14" t="s">
        <v>782</v>
      </c>
    </row>
    <row r="221" spans="1:14" x14ac:dyDescent="0.3">
      <c r="A221" t="s">
        <v>783</v>
      </c>
      <c r="B221" t="s">
        <v>784</v>
      </c>
      <c r="C221" t="s">
        <v>88</v>
      </c>
      <c r="D221" t="s">
        <v>597</v>
      </c>
      <c r="E221" t="s">
        <v>598</v>
      </c>
      <c r="F221" t="s">
        <v>303</v>
      </c>
      <c r="G221" t="s">
        <v>753</v>
      </c>
      <c r="H221">
        <v>1628.64</v>
      </c>
      <c r="I221">
        <v>5</v>
      </c>
      <c r="J221" t="s">
        <v>115</v>
      </c>
      <c r="N221" s="14" t="s">
        <v>785</v>
      </c>
    </row>
    <row r="222" spans="1:14" x14ac:dyDescent="0.3">
      <c r="A222" t="s">
        <v>786</v>
      </c>
      <c r="B222" t="s">
        <v>787</v>
      </c>
      <c r="C222" t="s">
        <v>88</v>
      </c>
      <c r="D222" t="s">
        <v>597</v>
      </c>
      <c r="E222" t="s">
        <v>598</v>
      </c>
      <c r="F222" t="s">
        <v>303</v>
      </c>
      <c r="G222" t="s">
        <v>753</v>
      </c>
      <c r="H222">
        <v>474.15</v>
      </c>
      <c r="I222">
        <v>5</v>
      </c>
      <c r="J222" t="s">
        <v>115</v>
      </c>
      <c r="N222" s="14" t="s">
        <v>788</v>
      </c>
    </row>
    <row r="223" spans="1:14" x14ac:dyDescent="0.3">
      <c r="A223" t="s">
        <v>789</v>
      </c>
      <c r="B223" t="s">
        <v>790</v>
      </c>
      <c r="C223" t="s">
        <v>88</v>
      </c>
      <c r="D223" t="s">
        <v>597</v>
      </c>
      <c r="E223" t="s">
        <v>598</v>
      </c>
      <c r="F223" t="s">
        <v>303</v>
      </c>
      <c r="G223" t="s">
        <v>753</v>
      </c>
      <c r="H223">
        <v>652.5</v>
      </c>
      <c r="I223">
        <v>5</v>
      </c>
      <c r="J223" t="s">
        <v>115</v>
      </c>
      <c r="N223" s="14" t="s">
        <v>791</v>
      </c>
    </row>
    <row r="224" spans="1:14" x14ac:dyDescent="0.3">
      <c r="A224" t="s">
        <v>792</v>
      </c>
      <c r="B224" t="s">
        <v>793</v>
      </c>
      <c r="C224" t="s">
        <v>183</v>
      </c>
      <c r="D224" t="s">
        <v>597</v>
      </c>
      <c r="E224" t="s">
        <v>598</v>
      </c>
      <c r="F224" t="s">
        <v>355</v>
      </c>
      <c r="G224" t="s">
        <v>794</v>
      </c>
      <c r="H224">
        <v>5781.74</v>
      </c>
      <c r="I224">
        <v>5</v>
      </c>
      <c r="J224" t="s">
        <v>115</v>
      </c>
      <c r="N224" s="14" t="s">
        <v>795</v>
      </c>
    </row>
    <row r="225" spans="1:14" x14ac:dyDescent="0.3">
      <c r="A225" t="s">
        <v>796</v>
      </c>
      <c r="B225" t="s">
        <v>797</v>
      </c>
      <c r="C225" t="s">
        <v>183</v>
      </c>
      <c r="D225" t="s">
        <v>597</v>
      </c>
      <c r="E225" t="s">
        <v>598</v>
      </c>
      <c r="F225" t="s">
        <v>355</v>
      </c>
      <c r="G225" t="s">
        <v>794</v>
      </c>
      <c r="H225">
        <v>7892.64</v>
      </c>
      <c r="I225">
        <v>5</v>
      </c>
      <c r="J225" t="s">
        <v>115</v>
      </c>
      <c r="N225" s="14" t="s">
        <v>798</v>
      </c>
    </row>
    <row r="226" spans="1:14" x14ac:dyDescent="0.3">
      <c r="A226" t="s">
        <v>799</v>
      </c>
      <c r="B226" t="s">
        <v>800</v>
      </c>
      <c r="C226" t="s">
        <v>183</v>
      </c>
      <c r="D226" t="s">
        <v>597</v>
      </c>
      <c r="E226" t="s">
        <v>598</v>
      </c>
      <c r="F226" t="s">
        <v>355</v>
      </c>
      <c r="G226" t="s">
        <v>794</v>
      </c>
      <c r="H226">
        <v>9900</v>
      </c>
      <c r="I226">
        <v>5</v>
      </c>
      <c r="J226" t="s">
        <v>115</v>
      </c>
      <c r="N226" s="14" t="s">
        <v>801</v>
      </c>
    </row>
    <row r="227" spans="1:14" x14ac:dyDescent="0.3">
      <c r="A227" t="s">
        <v>802</v>
      </c>
      <c r="B227" t="s">
        <v>803</v>
      </c>
      <c r="C227" t="s">
        <v>183</v>
      </c>
      <c r="D227" t="s">
        <v>597</v>
      </c>
      <c r="E227" t="s">
        <v>598</v>
      </c>
      <c r="F227" t="s">
        <v>355</v>
      </c>
      <c r="G227" t="s">
        <v>804</v>
      </c>
      <c r="H227">
        <v>1280.1300000000001</v>
      </c>
      <c r="I227">
        <v>5</v>
      </c>
      <c r="J227" t="s">
        <v>115</v>
      </c>
      <c r="N227" s="14" t="s">
        <v>805</v>
      </c>
    </row>
    <row r="228" spans="1:14" x14ac:dyDescent="0.3">
      <c r="A228" t="s">
        <v>806</v>
      </c>
      <c r="B228" t="s">
        <v>803</v>
      </c>
      <c r="C228" t="s">
        <v>183</v>
      </c>
      <c r="D228" t="s">
        <v>597</v>
      </c>
      <c r="E228" t="s">
        <v>598</v>
      </c>
      <c r="F228" t="s">
        <v>355</v>
      </c>
      <c r="G228" t="s">
        <v>804</v>
      </c>
      <c r="H228">
        <v>10648.8</v>
      </c>
      <c r="I228">
        <v>5</v>
      </c>
      <c r="J228" t="s">
        <v>115</v>
      </c>
      <c r="N228" s="14" t="s">
        <v>807</v>
      </c>
    </row>
    <row r="229" spans="1:14" x14ac:dyDescent="0.3">
      <c r="A229" t="s">
        <v>808</v>
      </c>
      <c r="B229" t="s">
        <v>809</v>
      </c>
      <c r="C229" t="s">
        <v>183</v>
      </c>
      <c r="D229" t="s">
        <v>597</v>
      </c>
      <c r="E229" t="s">
        <v>598</v>
      </c>
      <c r="F229" t="s">
        <v>355</v>
      </c>
      <c r="G229" t="s">
        <v>749</v>
      </c>
      <c r="H229">
        <v>13154.4</v>
      </c>
      <c r="I229">
        <v>5</v>
      </c>
      <c r="J229" t="s">
        <v>115</v>
      </c>
      <c r="N229" s="14" t="s">
        <v>810</v>
      </c>
    </row>
    <row r="230" spans="1:14" x14ac:dyDescent="0.3">
      <c r="A230" t="s">
        <v>811</v>
      </c>
      <c r="B230" t="s">
        <v>812</v>
      </c>
      <c r="C230" t="s">
        <v>183</v>
      </c>
      <c r="D230" t="s">
        <v>597</v>
      </c>
      <c r="E230" t="s">
        <v>598</v>
      </c>
      <c r="F230" t="s">
        <v>355</v>
      </c>
      <c r="G230" t="s">
        <v>804</v>
      </c>
      <c r="H230">
        <v>1315.44</v>
      </c>
      <c r="I230">
        <v>5</v>
      </c>
      <c r="J230" t="s">
        <v>115</v>
      </c>
      <c r="N230" s="14" t="s">
        <v>813</v>
      </c>
    </row>
    <row r="231" spans="1:14" x14ac:dyDescent="0.3">
      <c r="A231" t="s">
        <v>814</v>
      </c>
      <c r="B231" t="s">
        <v>815</v>
      </c>
      <c r="C231" t="s">
        <v>183</v>
      </c>
      <c r="D231" t="s">
        <v>597</v>
      </c>
      <c r="E231" t="s">
        <v>598</v>
      </c>
      <c r="F231" t="s">
        <v>355</v>
      </c>
      <c r="G231" t="s">
        <v>816</v>
      </c>
      <c r="H231">
        <v>11901.6</v>
      </c>
      <c r="I231">
        <v>5</v>
      </c>
      <c r="J231" t="s">
        <v>92</v>
      </c>
      <c r="N231" s="14" t="s">
        <v>817</v>
      </c>
    </row>
    <row r="232" spans="1:14" x14ac:dyDescent="0.3">
      <c r="A232" t="s">
        <v>818</v>
      </c>
      <c r="B232" t="s">
        <v>819</v>
      </c>
      <c r="C232" t="s">
        <v>183</v>
      </c>
      <c r="D232" t="s">
        <v>597</v>
      </c>
      <c r="E232" t="s">
        <v>598</v>
      </c>
      <c r="F232" t="s">
        <v>355</v>
      </c>
      <c r="G232" t="s">
        <v>820</v>
      </c>
      <c r="H232">
        <v>9350</v>
      </c>
      <c r="I232">
        <v>5</v>
      </c>
      <c r="J232" t="s">
        <v>115</v>
      </c>
      <c r="N232" s="14" t="s">
        <v>821</v>
      </c>
    </row>
    <row r="233" spans="1:14" x14ac:dyDescent="0.3">
      <c r="A233" t="s">
        <v>822</v>
      </c>
      <c r="B233" t="s">
        <v>823</v>
      </c>
      <c r="C233" t="s">
        <v>183</v>
      </c>
      <c r="D233" t="s">
        <v>597</v>
      </c>
      <c r="E233" t="s">
        <v>598</v>
      </c>
      <c r="F233" t="s">
        <v>355</v>
      </c>
      <c r="G233" t="s">
        <v>820</v>
      </c>
      <c r="H233">
        <v>12069.75</v>
      </c>
      <c r="I233">
        <v>5</v>
      </c>
      <c r="J233" t="s">
        <v>115</v>
      </c>
      <c r="N233" s="14" t="s">
        <v>824</v>
      </c>
    </row>
    <row r="234" spans="1:14" x14ac:dyDescent="0.3">
      <c r="A234" t="s">
        <v>825</v>
      </c>
      <c r="B234" t="s">
        <v>826</v>
      </c>
      <c r="C234" t="s">
        <v>183</v>
      </c>
      <c r="D234" t="s">
        <v>597</v>
      </c>
      <c r="E234" t="s">
        <v>598</v>
      </c>
      <c r="F234" t="s">
        <v>355</v>
      </c>
      <c r="G234" t="s">
        <v>794</v>
      </c>
      <c r="H234">
        <v>11000</v>
      </c>
      <c r="I234">
        <v>5</v>
      </c>
      <c r="J234" t="s">
        <v>115</v>
      </c>
      <c r="N234" s="14" t="s">
        <v>827</v>
      </c>
    </row>
    <row r="235" spans="1:14" x14ac:dyDescent="0.3">
      <c r="A235" t="s">
        <v>828</v>
      </c>
      <c r="B235" t="s">
        <v>829</v>
      </c>
      <c r="C235" t="s">
        <v>183</v>
      </c>
      <c r="D235" t="s">
        <v>597</v>
      </c>
      <c r="E235" t="s">
        <v>598</v>
      </c>
      <c r="F235" t="s">
        <v>355</v>
      </c>
      <c r="G235" t="s">
        <v>830</v>
      </c>
      <c r="H235">
        <v>11880</v>
      </c>
      <c r="I235">
        <v>5</v>
      </c>
      <c r="J235" t="s">
        <v>115</v>
      </c>
      <c r="N235" s="14" t="s">
        <v>831</v>
      </c>
    </row>
    <row r="236" spans="1:14" x14ac:dyDescent="0.3">
      <c r="A236" t="s">
        <v>832</v>
      </c>
      <c r="B236" t="s">
        <v>829</v>
      </c>
      <c r="C236" t="s">
        <v>183</v>
      </c>
      <c r="D236" t="s">
        <v>597</v>
      </c>
      <c r="E236" t="s">
        <v>598</v>
      </c>
      <c r="F236" t="s">
        <v>355</v>
      </c>
      <c r="G236" t="s">
        <v>830</v>
      </c>
      <c r="H236">
        <v>13750</v>
      </c>
      <c r="I236">
        <v>5</v>
      </c>
      <c r="J236" t="s">
        <v>115</v>
      </c>
      <c r="N236" s="14" t="s">
        <v>833</v>
      </c>
    </row>
    <row r="237" spans="1:14" x14ac:dyDescent="0.3">
      <c r="A237" t="s">
        <v>834</v>
      </c>
      <c r="B237" t="s">
        <v>835</v>
      </c>
      <c r="C237" t="s">
        <v>183</v>
      </c>
      <c r="D237" t="s">
        <v>597</v>
      </c>
      <c r="E237" t="s">
        <v>598</v>
      </c>
      <c r="F237" t="s">
        <v>355</v>
      </c>
      <c r="G237" t="s">
        <v>804</v>
      </c>
      <c r="H237">
        <v>1503.36</v>
      </c>
      <c r="I237">
        <v>5</v>
      </c>
      <c r="J237" t="s">
        <v>115</v>
      </c>
      <c r="N237" s="14" t="s">
        <v>836</v>
      </c>
    </row>
    <row r="238" spans="1:14" x14ac:dyDescent="0.3">
      <c r="A238" t="s">
        <v>837</v>
      </c>
      <c r="B238" t="s">
        <v>838</v>
      </c>
      <c r="C238" t="s">
        <v>183</v>
      </c>
      <c r="D238" t="s">
        <v>597</v>
      </c>
      <c r="E238" t="s">
        <v>598</v>
      </c>
      <c r="F238" t="s">
        <v>355</v>
      </c>
      <c r="H238">
        <v>2192.4</v>
      </c>
      <c r="I238">
        <v>0</v>
      </c>
      <c r="J238" t="s">
        <v>115</v>
      </c>
      <c r="N238" s="14" t="s">
        <v>839</v>
      </c>
    </row>
    <row r="239" spans="1:14" x14ac:dyDescent="0.3">
      <c r="A239" t="s">
        <v>840</v>
      </c>
      <c r="B239" t="s">
        <v>841</v>
      </c>
      <c r="C239" t="s">
        <v>183</v>
      </c>
      <c r="D239" t="s">
        <v>597</v>
      </c>
      <c r="E239" t="s">
        <v>598</v>
      </c>
      <c r="F239" t="s">
        <v>355</v>
      </c>
      <c r="G239" t="s">
        <v>842</v>
      </c>
      <c r="H239">
        <v>7297.56</v>
      </c>
      <c r="I239">
        <v>5</v>
      </c>
      <c r="J239" t="s">
        <v>115</v>
      </c>
      <c r="N239" s="14" t="s">
        <v>843</v>
      </c>
    </row>
    <row r="240" spans="1:14" x14ac:dyDescent="0.3">
      <c r="A240" t="s">
        <v>844</v>
      </c>
      <c r="B240" t="s">
        <v>845</v>
      </c>
      <c r="C240" t="s">
        <v>183</v>
      </c>
      <c r="D240" t="s">
        <v>597</v>
      </c>
      <c r="E240" t="s">
        <v>598</v>
      </c>
      <c r="F240" t="s">
        <v>355</v>
      </c>
      <c r="G240" t="s">
        <v>804</v>
      </c>
      <c r="H240">
        <v>224.46</v>
      </c>
      <c r="I240">
        <v>5</v>
      </c>
      <c r="J240" t="s">
        <v>115</v>
      </c>
      <c r="N240" s="14" t="s">
        <v>846</v>
      </c>
    </row>
    <row r="241" spans="1:14" x14ac:dyDescent="0.3">
      <c r="A241" t="s">
        <v>847</v>
      </c>
      <c r="B241" t="s">
        <v>848</v>
      </c>
      <c r="C241" t="s">
        <v>88</v>
      </c>
      <c r="D241" t="s">
        <v>597</v>
      </c>
      <c r="E241" t="s">
        <v>598</v>
      </c>
      <c r="F241" t="s">
        <v>355</v>
      </c>
      <c r="G241" t="s">
        <v>849</v>
      </c>
      <c r="H241">
        <v>2750</v>
      </c>
      <c r="I241">
        <v>5</v>
      </c>
      <c r="J241" t="s">
        <v>115</v>
      </c>
      <c r="N241" s="14" t="s">
        <v>850</v>
      </c>
    </row>
    <row r="242" spans="1:14" x14ac:dyDescent="0.3">
      <c r="A242" t="s">
        <v>851</v>
      </c>
      <c r="B242" t="s">
        <v>852</v>
      </c>
      <c r="C242" t="s">
        <v>88</v>
      </c>
      <c r="D242" t="s">
        <v>597</v>
      </c>
      <c r="E242" t="s">
        <v>598</v>
      </c>
      <c r="F242" t="s">
        <v>355</v>
      </c>
      <c r="G242" t="s">
        <v>749</v>
      </c>
      <c r="H242">
        <v>1252.8</v>
      </c>
      <c r="I242">
        <v>5</v>
      </c>
      <c r="J242" t="s">
        <v>115</v>
      </c>
      <c r="N242" s="14" t="s">
        <v>853</v>
      </c>
    </row>
    <row r="243" spans="1:14" x14ac:dyDescent="0.3">
      <c r="A243" t="s">
        <v>854</v>
      </c>
      <c r="B243" t="s">
        <v>855</v>
      </c>
      <c r="C243" t="s">
        <v>88</v>
      </c>
      <c r="D243" t="s">
        <v>597</v>
      </c>
      <c r="E243" t="s">
        <v>598</v>
      </c>
      <c r="F243" t="s">
        <v>355</v>
      </c>
      <c r="G243" t="s">
        <v>856</v>
      </c>
      <c r="H243">
        <v>220</v>
      </c>
      <c r="I243">
        <v>5</v>
      </c>
      <c r="J243" t="s">
        <v>115</v>
      </c>
      <c r="N243" s="14" t="s">
        <v>857</v>
      </c>
    </row>
    <row r="244" spans="1:14" x14ac:dyDescent="0.3">
      <c r="A244" t="s">
        <v>858</v>
      </c>
      <c r="B244" t="s">
        <v>859</v>
      </c>
      <c r="C244" t="s">
        <v>88</v>
      </c>
      <c r="D244" t="s">
        <v>597</v>
      </c>
      <c r="E244" t="s">
        <v>598</v>
      </c>
      <c r="F244" t="s">
        <v>355</v>
      </c>
      <c r="G244" t="s">
        <v>856</v>
      </c>
      <c r="H244">
        <v>330</v>
      </c>
      <c r="I244">
        <v>5</v>
      </c>
      <c r="J244" t="s">
        <v>115</v>
      </c>
      <c r="N244" s="14" t="s">
        <v>860</v>
      </c>
    </row>
    <row r="245" spans="1:14" x14ac:dyDescent="0.3">
      <c r="A245" t="s">
        <v>861</v>
      </c>
      <c r="B245" t="s">
        <v>862</v>
      </c>
      <c r="C245" t="s">
        <v>241</v>
      </c>
      <c r="D245" t="s">
        <v>597</v>
      </c>
      <c r="E245" t="s">
        <v>598</v>
      </c>
      <c r="F245" t="s">
        <v>355</v>
      </c>
      <c r="G245" t="s">
        <v>863</v>
      </c>
      <c r="H245">
        <v>888.25</v>
      </c>
      <c r="I245">
        <v>5</v>
      </c>
      <c r="J245" t="s">
        <v>115</v>
      </c>
      <c r="N245" s="14" t="s">
        <v>864</v>
      </c>
    </row>
    <row r="246" spans="1:14" x14ac:dyDescent="0.3">
      <c r="A246" t="s">
        <v>865</v>
      </c>
      <c r="B246" t="s">
        <v>866</v>
      </c>
      <c r="C246" t="s">
        <v>241</v>
      </c>
      <c r="D246" t="s">
        <v>597</v>
      </c>
      <c r="E246" t="s">
        <v>598</v>
      </c>
      <c r="F246" t="s">
        <v>355</v>
      </c>
      <c r="G246" t="s">
        <v>749</v>
      </c>
      <c r="H246">
        <v>599.39</v>
      </c>
      <c r="I246">
        <v>5</v>
      </c>
      <c r="J246" t="s">
        <v>115</v>
      </c>
      <c r="N246" s="14" t="s">
        <v>867</v>
      </c>
    </row>
    <row r="247" spans="1:14" x14ac:dyDescent="0.3">
      <c r="A247" t="s">
        <v>868</v>
      </c>
      <c r="B247" t="s">
        <v>869</v>
      </c>
      <c r="C247" t="s">
        <v>88</v>
      </c>
      <c r="D247" t="s">
        <v>597</v>
      </c>
      <c r="E247" t="s">
        <v>598</v>
      </c>
      <c r="F247" t="s">
        <v>355</v>
      </c>
      <c r="G247" t="s">
        <v>870</v>
      </c>
      <c r="H247">
        <v>2000</v>
      </c>
      <c r="I247">
        <v>5</v>
      </c>
      <c r="J247" t="s">
        <v>115</v>
      </c>
      <c r="N247" s="14" t="s">
        <v>871</v>
      </c>
    </row>
    <row r="248" spans="1:14" x14ac:dyDescent="0.3">
      <c r="A248" t="s">
        <v>872</v>
      </c>
      <c r="B248" t="s">
        <v>873</v>
      </c>
      <c r="C248" t="s">
        <v>88</v>
      </c>
      <c r="D248" t="s">
        <v>597</v>
      </c>
      <c r="E248" t="s">
        <v>598</v>
      </c>
      <c r="F248" t="s">
        <v>355</v>
      </c>
      <c r="G248" t="s">
        <v>870</v>
      </c>
      <c r="H248">
        <v>1450</v>
      </c>
      <c r="I248">
        <v>5</v>
      </c>
      <c r="J248" t="s">
        <v>115</v>
      </c>
      <c r="N248" s="14" t="s">
        <v>874</v>
      </c>
    </row>
    <row r="249" spans="1:14" x14ac:dyDescent="0.3">
      <c r="A249" t="s">
        <v>875</v>
      </c>
      <c r="B249" t="s">
        <v>848</v>
      </c>
      <c r="C249" t="s">
        <v>88</v>
      </c>
      <c r="D249" t="s">
        <v>597</v>
      </c>
      <c r="E249" t="s">
        <v>598</v>
      </c>
      <c r="F249" t="s">
        <v>355</v>
      </c>
      <c r="G249" t="s">
        <v>849</v>
      </c>
      <c r="H249">
        <v>4384.8</v>
      </c>
      <c r="I249">
        <v>5</v>
      </c>
      <c r="J249" t="s">
        <v>115</v>
      </c>
      <c r="N249" s="14" t="s">
        <v>876</v>
      </c>
    </row>
    <row r="250" spans="1:14" x14ac:dyDescent="0.3">
      <c r="A250" t="s">
        <v>877</v>
      </c>
      <c r="B250" t="s">
        <v>878</v>
      </c>
      <c r="C250" t="s">
        <v>183</v>
      </c>
      <c r="D250" t="s">
        <v>597</v>
      </c>
      <c r="E250" t="s">
        <v>598</v>
      </c>
      <c r="F250" t="s">
        <v>355</v>
      </c>
      <c r="H250">
        <v>3758.4</v>
      </c>
      <c r="I250">
        <v>0</v>
      </c>
      <c r="J250" t="s">
        <v>115</v>
      </c>
      <c r="N250" s="14" t="s">
        <v>879</v>
      </c>
    </row>
    <row r="251" spans="1:14" x14ac:dyDescent="0.3">
      <c r="A251" t="s">
        <v>880</v>
      </c>
      <c r="B251" t="s">
        <v>881</v>
      </c>
      <c r="C251" t="s">
        <v>88</v>
      </c>
      <c r="D251" t="s">
        <v>597</v>
      </c>
      <c r="E251" t="s">
        <v>598</v>
      </c>
      <c r="F251" t="s">
        <v>380</v>
      </c>
      <c r="G251" t="s">
        <v>882</v>
      </c>
      <c r="H251">
        <v>609.83000000000004</v>
      </c>
      <c r="I251">
        <v>5</v>
      </c>
      <c r="J251" t="s">
        <v>115</v>
      </c>
      <c r="N251" s="14" t="s">
        <v>883</v>
      </c>
    </row>
    <row r="252" spans="1:14" x14ac:dyDescent="0.3">
      <c r="A252" t="s">
        <v>884</v>
      </c>
      <c r="B252" t="s">
        <v>885</v>
      </c>
      <c r="C252" t="s">
        <v>88</v>
      </c>
      <c r="D252" t="s">
        <v>597</v>
      </c>
      <c r="E252" t="s">
        <v>598</v>
      </c>
      <c r="F252" t="s">
        <v>380</v>
      </c>
      <c r="G252" t="s">
        <v>882</v>
      </c>
      <c r="H252">
        <v>610.70000000000005</v>
      </c>
      <c r="I252">
        <v>5</v>
      </c>
      <c r="J252" t="s">
        <v>115</v>
      </c>
      <c r="N252" s="14" t="s">
        <v>886</v>
      </c>
    </row>
    <row r="253" spans="1:14" x14ac:dyDescent="0.3">
      <c r="A253" t="s">
        <v>887</v>
      </c>
      <c r="B253" t="s">
        <v>888</v>
      </c>
      <c r="C253" t="s">
        <v>88</v>
      </c>
      <c r="D253" t="s">
        <v>597</v>
      </c>
      <c r="E253" t="s">
        <v>598</v>
      </c>
      <c r="F253" t="s">
        <v>380</v>
      </c>
      <c r="G253" t="s">
        <v>882</v>
      </c>
      <c r="H253">
        <v>611.57000000000005</v>
      </c>
      <c r="I253">
        <v>5</v>
      </c>
      <c r="J253" t="s">
        <v>115</v>
      </c>
      <c r="N253" s="14" t="s">
        <v>889</v>
      </c>
    </row>
    <row r="254" spans="1:14" x14ac:dyDescent="0.3">
      <c r="A254" t="s">
        <v>890</v>
      </c>
      <c r="B254" t="s">
        <v>891</v>
      </c>
      <c r="C254" t="s">
        <v>88</v>
      </c>
      <c r="D254" t="s">
        <v>597</v>
      </c>
      <c r="E254" t="s">
        <v>598</v>
      </c>
      <c r="F254" t="s">
        <v>380</v>
      </c>
      <c r="H254">
        <v>326.25</v>
      </c>
      <c r="I254">
        <v>0</v>
      </c>
      <c r="J254" t="s">
        <v>115</v>
      </c>
      <c r="N254" s="14" t="s">
        <v>892</v>
      </c>
    </row>
    <row r="255" spans="1:14" x14ac:dyDescent="0.3">
      <c r="A255" t="s">
        <v>893</v>
      </c>
      <c r="B255" t="s">
        <v>894</v>
      </c>
      <c r="C255" t="s">
        <v>88</v>
      </c>
      <c r="D255" t="s">
        <v>597</v>
      </c>
      <c r="E255" t="s">
        <v>598</v>
      </c>
      <c r="F255" t="s">
        <v>380</v>
      </c>
      <c r="G255" t="s">
        <v>882</v>
      </c>
      <c r="H255">
        <v>1934.01</v>
      </c>
      <c r="I255">
        <v>5</v>
      </c>
      <c r="J255" t="s">
        <v>115</v>
      </c>
      <c r="N255" s="14" t="s">
        <v>895</v>
      </c>
    </row>
    <row r="256" spans="1:14" x14ac:dyDescent="0.3">
      <c r="A256" t="s">
        <v>896</v>
      </c>
      <c r="B256" t="s">
        <v>897</v>
      </c>
      <c r="C256" t="s">
        <v>88</v>
      </c>
      <c r="D256" t="s">
        <v>597</v>
      </c>
      <c r="E256" t="s">
        <v>598</v>
      </c>
      <c r="F256" t="s">
        <v>380</v>
      </c>
      <c r="G256" t="s">
        <v>882</v>
      </c>
      <c r="H256">
        <v>2035.8</v>
      </c>
      <c r="I256">
        <v>5</v>
      </c>
      <c r="J256" t="s">
        <v>115</v>
      </c>
      <c r="N256" s="14" t="s">
        <v>898</v>
      </c>
    </row>
    <row r="257" spans="1:14" x14ac:dyDescent="0.3">
      <c r="A257" t="s">
        <v>899</v>
      </c>
      <c r="B257" t="s">
        <v>897</v>
      </c>
      <c r="C257" t="s">
        <v>88</v>
      </c>
      <c r="D257" t="s">
        <v>597</v>
      </c>
      <c r="E257" t="s">
        <v>598</v>
      </c>
      <c r="F257" t="s">
        <v>380</v>
      </c>
      <c r="G257" t="s">
        <v>882</v>
      </c>
      <c r="H257">
        <v>660</v>
      </c>
      <c r="I257">
        <v>5</v>
      </c>
      <c r="J257" t="s">
        <v>115</v>
      </c>
      <c r="N257" s="14" t="s">
        <v>900</v>
      </c>
    </row>
    <row r="258" spans="1:14" x14ac:dyDescent="0.3">
      <c r="A258" t="s">
        <v>901</v>
      </c>
      <c r="B258" t="s">
        <v>902</v>
      </c>
      <c r="C258" t="s">
        <v>88</v>
      </c>
      <c r="D258" t="s">
        <v>597</v>
      </c>
      <c r="E258" t="s">
        <v>598</v>
      </c>
      <c r="F258" t="s">
        <v>380</v>
      </c>
      <c r="G258" t="s">
        <v>882</v>
      </c>
      <c r="H258">
        <v>890.14</v>
      </c>
      <c r="I258">
        <v>5</v>
      </c>
      <c r="J258" t="s">
        <v>115</v>
      </c>
      <c r="N258" s="14" t="s">
        <v>903</v>
      </c>
    </row>
    <row r="259" spans="1:14" x14ac:dyDescent="0.3">
      <c r="A259" t="s">
        <v>904</v>
      </c>
      <c r="B259" t="s">
        <v>905</v>
      </c>
      <c r="C259" t="s">
        <v>88</v>
      </c>
      <c r="D259" t="s">
        <v>597</v>
      </c>
      <c r="E259" t="s">
        <v>598</v>
      </c>
      <c r="F259" t="s">
        <v>380</v>
      </c>
      <c r="H259">
        <v>2239.38</v>
      </c>
      <c r="I259">
        <v>0</v>
      </c>
      <c r="J259" t="s">
        <v>115</v>
      </c>
      <c r="N259" s="14" t="s">
        <v>906</v>
      </c>
    </row>
    <row r="260" spans="1:14" x14ac:dyDescent="0.3">
      <c r="A260" t="s">
        <v>907</v>
      </c>
      <c r="B260" t="s">
        <v>908</v>
      </c>
      <c r="C260" t="s">
        <v>88</v>
      </c>
      <c r="D260" t="s">
        <v>597</v>
      </c>
      <c r="E260" t="s">
        <v>598</v>
      </c>
      <c r="F260" t="s">
        <v>380</v>
      </c>
      <c r="G260" t="s">
        <v>882</v>
      </c>
      <c r="H260">
        <v>622.01</v>
      </c>
      <c r="I260">
        <v>5</v>
      </c>
      <c r="J260" t="s">
        <v>115</v>
      </c>
      <c r="N260" s="14" t="s">
        <v>909</v>
      </c>
    </row>
    <row r="261" spans="1:14" x14ac:dyDescent="0.3">
      <c r="A261" t="s">
        <v>910</v>
      </c>
      <c r="B261" t="s">
        <v>911</v>
      </c>
      <c r="C261" t="s">
        <v>88</v>
      </c>
      <c r="D261" t="s">
        <v>597</v>
      </c>
      <c r="E261" t="s">
        <v>598</v>
      </c>
      <c r="F261" t="s">
        <v>380</v>
      </c>
      <c r="H261">
        <v>1196.25</v>
      </c>
      <c r="I261">
        <v>0</v>
      </c>
      <c r="J261" t="s">
        <v>115</v>
      </c>
      <c r="N261" s="14" t="s">
        <v>912</v>
      </c>
    </row>
    <row r="262" spans="1:14" x14ac:dyDescent="0.3">
      <c r="A262" t="s">
        <v>913</v>
      </c>
      <c r="B262" t="s">
        <v>914</v>
      </c>
      <c r="C262" t="s">
        <v>88</v>
      </c>
      <c r="D262" t="s">
        <v>597</v>
      </c>
      <c r="E262" t="s">
        <v>598</v>
      </c>
      <c r="F262" t="s">
        <v>380</v>
      </c>
      <c r="G262" t="s">
        <v>636</v>
      </c>
      <c r="H262">
        <v>134.85</v>
      </c>
      <c r="I262">
        <v>5</v>
      </c>
      <c r="J262" t="s">
        <v>115</v>
      </c>
      <c r="N262" s="14" t="s">
        <v>915</v>
      </c>
    </row>
    <row r="263" spans="1:14" x14ac:dyDescent="0.3">
      <c r="A263" t="s">
        <v>916</v>
      </c>
      <c r="B263" t="s">
        <v>917</v>
      </c>
      <c r="C263" t="s">
        <v>88</v>
      </c>
      <c r="D263" t="s">
        <v>597</v>
      </c>
      <c r="E263" t="s">
        <v>598</v>
      </c>
      <c r="F263" t="s">
        <v>380</v>
      </c>
      <c r="H263">
        <v>625.49</v>
      </c>
      <c r="I263">
        <v>0</v>
      </c>
      <c r="J263" t="s">
        <v>115</v>
      </c>
      <c r="N263" s="14" t="s">
        <v>918</v>
      </c>
    </row>
    <row r="264" spans="1:14" x14ac:dyDescent="0.3">
      <c r="A264" t="s">
        <v>919</v>
      </c>
      <c r="B264" t="s">
        <v>920</v>
      </c>
      <c r="C264" t="s">
        <v>88</v>
      </c>
      <c r="D264" t="s">
        <v>597</v>
      </c>
      <c r="E264" t="s">
        <v>598</v>
      </c>
      <c r="F264" t="s">
        <v>380</v>
      </c>
      <c r="H264">
        <v>105.33</v>
      </c>
      <c r="I264">
        <v>0</v>
      </c>
      <c r="J264" t="s">
        <v>115</v>
      </c>
      <c r="N264" s="14" t="s">
        <v>921</v>
      </c>
    </row>
    <row r="265" spans="1:14" x14ac:dyDescent="0.3">
      <c r="A265" t="s">
        <v>922</v>
      </c>
      <c r="B265" t="s">
        <v>923</v>
      </c>
      <c r="C265" t="s">
        <v>88</v>
      </c>
      <c r="D265" t="s">
        <v>597</v>
      </c>
      <c r="E265" t="s">
        <v>598</v>
      </c>
      <c r="F265" t="s">
        <v>380</v>
      </c>
      <c r="G265" t="s">
        <v>753</v>
      </c>
      <c r="H265">
        <v>232</v>
      </c>
      <c r="I265">
        <v>5</v>
      </c>
      <c r="J265" t="s">
        <v>115</v>
      </c>
      <c r="N265" s="14" t="s">
        <v>924</v>
      </c>
    </row>
    <row r="266" spans="1:14" x14ac:dyDescent="0.3">
      <c r="A266" t="s">
        <v>925</v>
      </c>
      <c r="B266" t="s">
        <v>852</v>
      </c>
      <c r="C266" t="s">
        <v>88</v>
      </c>
      <c r="D266" t="s">
        <v>597</v>
      </c>
      <c r="E266" t="s">
        <v>598</v>
      </c>
      <c r="F266" t="s">
        <v>380</v>
      </c>
      <c r="G266" t="s">
        <v>749</v>
      </c>
      <c r="H266">
        <v>393.67</v>
      </c>
      <c r="I266">
        <v>5</v>
      </c>
      <c r="J266" t="s">
        <v>115</v>
      </c>
      <c r="N266" s="14" t="s">
        <v>926</v>
      </c>
    </row>
    <row r="267" spans="1:14" x14ac:dyDescent="0.3">
      <c r="A267" t="s">
        <v>927</v>
      </c>
      <c r="B267" t="s">
        <v>928</v>
      </c>
      <c r="C267" t="s">
        <v>183</v>
      </c>
      <c r="D267" t="s">
        <v>597</v>
      </c>
      <c r="E267" t="s">
        <v>598</v>
      </c>
      <c r="F267" t="s">
        <v>380</v>
      </c>
      <c r="H267">
        <v>1480.74</v>
      </c>
      <c r="I267">
        <v>0</v>
      </c>
      <c r="J267" t="s">
        <v>115</v>
      </c>
      <c r="N267" s="14" t="s">
        <v>929</v>
      </c>
    </row>
    <row r="268" spans="1:14" x14ac:dyDescent="0.3">
      <c r="A268" t="s">
        <v>930</v>
      </c>
      <c r="B268" t="s">
        <v>931</v>
      </c>
      <c r="C268" t="s">
        <v>183</v>
      </c>
      <c r="D268" t="s">
        <v>597</v>
      </c>
      <c r="E268" t="s">
        <v>598</v>
      </c>
      <c r="F268" t="s">
        <v>380</v>
      </c>
      <c r="H268">
        <v>1378.95</v>
      </c>
      <c r="I268">
        <v>0</v>
      </c>
      <c r="J268" t="s">
        <v>115</v>
      </c>
      <c r="N268" s="14" t="s">
        <v>932</v>
      </c>
    </row>
    <row r="269" spans="1:14" x14ac:dyDescent="0.3">
      <c r="A269" t="s">
        <v>933</v>
      </c>
      <c r="B269" t="s">
        <v>934</v>
      </c>
      <c r="C269" t="s">
        <v>88</v>
      </c>
      <c r="D269" t="s">
        <v>597</v>
      </c>
      <c r="E269" t="s">
        <v>598</v>
      </c>
      <c r="F269" t="s">
        <v>380</v>
      </c>
      <c r="H269">
        <v>217.5</v>
      </c>
      <c r="I269">
        <v>0</v>
      </c>
      <c r="J269" t="s">
        <v>115</v>
      </c>
      <c r="N269" s="14" t="s">
        <v>935</v>
      </c>
    </row>
    <row r="270" spans="1:14" x14ac:dyDescent="0.3">
      <c r="A270" t="s">
        <v>936</v>
      </c>
      <c r="B270" t="s">
        <v>937</v>
      </c>
      <c r="C270" t="s">
        <v>88</v>
      </c>
      <c r="D270" t="s">
        <v>597</v>
      </c>
      <c r="E270" t="s">
        <v>598</v>
      </c>
      <c r="F270" t="s">
        <v>380</v>
      </c>
      <c r="H270">
        <v>516.78</v>
      </c>
      <c r="I270">
        <v>0</v>
      </c>
      <c r="J270" t="s">
        <v>115</v>
      </c>
      <c r="N270" s="14" t="s">
        <v>938</v>
      </c>
    </row>
    <row r="271" spans="1:14" x14ac:dyDescent="0.3">
      <c r="A271" t="s">
        <v>939</v>
      </c>
      <c r="B271" t="s">
        <v>940</v>
      </c>
      <c r="C271" t="s">
        <v>88</v>
      </c>
      <c r="D271" t="s">
        <v>597</v>
      </c>
      <c r="E271" t="s">
        <v>598</v>
      </c>
      <c r="F271" t="s">
        <v>380</v>
      </c>
      <c r="G271" t="s">
        <v>882</v>
      </c>
      <c r="H271">
        <v>1581.22</v>
      </c>
      <c r="I271">
        <v>5</v>
      </c>
      <c r="J271" t="s">
        <v>115</v>
      </c>
      <c r="N271" s="14" t="s">
        <v>941</v>
      </c>
    </row>
    <row r="272" spans="1:14" x14ac:dyDescent="0.3">
      <c r="A272" t="s">
        <v>942</v>
      </c>
      <c r="B272" t="s">
        <v>943</v>
      </c>
      <c r="C272" t="s">
        <v>88</v>
      </c>
      <c r="D272" t="s">
        <v>597</v>
      </c>
      <c r="E272" t="s">
        <v>598</v>
      </c>
      <c r="F272" t="s">
        <v>380</v>
      </c>
      <c r="G272" t="s">
        <v>882</v>
      </c>
      <c r="H272">
        <v>221.85</v>
      </c>
      <c r="I272">
        <v>5</v>
      </c>
      <c r="J272" t="s">
        <v>115</v>
      </c>
      <c r="N272" s="14" t="s">
        <v>944</v>
      </c>
    </row>
    <row r="273" spans="1:14" x14ac:dyDescent="0.3">
      <c r="A273" t="s">
        <v>945</v>
      </c>
      <c r="B273" t="s">
        <v>946</v>
      </c>
      <c r="C273" t="s">
        <v>241</v>
      </c>
      <c r="D273" t="s">
        <v>597</v>
      </c>
      <c r="E273" t="s">
        <v>598</v>
      </c>
      <c r="F273" t="s">
        <v>380</v>
      </c>
      <c r="H273">
        <v>302.08999999999997</v>
      </c>
      <c r="I273">
        <v>0</v>
      </c>
      <c r="J273" t="s">
        <v>115</v>
      </c>
      <c r="N273" s="14" t="s">
        <v>947</v>
      </c>
    </row>
    <row r="274" spans="1:14" x14ac:dyDescent="0.3">
      <c r="A274" t="s">
        <v>948</v>
      </c>
      <c r="B274" t="s">
        <v>949</v>
      </c>
      <c r="C274" t="s">
        <v>950</v>
      </c>
      <c r="D274" t="s">
        <v>597</v>
      </c>
      <c r="E274" t="s">
        <v>598</v>
      </c>
      <c r="F274" t="s">
        <v>399</v>
      </c>
      <c r="H274">
        <v>0</v>
      </c>
      <c r="I274">
        <v>0</v>
      </c>
      <c r="J274" t="s">
        <v>115</v>
      </c>
      <c r="N274" s="14" t="s">
        <v>951</v>
      </c>
    </row>
    <row r="275" spans="1:14" x14ac:dyDescent="0.3">
      <c r="A275" t="s">
        <v>952</v>
      </c>
      <c r="B275" t="s">
        <v>953</v>
      </c>
      <c r="C275" t="s">
        <v>237</v>
      </c>
      <c r="D275" t="s">
        <v>597</v>
      </c>
      <c r="E275" t="s">
        <v>598</v>
      </c>
      <c r="F275" t="s">
        <v>399</v>
      </c>
      <c r="H275">
        <v>1306.25</v>
      </c>
      <c r="I275">
        <v>0</v>
      </c>
      <c r="J275" t="s">
        <v>115</v>
      </c>
      <c r="N275" s="14" t="s">
        <v>954</v>
      </c>
    </row>
    <row r="276" spans="1:14" x14ac:dyDescent="0.3">
      <c r="A276" t="s">
        <v>955</v>
      </c>
      <c r="B276" t="s">
        <v>956</v>
      </c>
      <c r="C276" t="s">
        <v>88</v>
      </c>
      <c r="D276" t="s">
        <v>597</v>
      </c>
      <c r="E276" t="s">
        <v>598</v>
      </c>
      <c r="F276" t="s">
        <v>399</v>
      </c>
      <c r="H276">
        <v>652.5</v>
      </c>
      <c r="I276">
        <v>0</v>
      </c>
      <c r="J276" t="s">
        <v>115</v>
      </c>
      <c r="N276" s="14" t="s">
        <v>957</v>
      </c>
    </row>
    <row r="277" spans="1:14" x14ac:dyDescent="0.3">
      <c r="A277" t="s">
        <v>958</v>
      </c>
      <c r="B277" t="s">
        <v>959</v>
      </c>
      <c r="C277" t="s">
        <v>88</v>
      </c>
      <c r="D277" t="s">
        <v>597</v>
      </c>
      <c r="E277" t="s">
        <v>598</v>
      </c>
      <c r="F277" t="s">
        <v>399</v>
      </c>
      <c r="H277">
        <v>761.25</v>
      </c>
      <c r="I277">
        <v>0</v>
      </c>
      <c r="J277" t="s">
        <v>115</v>
      </c>
      <c r="N277" s="14" t="s">
        <v>960</v>
      </c>
    </row>
    <row r="278" spans="1:14" x14ac:dyDescent="0.3">
      <c r="A278" t="s">
        <v>961</v>
      </c>
      <c r="B278" t="s">
        <v>962</v>
      </c>
      <c r="C278" t="s">
        <v>88</v>
      </c>
      <c r="D278" t="s">
        <v>597</v>
      </c>
      <c r="E278" t="s">
        <v>598</v>
      </c>
      <c r="F278" t="s">
        <v>399</v>
      </c>
      <c r="H278">
        <v>634.67999999999995</v>
      </c>
      <c r="I278">
        <v>0</v>
      </c>
      <c r="J278" t="s">
        <v>115</v>
      </c>
      <c r="N278" s="14" t="s">
        <v>963</v>
      </c>
    </row>
    <row r="279" spans="1:14" x14ac:dyDescent="0.3">
      <c r="A279" t="s">
        <v>964</v>
      </c>
      <c r="B279" t="s">
        <v>965</v>
      </c>
      <c r="C279" t="s">
        <v>88</v>
      </c>
      <c r="D279" t="s">
        <v>597</v>
      </c>
      <c r="E279" t="s">
        <v>598</v>
      </c>
      <c r="F279" t="s">
        <v>399</v>
      </c>
      <c r="H279">
        <v>172.26</v>
      </c>
      <c r="I279">
        <v>0</v>
      </c>
      <c r="J279" t="s">
        <v>115</v>
      </c>
      <c r="N279" s="14" t="s">
        <v>966</v>
      </c>
    </row>
    <row r="280" spans="1:14" x14ac:dyDescent="0.3">
      <c r="A280" t="s">
        <v>967</v>
      </c>
      <c r="B280" t="s">
        <v>968</v>
      </c>
      <c r="C280" t="s">
        <v>88</v>
      </c>
      <c r="D280" t="s">
        <v>597</v>
      </c>
      <c r="E280" t="s">
        <v>598</v>
      </c>
      <c r="F280" t="s">
        <v>399</v>
      </c>
      <c r="H280">
        <v>65.25</v>
      </c>
      <c r="I280">
        <v>0</v>
      </c>
      <c r="J280" t="s">
        <v>115</v>
      </c>
      <c r="N280" s="14" t="s">
        <v>969</v>
      </c>
    </row>
    <row r="281" spans="1:14" x14ac:dyDescent="0.3">
      <c r="A281" t="s">
        <v>970</v>
      </c>
      <c r="B281" t="s">
        <v>971</v>
      </c>
      <c r="C281" t="s">
        <v>88</v>
      </c>
      <c r="D281" t="s">
        <v>597</v>
      </c>
      <c r="E281" t="s">
        <v>598</v>
      </c>
      <c r="F281" t="s">
        <v>399</v>
      </c>
      <c r="H281">
        <v>81.430000000000007</v>
      </c>
      <c r="I281">
        <v>0</v>
      </c>
      <c r="J281" t="s">
        <v>115</v>
      </c>
      <c r="N281" s="14" t="s">
        <v>972</v>
      </c>
    </row>
    <row r="282" spans="1:14" x14ac:dyDescent="0.3">
      <c r="A282" t="s">
        <v>973</v>
      </c>
      <c r="B282" t="s">
        <v>974</v>
      </c>
      <c r="C282" t="s">
        <v>88</v>
      </c>
      <c r="D282" t="s">
        <v>597</v>
      </c>
      <c r="E282" t="s">
        <v>598</v>
      </c>
      <c r="F282" t="s">
        <v>399</v>
      </c>
      <c r="H282">
        <v>478.5</v>
      </c>
      <c r="I282">
        <v>0</v>
      </c>
      <c r="J282" t="s">
        <v>115</v>
      </c>
      <c r="N282" s="14" t="s">
        <v>975</v>
      </c>
    </row>
    <row r="283" spans="1:14" x14ac:dyDescent="0.3">
      <c r="A283" t="s">
        <v>976</v>
      </c>
      <c r="B283" t="s">
        <v>977</v>
      </c>
      <c r="C283" t="s">
        <v>88</v>
      </c>
      <c r="D283" t="s">
        <v>597</v>
      </c>
      <c r="E283" t="s">
        <v>598</v>
      </c>
      <c r="F283" t="s">
        <v>399</v>
      </c>
      <c r="H283">
        <v>0</v>
      </c>
      <c r="I283">
        <v>0</v>
      </c>
      <c r="J283" t="s">
        <v>115</v>
      </c>
      <c r="N283" s="14" t="s">
        <v>978</v>
      </c>
    </row>
    <row r="284" spans="1:14" x14ac:dyDescent="0.3">
      <c r="A284" t="s">
        <v>979</v>
      </c>
      <c r="B284" t="s">
        <v>980</v>
      </c>
      <c r="C284" t="s">
        <v>88</v>
      </c>
      <c r="D284" t="s">
        <v>597</v>
      </c>
      <c r="E284" t="s">
        <v>598</v>
      </c>
      <c r="F284" t="s">
        <v>399</v>
      </c>
      <c r="H284">
        <v>0</v>
      </c>
      <c r="I284">
        <v>0</v>
      </c>
      <c r="J284" t="s">
        <v>115</v>
      </c>
      <c r="N284" s="14" t="s">
        <v>981</v>
      </c>
    </row>
    <row r="285" spans="1:14" x14ac:dyDescent="0.3">
      <c r="A285" t="s">
        <v>982</v>
      </c>
      <c r="B285" t="s">
        <v>983</v>
      </c>
      <c r="C285" t="s">
        <v>88</v>
      </c>
      <c r="D285" t="s">
        <v>597</v>
      </c>
      <c r="E285" t="s">
        <v>598</v>
      </c>
      <c r="F285" t="s">
        <v>399</v>
      </c>
      <c r="H285">
        <v>0</v>
      </c>
      <c r="I285">
        <v>0</v>
      </c>
      <c r="J285" t="s">
        <v>115</v>
      </c>
      <c r="N285" s="14" t="s">
        <v>984</v>
      </c>
    </row>
    <row r="286" spans="1:14" x14ac:dyDescent="0.3">
      <c r="A286" t="s">
        <v>985</v>
      </c>
      <c r="B286" t="s">
        <v>986</v>
      </c>
      <c r="C286" t="s">
        <v>88</v>
      </c>
      <c r="D286" t="s">
        <v>597</v>
      </c>
      <c r="E286" t="s">
        <v>598</v>
      </c>
      <c r="F286" t="s">
        <v>399</v>
      </c>
      <c r="H286">
        <v>0</v>
      </c>
      <c r="I286">
        <v>0</v>
      </c>
      <c r="J286" t="s">
        <v>115</v>
      </c>
      <c r="N286" s="14" t="s">
        <v>987</v>
      </c>
    </row>
    <row r="287" spans="1:14" x14ac:dyDescent="0.3">
      <c r="A287" t="s">
        <v>988</v>
      </c>
      <c r="B287" t="s">
        <v>989</v>
      </c>
      <c r="C287" t="s">
        <v>237</v>
      </c>
      <c r="D287" t="s">
        <v>597</v>
      </c>
      <c r="E287" t="s">
        <v>598</v>
      </c>
      <c r="F287" t="s">
        <v>399</v>
      </c>
      <c r="H287">
        <v>0</v>
      </c>
      <c r="I287">
        <v>0</v>
      </c>
      <c r="J287" t="s">
        <v>92</v>
      </c>
      <c r="N287" s="14" t="s">
        <v>990</v>
      </c>
    </row>
    <row r="288" spans="1:14" x14ac:dyDescent="0.3">
      <c r="A288" t="s">
        <v>991</v>
      </c>
      <c r="B288" t="s">
        <v>992</v>
      </c>
      <c r="C288" t="s">
        <v>88</v>
      </c>
      <c r="D288" t="s">
        <v>597</v>
      </c>
      <c r="E288" t="s">
        <v>598</v>
      </c>
      <c r="F288" t="s">
        <v>399</v>
      </c>
      <c r="G288" t="s">
        <v>993</v>
      </c>
      <c r="H288">
        <v>0</v>
      </c>
      <c r="I288">
        <v>0</v>
      </c>
      <c r="J288" t="s">
        <v>115</v>
      </c>
      <c r="N288" s="14" t="s">
        <v>994</v>
      </c>
    </row>
    <row r="289" spans="1:14" x14ac:dyDescent="0.3">
      <c r="A289" t="s">
        <v>995</v>
      </c>
      <c r="B289" t="s">
        <v>996</v>
      </c>
      <c r="C289" t="s">
        <v>88</v>
      </c>
      <c r="D289" t="s">
        <v>597</v>
      </c>
      <c r="E289" t="s">
        <v>598</v>
      </c>
      <c r="F289" t="s">
        <v>399</v>
      </c>
      <c r="G289" t="s">
        <v>993</v>
      </c>
      <c r="H289">
        <v>0</v>
      </c>
      <c r="I289">
        <v>0</v>
      </c>
      <c r="J289" t="s">
        <v>115</v>
      </c>
      <c r="N289" s="14" t="s">
        <v>997</v>
      </c>
    </row>
    <row r="290" spans="1:14" x14ac:dyDescent="0.3">
      <c r="A290" t="s">
        <v>998</v>
      </c>
      <c r="B290" t="s">
        <v>999</v>
      </c>
      <c r="C290" t="s">
        <v>88</v>
      </c>
      <c r="D290" t="s">
        <v>597</v>
      </c>
      <c r="E290" t="s">
        <v>598</v>
      </c>
      <c r="F290" t="s">
        <v>399</v>
      </c>
      <c r="H290">
        <v>0</v>
      </c>
      <c r="I290">
        <v>0</v>
      </c>
      <c r="J290" t="s">
        <v>115</v>
      </c>
      <c r="N290" s="14" t="s">
        <v>1000</v>
      </c>
    </row>
    <row r="291" spans="1:14" x14ac:dyDescent="0.3">
      <c r="A291" t="s">
        <v>1001</v>
      </c>
      <c r="B291" t="s">
        <v>1002</v>
      </c>
      <c r="C291" t="s">
        <v>88</v>
      </c>
      <c r="D291" t="s">
        <v>597</v>
      </c>
      <c r="E291" t="s">
        <v>598</v>
      </c>
      <c r="F291" t="s">
        <v>399</v>
      </c>
      <c r="H291">
        <v>0</v>
      </c>
      <c r="I291">
        <v>0</v>
      </c>
      <c r="J291" t="s">
        <v>115</v>
      </c>
      <c r="N291" s="14" t="s">
        <v>1003</v>
      </c>
    </row>
    <row r="292" spans="1:14" x14ac:dyDescent="0.3">
      <c r="A292" t="s">
        <v>1004</v>
      </c>
      <c r="B292" t="s">
        <v>1005</v>
      </c>
      <c r="C292" t="s">
        <v>183</v>
      </c>
      <c r="D292" t="s">
        <v>597</v>
      </c>
      <c r="E292" t="s">
        <v>598</v>
      </c>
      <c r="F292" t="s">
        <v>399</v>
      </c>
      <c r="H292">
        <v>0</v>
      </c>
      <c r="I292">
        <v>0</v>
      </c>
      <c r="J292" t="s">
        <v>115</v>
      </c>
      <c r="N292" s="14" t="s">
        <v>1006</v>
      </c>
    </row>
    <row r="293" spans="1:14" x14ac:dyDescent="0.3">
      <c r="A293" t="s">
        <v>1007</v>
      </c>
      <c r="B293" t="s">
        <v>1008</v>
      </c>
      <c r="C293" t="s">
        <v>241</v>
      </c>
      <c r="D293" t="s">
        <v>597</v>
      </c>
      <c r="E293" t="s">
        <v>598</v>
      </c>
      <c r="F293" t="s">
        <v>399</v>
      </c>
      <c r="H293">
        <v>0</v>
      </c>
      <c r="I293">
        <v>0</v>
      </c>
      <c r="J293" t="s">
        <v>115</v>
      </c>
      <c r="N293" s="14" t="s">
        <v>1009</v>
      </c>
    </row>
    <row r="294" spans="1:14" x14ac:dyDescent="0.3">
      <c r="A294" t="s">
        <v>1010</v>
      </c>
      <c r="B294" t="s">
        <v>1011</v>
      </c>
      <c r="C294" t="s">
        <v>237</v>
      </c>
      <c r="D294" t="s">
        <v>597</v>
      </c>
      <c r="E294" t="s">
        <v>598</v>
      </c>
      <c r="F294" t="s">
        <v>399</v>
      </c>
      <c r="H294">
        <v>7464.6</v>
      </c>
      <c r="I294">
        <v>0</v>
      </c>
      <c r="J294" t="s">
        <v>115</v>
      </c>
      <c r="N294" s="14" t="s">
        <v>1012</v>
      </c>
    </row>
    <row r="295" spans="1:14" x14ac:dyDescent="0.3">
      <c r="A295" t="s">
        <v>1013</v>
      </c>
      <c r="B295" t="s">
        <v>1014</v>
      </c>
      <c r="C295" t="s">
        <v>241</v>
      </c>
      <c r="D295" t="s">
        <v>597</v>
      </c>
      <c r="E295" t="s">
        <v>598</v>
      </c>
      <c r="F295" t="s">
        <v>399</v>
      </c>
      <c r="H295">
        <v>407.16</v>
      </c>
      <c r="I295">
        <v>0</v>
      </c>
      <c r="J295" t="s">
        <v>115</v>
      </c>
      <c r="N295" s="14" t="s">
        <v>1015</v>
      </c>
    </row>
    <row r="296" spans="1:14" x14ac:dyDescent="0.3">
      <c r="A296" t="s">
        <v>1016</v>
      </c>
      <c r="B296" t="s">
        <v>1017</v>
      </c>
      <c r="C296" t="s">
        <v>88</v>
      </c>
      <c r="D296" t="s">
        <v>597</v>
      </c>
      <c r="E296" t="s">
        <v>598</v>
      </c>
      <c r="F296" t="s">
        <v>399</v>
      </c>
      <c r="H296">
        <v>646.37</v>
      </c>
      <c r="I296">
        <v>0</v>
      </c>
      <c r="J296" t="s">
        <v>115</v>
      </c>
      <c r="N296" s="14" t="s">
        <v>1018</v>
      </c>
    </row>
    <row r="297" spans="1:14" x14ac:dyDescent="0.3">
      <c r="A297" t="s">
        <v>1019</v>
      </c>
      <c r="B297" t="s">
        <v>1020</v>
      </c>
      <c r="C297" t="s">
        <v>88</v>
      </c>
      <c r="D297" t="s">
        <v>597</v>
      </c>
      <c r="E297" t="s">
        <v>598</v>
      </c>
      <c r="F297" t="s">
        <v>399</v>
      </c>
      <c r="G297" t="s">
        <v>1021</v>
      </c>
      <c r="H297">
        <v>8160.6</v>
      </c>
      <c r="I297">
        <v>0</v>
      </c>
      <c r="J297" t="s">
        <v>115</v>
      </c>
      <c r="N297" s="14" t="s">
        <v>1022</v>
      </c>
    </row>
    <row r="298" spans="1:14" x14ac:dyDescent="0.3">
      <c r="A298" t="s">
        <v>1023</v>
      </c>
      <c r="B298" t="s">
        <v>1024</v>
      </c>
      <c r="C298" t="s">
        <v>950</v>
      </c>
      <c r="D298" t="s">
        <v>597</v>
      </c>
      <c r="E298" t="s">
        <v>598</v>
      </c>
      <c r="F298" t="s">
        <v>399</v>
      </c>
      <c r="H298">
        <v>0</v>
      </c>
      <c r="I298">
        <v>0</v>
      </c>
      <c r="J298" t="s">
        <v>115</v>
      </c>
      <c r="N298" s="14" t="s">
        <v>1025</v>
      </c>
    </row>
    <row r="299" spans="1:14" x14ac:dyDescent="0.3">
      <c r="A299" t="s">
        <v>1026</v>
      </c>
      <c r="B299" t="s">
        <v>1027</v>
      </c>
      <c r="C299" t="s">
        <v>88</v>
      </c>
      <c r="D299" t="s">
        <v>597</v>
      </c>
      <c r="E299" t="s">
        <v>598</v>
      </c>
      <c r="F299" t="s">
        <v>399</v>
      </c>
      <c r="G299" t="s">
        <v>1028</v>
      </c>
      <c r="H299">
        <v>3048.05</v>
      </c>
      <c r="I299">
        <v>5</v>
      </c>
      <c r="J299" t="s">
        <v>115</v>
      </c>
      <c r="N299" s="14" t="s">
        <v>1029</v>
      </c>
    </row>
    <row r="300" spans="1:14" x14ac:dyDescent="0.3">
      <c r="A300" t="s">
        <v>1030</v>
      </c>
      <c r="B300" t="s">
        <v>1031</v>
      </c>
      <c r="C300" t="s">
        <v>241</v>
      </c>
      <c r="D300" t="s">
        <v>597</v>
      </c>
      <c r="E300" t="s">
        <v>598</v>
      </c>
      <c r="F300" t="s">
        <v>399</v>
      </c>
      <c r="G300" t="s">
        <v>1032</v>
      </c>
      <c r="H300">
        <v>297.58</v>
      </c>
      <c r="I300">
        <v>5</v>
      </c>
      <c r="J300" t="s">
        <v>115</v>
      </c>
      <c r="N300" s="14" t="s">
        <v>1033</v>
      </c>
    </row>
    <row r="301" spans="1:14" x14ac:dyDescent="0.3">
      <c r="A301" t="s">
        <v>1034</v>
      </c>
      <c r="B301" t="s">
        <v>1035</v>
      </c>
      <c r="C301" t="s">
        <v>241</v>
      </c>
      <c r="D301" t="s">
        <v>597</v>
      </c>
      <c r="E301" t="s">
        <v>598</v>
      </c>
      <c r="F301" t="s">
        <v>399</v>
      </c>
      <c r="G301" t="s">
        <v>1032</v>
      </c>
      <c r="H301">
        <v>330.6</v>
      </c>
      <c r="I301">
        <v>5</v>
      </c>
      <c r="J301" t="s">
        <v>115</v>
      </c>
      <c r="N301" s="14" t="s">
        <v>1036</v>
      </c>
    </row>
    <row r="302" spans="1:14" x14ac:dyDescent="0.3">
      <c r="A302" t="s">
        <v>1037</v>
      </c>
      <c r="B302" t="s">
        <v>1038</v>
      </c>
      <c r="C302" t="s">
        <v>88</v>
      </c>
      <c r="D302" t="s">
        <v>597</v>
      </c>
      <c r="E302" t="s">
        <v>598</v>
      </c>
      <c r="F302" t="s">
        <v>399</v>
      </c>
      <c r="G302" t="s">
        <v>1039</v>
      </c>
      <c r="H302">
        <v>535.91999999999996</v>
      </c>
      <c r="I302">
        <v>5</v>
      </c>
      <c r="J302" t="s">
        <v>115</v>
      </c>
      <c r="N302" s="14" t="s">
        <v>1040</v>
      </c>
    </row>
    <row r="303" spans="1:14" x14ac:dyDescent="0.3">
      <c r="A303" t="s">
        <v>1041</v>
      </c>
      <c r="B303" t="s">
        <v>1042</v>
      </c>
      <c r="C303" t="s">
        <v>241</v>
      </c>
      <c r="D303" t="s">
        <v>597</v>
      </c>
      <c r="E303" t="s">
        <v>598</v>
      </c>
      <c r="F303" t="s">
        <v>399</v>
      </c>
      <c r="G303" t="s">
        <v>1032</v>
      </c>
      <c r="H303">
        <v>387.15</v>
      </c>
      <c r="I303">
        <v>5</v>
      </c>
      <c r="J303" t="s">
        <v>115</v>
      </c>
      <c r="N303" s="14" t="s">
        <v>1043</v>
      </c>
    </row>
    <row r="304" spans="1:14" x14ac:dyDescent="0.3">
      <c r="A304" t="s">
        <v>1044</v>
      </c>
      <c r="B304" t="s">
        <v>1045</v>
      </c>
      <c r="C304" t="s">
        <v>88</v>
      </c>
      <c r="D304" t="s">
        <v>597</v>
      </c>
      <c r="E304" t="s">
        <v>598</v>
      </c>
      <c r="F304" t="s">
        <v>399</v>
      </c>
      <c r="G304" t="s">
        <v>1028</v>
      </c>
      <c r="H304">
        <v>221.85</v>
      </c>
      <c r="I304">
        <v>5</v>
      </c>
      <c r="J304" t="s">
        <v>115</v>
      </c>
      <c r="N304" s="14" t="s">
        <v>1046</v>
      </c>
    </row>
    <row r="305" spans="1:14" x14ac:dyDescent="0.3">
      <c r="A305" t="s">
        <v>1047</v>
      </c>
      <c r="B305" t="s">
        <v>1048</v>
      </c>
      <c r="C305" t="s">
        <v>88</v>
      </c>
      <c r="D305" t="s">
        <v>597</v>
      </c>
      <c r="E305" t="s">
        <v>598</v>
      </c>
      <c r="F305" t="s">
        <v>399</v>
      </c>
      <c r="G305" t="s">
        <v>1028</v>
      </c>
      <c r="H305">
        <v>543.75</v>
      </c>
      <c r="I305">
        <v>5</v>
      </c>
      <c r="J305" t="s">
        <v>115</v>
      </c>
      <c r="N305" s="14" t="s">
        <v>1049</v>
      </c>
    </row>
    <row r="306" spans="1:14" x14ac:dyDescent="0.3">
      <c r="A306" t="s">
        <v>1050</v>
      </c>
      <c r="B306" t="s">
        <v>1051</v>
      </c>
      <c r="C306" t="s">
        <v>241</v>
      </c>
      <c r="D306" t="s">
        <v>597</v>
      </c>
      <c r="E306" t="s">
        <v>598</v>
      </c>
      <c r="F306" t="s">
        <v>399</v>
      </c>
      <c r="G306" t="s">
        <v>1032</v>
      </c>
      <c r="H306">
        <v>339.3</v>
      </c>
      <c r="I306">
        <v>5</v>
      </c>
      <c r="J306" t="s">
        <v>115</v>
      </c>
      <c r="N306" s="14" t="s">
        <v>1052</v>
      </c>
    </row>
    <row r="307" spans="1:14" x14ac:dyDescent="0.3">
      <c r="A307" t="s">
        <v>1053</v>
      </c>
      <c r="B307" t="s">
        <v>1054</v>
      </c>
      <c r="C307" t="s">
        <v>241</v>
      </c>
      <c r="D307" t="s">
        <v>597</v>
      </c>
      <c r="E307" t="s">
        <v>598</v>
      </c>
      <c r="F307" t="s">
        <v>399</v>
      </c>
      <c r="G307" t="s">
        <v>1032</v>
      </c>
      <c r="H307">
        <v>380.02</v>
      </c>
      <c r="I307">
        <v>5</v>
      </c>
      <c r="J307" t="s">
        <v>115</v>
      </c>
      <c r="N307" s="14" t="s">
        <v>1055</v>
      </c>
    </row>
    <row r="308" spans="1:14" x14ac:dyDescent="0.3">
      <c r="A308" t="s">
        <v>1056</v>
      </c>
      <c r="B308" t="s">
        <v>1057</v>
      </c>
      <c r="C308" t="s">
        <v>88</v>
      </c>
      <c r="D308" t="s">
        <v>597</v>
      </c>
      <c r="E308" t="s">
        <v>598</v>
      </c>
      <c r="F308" t="s">
        <v>399</v>
      </c>
      <c r="G308" t="s">
        <v>1039</v>
      </c>
      <c r="H308">
        <v>406.29</v>
      </c>
      <c r="I308">
        <v>5</v>
      </c>
      <c r="J308" t="s">
        <v>115</v>
      </c>
      <c r="N308" s="14" t="s">
        <v>1058</v>
      </c>
    </row>
    <row r="309" spans="1:14" x14ac:dyDescent="0.3">
      <c r="A309" t="s">
        <v>1059</v>
      </c>
      <c r="B309" t="s">
        <v>1060</v>
      </c>
      <c r="C309" t="s">
        <v>241</v>
      </c>
      <c r="D309" t="s">
        <v>597</v>
      </c>
      <c r="E309" t="s">
        <v>598</v>
      </c>
      <c r="F309" t="s">
        <v>399</v>
      </c>
      <c r="G309" t="s">
        <v>1032</v>
      </c>
      <c r="H309">
        <v>317.55</v>
      </c>
      <c r="I309">
        <v>5</v>
      </c>
      <c r="J309" t="s">
        <v>115</v>
      </c>
      <c r="N309" s="14" t="s">
        <v>1061</v>
      </c>
    </row>
    <row r="310" spans="1:14" x14ac:dyDescent="0.3">
      <c r="A310" t="s">
        <v>1062</v>
      </c>
      <c r="B310" t="s">
        <v>1063</v>
      </c>
      <c r="C310" t="s">
        <v>241</v>
      </c>
      <c r="D310" t="s">
        <v>597</v>
      </c>
      <c r="E310" t="s">
        <v>598</v>
      </c>
      <c r="F310" t="s">
        <v>399</v>
      </c>
      <c r="G310" t="s">
        <v>1032</v>
      </c>
      <c r="H310">
        <v>434.3</v>
      </c>
      <c r="I310">
        <v>5</v>
      </c>
      <c r="J310" t="s">
        <v>115</v>
      </c>
      <c r="N310" s="14" t="s">
        <v>1064</v>
      </c>
    </row>
    <row r="311" spans="1:14" x14ac:dyDescent="0.3">
      <c r="A311" t="s">
        <v>1065</v>
      </c>
      <c r="B311" t="s">
        <v>1066</v>
      </c>
      <c r="C311" t="s">
        <v>88</v>
      </c>
      <c r="D311" t="s">
        <v>597</v>
      </c>
      <c r="E311" t="s">
        <v>598</v>
      </c>
      <c r="F311" t="s">
        <v>399</v>
      </c>
      <c r="G311" t="s">
        <v>1028</v>
      </c>
      <c r="H311">
        <v>3262.5</v>
      </c>
      <c r="I311">
        <v>5</v>
      </c>
      <c r="J311" t="s">
        <v>115</v>
      </c>
      <c r="N311" s="14" t="s">
        <v>1067</v>
      </c>
    </row>
    <row r="312" spans="1:14" x14ac:dyDescent="0.3">
      <c r="A312" t="s">
        <v>1068</v>
      </c>
      <c r="B312" t="s">
        <v>1069</v>
      </c>
      <c r="C312" t="s">
        <v>88</v>
      </c>
      <c r="D312" t="s">
        <v>597</v>
      </c>
      <c r="E312" t="s">
        <v>598</v>
      </c>
      <c r="F312" t="s">
        <v>399</v>
      </c>
      <c r="H312">
        <v>1746.09</v>
      </c>
      <c r="I312">
        <v>0</v>
      </c>
      <c r="J312" t="s">
        <v>115</v>
      </c>
      <c r="N312" s="14" t="s">
        <v>1070</v>
      </c>
    </row>
    <row r="313" spans="1:14" x14ac:dyDescent="0.3">
      <c r="A313" t="s">
        <v>1071</v>
      </c>
      <c r="B313" t="s">
        <v>1072</v>
      </c>
      <c r="C313" t="s">
        <v>241</v>
      </c>
      <c r="D313" t="s">
        <v>597</v>
      </c>
      <c r="E313" t="s">
        <v>598</v>
      </c>
      <c r="F313" t="s">
        <v>399</v>
      </c>
      <c r="H313">
        <v>616.1</v>
      </c>
      <c r="I313">
        <v>0</v>
      </c>
      <c r="J313" t="s">
        <v>115</v>
      </c>
      <c r="N313" s="14" t="s">
        <v>1073</v>
      </c>
    </row>
    <row r="314" spans="1:14" x14ac:dyDescent="0.3">
      <c r="A314" t="s">
        <v>1074</v>
      </c>
      <c r="B314" t="s">
        <v>1075</v>
      </c>
      <c r="C314" t="s">
        <v>241</v>
      </c>
      <c r="D314" t="s">
        <v>597</v>
      </c>
      <c r="E314" t="s">
        <v>598</v>
      </c>
      <c r="F314" t="s">
        <v>399</v>
      </c>
      <c r="H314">
        <v>528.39</v>
      </c>
      <c r="I314">
        <v>0</v>
      </c>
      <c r="J314" t="s">
        <v>115</v>
      </c>
      <c r="N314" s="14" t="s">
        <v>1076</v>
      </c>
    </row>
    <row r="315" spans="1:14" x14ac:dyDescent="0.3">
      <c r="A315" t="s">
        <v>1077</v>
      </c>
      <c r="B315" t="s">
        <v>1078</v>
      </c>
      <c r="C315" t="s">
        <v>88</v>
      </c>
      <c r="D315" t="s">
        <v>597</v>
      </c>
      <c r="E315" t="s">
        <v>598</v>
      </c>
      <c r="F315" t="s">
        <v>399</v>
      </c>
      <c r="H315">
        <v>95.7</v>
      </c>
      <c r="I315">
        <v>0</v>
      </c>
      <c r="J315" t="s">
        <v>115</v>
      </c>
      <c r="N315" s="14" t="s">
        <v>1079</v>
      </c>
    </row>
    <row r="316" spans="1:14" x14ac:dyDescent="0.3">
      <c r="A316" t="s">
        <v>1080</v>
      </c>
      <c r="B316" t="s">
        <v>1081</v>
      </c>
      <c r="C316" t="s">
        <v>88</v>
      </c>
      <c r="D316" t="s">
        <v>597</v>
      </c>
      <c r="E316" t="s">
        <v>598</v>
      </c>
      <c r="F316" t="s">
        <v>399</v>
      </c>
      <c r="H316">
        <v>67.86</v>
      </c>
      <c r="I316">
        <v>0</v>
      </c>
      <c r="J316" t="s">
        <v>115</v>
      </c>
      <c r="N316" s="14" t="s">
        <v>1082</v>
      </c>
    </row>
    <row r="317" spans="1:14" x14ac:dyDescent="0.3">
      <c r="A317" t="s">
        <v>1083</v>
      </c>
      <c r="B317" t="s">
        <v>719</v>
      </c>
      <c r="C317" t="s">
        <v>88</v>
      </c>
      <c r="D317" t="s">
        <v>597</v>
      </c>
      <c r="E317" t="s">
        <v>598</v>
      </c>
      <c r="F317" t="s">
        <v>399</v>
      </c>
      <c r="G317" t="s">
        <v>720</v>
      </c>
      <c r="H317">
        <v>1287</v>
      </c>
      <c r="I317">
        <v>5</v>
      </c>
      <c r="J317" t="s">
        <v>115</v>
      </c>
      <c r="N317" s="14" t="s">
        <v>1084</v>
      </c>
    </row>
    <row r="318" spans="1:14" x14ac:dyDescent="0.3">
      <c r="A318" t="s">
        <v>1085</v>
      </c>
      <c r="B318" t="s">
        <v>1086</v>
      </c>
      <c r="C318" t="s">
        <v>88</v>
      </c>
      <c r="D318" t="s">
        <v>597</v>
      </c>
      <c r="E318" t="s">
        <v>598</v>
      </c>
      <c r="F318" t="s">
        <v>399</v>
      </c>
      <c r="H318">
        <v>165</v>
      </c>
      <c r="I318">
        <v>0</v>
      </c>
      <c r="J318" t="s">
        <v>115</v>
      </c>
      <c r="N318" s="14" t="s">
        <v>1087</v>
      </c>
    </row>
    <row r="319" spans="1:14" x14ac:dyDescent="0.3">
      <c r="A319" t="s">
        <v>1088</v>
      </c>
      <c r="B319" t="s">
        <v>1089</v>
      </c>
      <c r="C319" t="s">
        <v>241</v>
      </c>
      <c r="D319" t="s">
        <v>597</v>
      </c>
      <c r="E319" t="s">
        <v>598</v>
      </c>
      <c r="F319" t="s">
        <v>399</v>
      </c>
      <c r="H319">
        <v>393.59</v>
      </c>
      <c r="I319">
        <v>0</v>
      </c>
      <c r="J319" t="s">
        <v>115</v>
      </c>
      <c r="N319" s="14" t="s">
        <v>1090</v>
      </c>
    </row>
    <row r="320" spans="1:14" x14ac:dyDescent="0.3">
      <c r="A320" t="s">
        <v>1091</v>
      </c>
      <c r="B320" t="s">
        <v>1092</v>
      </c>
      <c r="C320" t="s">
        <v>88</v>
      </c>
      <c r="D320" t="s">
        <v>597</v>
      </c>
      <c r="E320" t="s">
        <v>598</v>
      </c>
      <c r="F320" t="s">
        <v>399</v>
      </c>
      <c r="G320" t="s">
        <v>1093</v>
      </c>
      <c r="H320">
        <v>2030.58</v>
      </c>
      <c r="I320">
        <v>5</v>
      </c>
      <c r="J320" t="s">
        <v>115</v>
      </c>
      <c r="N320" s="14" t="s">
        <v>1094</v>
      </c>
    </row>
    <row r="321" spans="1:14" x14ac:dyDescent="0.3">
      <c r="A321" t="s">
        <v>1095</v>
      </c>
      <c r="B321" t="s">
        <v>1096</v>
      </c>
      <c r="C321" t="s">
        <v>88</v>
      </c>
      <c r="D321" t="s">
        <v>597</v>
      </c>
      <c r="E321" t="s">
        <v>598</v>
      </c>
      <c r="F321" t="s">
        <v>399</v>
      </c>
      <c r="H321">
        <v>4438.46</v>
      </c>
      <c r="I321">
        <v>0</v>
      </c>
      <c r="J321" t="s">
        <v>115</v>
      </c>
      <c r="N321" s="14" t="s">
        <v>1097</v>
      </c>
    </row>
    <row r="322" spans="1:14" x14ac:dyDescent="0.3">
      <c r="A322" t="s">
        <v>1098</v>
      </c>
      <c r="B322" t="s">
        <v>1099</v>
      </c>
      <c r="C322" t="s">
        <v>88</v>
      </c>
      <c r="D322" t="s">
        <v>597</v>
      </c>
      <c r="E322" t="s">
        <v>598</v>
      </c>
      <c r="F322" t="s">
        <v>399</v>
      </c>
      <c r="H322">
        <v>1900.08</v>
      </c>
      <c r="I322">
        <v>0</v>
      </c>
      <c r="J322" t="s">
        <v>115</v>
      </c>
      <c r="N322" s="14" t="s">
        <v>1100</v>
      </c>
    </row>
    <row r="323" spans="1:14" x14ac:dyDescent="0.3">
      <c r="A323" t="s">
        <v>1101</v>
      </c>
      <c r="B323" t="s">
        <v>1102</v>
      </c>
      <c r="C323" t="s">
        <v>88</v>
      </c>
      <c r="D323" t="s">
        <v>597</v>
      </c>
      <c r="E323" t="s">
        <v>598</v>
      </c>
      <c r="F323" t="s">
        <v>399</v>
      </c>
      <c r="G323" t="s">
        <v>993</v>
      </c>
      <c r="H323">
        <v>2015.27</v>
      </c>
      <c r="I323">
        <v>5</v>
      </c>
      <c r="J323" t="s">
        <v>115</v>
      </c>
      <c r="N323" s="14" t="s">
        <v>1103</v>
      </c>
    </row>
    <row r="324" spans="1:14" x14ac:dyDescent="0.3">
      <c r="A324" t="s">
        <v>1104</v>
      </c>
      <c r="B324" t="s">
        <v>1105</v>
      </c>
      <c r="C324" t="s">
        <v>88</v>
      </c>
      <c r="D324" t="s">
        <v>597</v>
      </c>
      <c r="E324" t="s">
        <v>598</v>
      </c>
      <c r="F324" t="s">
        <v>399</v>
      </c>
      <c r="H324">
        <v>475.02</v>
      </c>
      <c r="I324">
        <v>0</v>
      </c>
      <c r="J324" t="s">
        <v>115</v>
      </c>
      <c r="N324" s="14" t="s">
        <v>1106</v>
      </c>
    </row>
    <row r="325" spans="1:14" x14ac:dyDescent="0.3">
      <c r="A325" t="s">
        <v>1107</v>
      </c>
      <c r="B325" t="s">
        <v>1108</v>
      </c>
      <c r="C325" t="s">
        <v>183</v>
      </c>
      <c r="D325" t="s">
        <v>597</v>
      </c>
      <c r="E325" t="s">
        <v>598</v>
      </c>
      <c r="F325" t="s">
        <v>415</v>
      </c>
      <c r="G325" t="s">
        <v>816</v>
      </c>
      <c r="H325">
        <v>8143.2</v>
      </c>
      <c r="I325">
        <v>5</v>
      </c>
      <c r="J325" t="s">
        <v>115</v>
      </c>
      <c r="N325" s="14" t="s">
        <v>1109</v>
      </c>
    </row>
    <row r="326" spans="1:14" x14ac:dyDescent="0.3">
      <c r="A326" t="s">
        <v>1110</v>
      </c>
      <c r="B326" t="s">
        <v>1108</v>
      </c>
      <c r="C326" t="s">
        <v>183</v>
      </c>
      <c r="D326" t="s">
        <v>597</v>
      </c>
      <c r="E326" t="s">
        <v>598</v>
      </c>
      <c r="F326" t="s">
        <v>415</v>
      </c>
      <c r="G326" t="s">
        <v>816</v>
      </c>
      <c r="H326">
        <v>13154.4</v>
      </c>
      <c r="I326">
        <v>5</v>
      </c>
      <c r="J326" t="s">
        <v>115</v>
      </c>
      <c r="N326" s="14" t="s">
        <v>1111</v>
      </c>
    </row>
    <row r="327" spans="1:14" x14ac:dyDescent="0.3">
      <c r="A327" t="s">
        <v>1112</v>
      </c>
      <c r="B327" t="s">
        <v>1113</v>
      </c>
      <c r="C327" t="s">
        <v>183</v>
      </c>
      <c r="D327" t="s">
        <v>597</v>
      </c>
      <c r="E327" t="s">
        <v>598</v>
      </c>
      <c r="F327" t="s">
        <v>415</v>
      </c>
      <c r="G327" t="s">
        <v>816</v>
      </c>
      <c r="H327">
        <v>25056</v>
      </c>
      <c r="I327">
        <v>5</v>
      </c>
      <c r="J327" t="s">
        <v>115</v>
      </c>
      <c r="N327" s="14" t="s">
        <v>1114</v>
      </c>
    </row>
    <row r="328" spans="1:14" x14ac:dyDescent="0.3">
      <c r="A328" t="s">
        <v>1115</v>
      </c>
      <c r="B328" t="s">
        <v>1116</v>
      </c>
      <c r="C328" t="s">
        <v>183</v>
      </c>
      <c r="D328" t="s">
        <v>597</v>
      </c>
      <c r="E328" t="s">
        <v>598</v>
      </c>
      <c r="F328" t="s">
        <v>415</v>
      </c>
      <c r="G328" t="s">
        <v>804</v>
      </c>
      <c r="H328">
        <v>1879.2</v>
      </c>
      <c r="I328">
        <v>5</v>
      </c>
      <c r="J328" t="s">
        <v>115</v>
      </c>
      <c r="N328" s="14" t="s">
        <v>1117</v>
      </c>
    </row>
    <row r="329" spans="1:14" x14ac:dyDescent="0.3">
      <c r="A329" t="s">
        <v>1118</v>
      </c>
      <c r="B329" t="s">
        <v>1119</v>
      </c>
      <c r="C329" t="s">
        <v>88</v>
      </c>
      <c r="D329" t="s">
        <v>597</v>
      </c>
      <c r="E329" t="s">
        <v>598</v>
      </c>
      <c r="F329" t="s">
        <v>415</v>
      </c>
      <c r="G329" t="s">
        <v>1021</v>
      </c>
      <c r="H329">
        <v>600.5</v>
      </c>
      <c r="I329">
        <v>0</v>
      </c>
      <c r="J329" t="s">
        <v>115</v>
      </c>
      <c r="N329" s="14" t="s">
        <v>1120</v>
      </c>
    </row>
    <row r="330" spans="1:14" x14ac:dyDescent="0.3">
      <c r="A330" t="s">
        <v>1121</v>
      </c>
      <c r="B330" t="s">
        <v>1122</v>
      </c>
      <c r="C330" t="s">
        <v>88</v>
      </c>
      <c r="D330" t="s">
        <v>597</v>
      </c>
      <c r="E330" t="s">
        <v>598</v>
      </c>
      <c r="F330" t="s">
        <v>415</v>
      </c>
      <c r="G330" t="s">
        <v>1021</v>
      </c>
      <c r="H330">
        <v>814.32</v>
      </c>
      <c r="I330">
        <v>0</v>
      </c>
      <c r="J330" t="s">
        <v>115</v>
      </c>
      <c r="N330" s="14" t="s">
        <v>1123</v>
      </c>
    </row>
    <row r="331" spans="1:14" x14ac:dyDescent="0.3">
      <c r="A331" t="s">
        <v>1124</v>
      </c>
      <c r="B331" t="s">
        <v>1125</v>
      </c>
      <c r="C331" t="s">
        <v>88</v>
      </c>
      <c r="D331" t="s">
        <v>597</v>
      </c>
      <c r="E331" t="s">
        <v>598</v>
      </c>
      <c r="F331" t="s">
        <v>415</v>
      </c>
      <c r="G331" t="s">
        <v>1021</v>
      </c>
      <c r="H331">
        <v>597.11</v>
      </c>
      <c r="I331">
        <v>0</v>
      </c>
      <c r="J331" t="s">
        <v>115</v>
      </c>
      <c r="N331" s="14" t="s">
        <v>1126</v>
      </c>
    </row>
    <row r="332" spans="1:14" x14ac:dyDescent="0.3">
      <c r="A332" t="s">
        <v>1127</v>
      </c>
      <c r="B332" t="s">
        <v>1128</v>
      </c>
      <c r="C332" t="s">
        <v>88</v>
      </c>
      <c r="D332" t="s">
        <v>597</v>
      </c>
      <c r="E332" t="s">
        <v>598</v>
      </c>
      <c r="F332" t="s">
        <v>415</v>
      </c>
      <c r="G332" t="s">
        <v>1021</v>
      </c>
      <c r="H332">
        <v>583.73</v>
      </c>
      <c r="I332">
        <v>0</v>
      </c>
      <c r="J332" t="s">
        <v>115</v>
      </c>
      <c r="N332" s="14" t="s">
        <v>1129</v>
      </c>
    </row>
    <row r="333" spans="1:14" x14ac:dyDescent="0.3">
      <c r="A333" t="s">
        <v>1130</v>
      </c>
      <c r="B333" t="s">
        <v>1131</v>
      </c>
      <c r="C333" t="s">
        <v>183</v>
      </c>
      <c r="D333" t="s">
        <v>597</v>
      </c>
      <c r="E333" t="s">
        <v>598</v>
      </c>
      <c r="F333" t="s">
        <v>415</v>
      </c>
      <c r="G333" t="s">
        <v>1132</v>
      </c>
      <c r="H333">
        <v>6890.4</v>
      </c>
      <c r="I333">
        <v>5</v>
      </c>
      <c r="J333" t="s">
        <v>115</v>
      </c>
      <c r="N333" s="14" t="s">
        <v>1133</v>
      </c>
    </row>
    <row r="334" spans="1:14" x14ac:dyDescent="0.3">
      <c r="A334" t="s">
        <v>1134</v>
      </c>
      <c r="B334" t="s">
        <v>1135</v>
      </c>
      <c r="C334" t="s">
        <v>183</v>
      </c>
      <c r="D334" t="s">
        <v>597</v>
      </c>
      <c r="E334" t="s">
        <v>598</v>
      </c>
      <c r="F334" t="s">
        <v>415</v>
      </c>
      <c r="G334" t="s">
        <v>749</v>
      </c>
      <c r="H334">
        <v>4384.8</v>
      </c>
      <c r="I334">
        <v>5</v>
      </c>
      <c r="J334" t="s">
        <v>115</v>
      </c>
      <c r="N334" s="14" t="s">
        <v>1136</v>
      </c>
    </row>
    <row r="335" spans="1:14" x14ac:dyDescent="0.3">
      <c r="A335" t="s">
        <v>1137</v>
      </c>
      <c r="B335" t="s">
        <v>1138</v>
      </c>
      <c r="C335" t="s">
        <v>950</v>
      </c>
      <c r="D335" t="s">
        <v>597</v>
      </c>
      <c r="E335" t="s">
        <v>598</v>
      </c>
      <c r="F335" t="s">
        <v>415</v>
      </c>
      <c r="G335" t="s">
        <v>749</v>
      </c>
      <c r="H335">
        <v>8207.66</v>
      </c>
      <c r="I335">
        <v>5</v>
      </c>
      <c r="J335" t="s">
        <v>115</v>
      </c>
      <c r="N335" s="14" t="s">
        <v>1139</v>
      </c>
    </row>
    <row r="336" spans="1:14" x14ac:dyDescent="0.3">
      <c r="A336" t="s">
        <v>1140</v>
      </c>
      <c r="B336" t="s">
        <v>1141</v>
      </c>
      <c r="C336" t="s">
        <v>183</v>
      </c>
      <c r="D336" t="s">
        <v>597</v>
      </c>
      <c r="E336" t="s">
        <v>598</v>
      </c>
      <c r="F336" t="s">
        <v>415</v>
      </c>
      <c r="G336" t="s">
        <v>749</v>
      </c>
      <c r="H336">
        <v>9396</v>
      </c>
      <c r="I336">
        <v>5</v>
      </c>
      <c r="J336" t="s">
        <v>115</v>
      </c>
      <c r="N336" s="14" t="s">
        <v>1142</v>
      </c>
    </row>
    <row r="337" spans="1:14" x14ac:dyDescent="0.3">
      <c r="A337" t="s">
        <v>1143</v>
      </c>
      <c r="B337" t="s">
        <v>1144</v>
      </c>
      <c r="C337" t="s">
        <v>950</v>
      </c>
      <c r="D337" t="s">
        <v>597</v>
      </c>
      <c r="E337" t="s">
        <v>598</v>
      </c>
      <c r="F337" t="s">
        <v>415</v>
      </c>
      <c r="G337" t="s">
        <v>749</v>
      </c>
      <c r="H337">
        <v>8769.6</v>
      </c>
      <c r="I337">
        <v>5</v>
      </c>
      <c r="J337" t="s">
        <v>115</v>
      </c>
      <c r="N337" s="14" t="s">
        <v>1145</v>
      </c>
    </row>
    <row r="338" spans="1:14" x14ac:dyDescent="0.3">
      <c r="A338" t="s">
        <v>1146</v>
      </c>
      <c r="B338" t="s">
        <v>1147</v>
      </c>
      <c r="C338" t="s">
        <v>183</v>
      </c>
      <c r="D338" t="s">
        <v>597</v>
      </c>
      <c r="E338" t="s">
        <v>598</v>
      </c>
      <c r="F338" t="s">
        <v>415</v>
      </c>
      <c r="G338" t="s">
        <v>1132</v>
      </c>
      <c r="H338">
        <v>1711.97</v>
      </c>
      <c r="I338">
        <v>5</v>
      </c>
      <c r="J338" t="s">
        <v>115</v>
      </c>
      <c r="N338" s="14" t="s">
        <v>1148</v>
      </c>
    </row>
    <row r="339" spans="1:14" x14ac:dyDescent="0.3">
      <c r="A339" t="s">
        <v>1149</v>
      </c>
      <c r="B339" t="s">
        <v>852</v>
      </c>
      <c r="C339" t="s">
        <v>88</v>
      </c>
      <c r="D339" t="s">
        <v>597</v>
      </c>
      <c r="E339" t="s">
        <v>598</v>
      </c>
      <c r="F339" t="s">
        <v>415</v>
      </c>
      <c r="G339" t="s">
        <v>749</v>
      </c>
      <c r="H339">
        <v>3908.74</v>
      </c>
      <c r="I339">
        <v>5</v>
      </c>
      <c r="J339" t="s">
        <v>115</v>
      </c>
      <c r="N339" s="14" t="s">
        <v>1150</v>
      </c>
    </row>
    <row r="340" spans="1:14" x14ac:dyDescent="0.3">
      <c r="A340" t="s">
        <v>1151</v>
      </c>
      <c r="B340" t="s">
        <v>1152</v>
      </c>
      <c r="C340" t="s">
        <v>88</v>
      </c>
      <c r="D340" t="s">
        <v>597</v>
      </c>
      <c r="E340" t="s">
        <v>598</v>
      </c>
      <c r="F340" t="s">
        <v>415</v>
      </c>
      <c r="G340" t="s">
        <v>749</v>
      </c>
      <c r="H340">
        <v>5345.28</v>
      </c>
      <c r="I340">
        <v>5</v>
      </c>
      <c r="J340" t="s">
        <v>115</v>
      </c>
      <c r="N340" s="14" t="s">
        <v>1153</v>
      </c>
    </row>
    <row r="341" spans="1:14" x14ac:dyDescent="0.3">
      <c r="A341" t="s">
        <v>1154</v>
      </c>
      <c r="B341" t="s">
        <v>1155</v>
      </c>
      <c r="C341" t="s">
        <v>1156</v>
      </c>
      <c r="D341" t="s">
        <v>597</v>
      </c>
      <c r="E341" t="s">
        <v>598</v>
      </c>
      <c r="F341" t="s">
        <v>459</v>
      </c>
      <c r="H341">
        <v>0</v>
      </c>
      <c r="I341">
        <v>0</v>
      </c>
      <c r="J341" t="s">
        <v>115</v>
      </c>
      <c r="N341" s="14" t="s">
        <v>1157</v>
      </c>
    </row>
    <row r="342" spans="1:14" x14ac:dyDescent="0.3">
      <c r="A342" t="s">
        <v>1158</v>
      </c>
      <c r="B342" t="s">
        <v>1159</v>
      </c>
      <c r="C342" t="s">
        <v>1156</v>
      </c>
      <c r="D342" t="s">
        <v>597</v>
      </c>
      <c r="E342" t="s">
        <v>598</v>
      </c>
      <c r="F342" t="s">
        <v>459</v>
      </c>
      <c r="H342">
        <v>0</v>
      </c>
      <c r="I342">
        <v>0</v>
      </c>
      <c r="J342" t="s">
        <v>115</v>
      </c>
      <c r="N342" s="14" t="s">
        <v>1160</v>
      </c>
    </row>
    <row r="343" spans="1:14" x14ac:dyDescent="0.3">
      <c r="A343" t="s">
        <v>1161</v>
      </c>
      <c r="B343" t="s">
        <v>1162</v>
      </c>
      <c r="C343" t="s">
        <v>88</v>
      </c>
      <c r="D343" t="s">
        <v>597</v>
      </c>
      <c r="E343" t="s">
        <v>598</v>
      </c>
      <c r="F343" t="s">
        <v>459</v>
      </c>
      <c r="H343">
        <v>718.58</v>
      </c>
      <c r="I343">
        <v>0</v>
      </c>
      <c r="J343" t="s">
        <v>92</v>
      </c>
      <c r="N343" s="14" t="s">
        <v>1163</v>
      </c>
    </row>
    <row r="344" spans="1:14" x14ac:dyDescent="0.3">
      <c r="A344" t="s">
        <v>1164</v>
      </c>
      <c r="B344" t="s">
        <v>1165</v>
      </c>
      <c r="C344" t="s">
        <v>88</v>
      </c>
      <c r="D344" t="s">
        <v>597</v>
      </c>
      <c r="E344" t="s">
        <v>598</v>
      </c>
      <c r="F344" t="s">
        <v>459</v>
      </c>
      <c r="H344">
        <v>1503.36</v>
      </c>
      <c r="I344">
        <v>0</v>
      </c>
      <c r="J344" t="s">
        <v>115</v>
      </c>
      <c r="N344" s="14" t="s">
        <v>1166</v>
      </c>
    </row>
    <row r="345" spans="1:14" x14ac:dyDescent="0.3">
      <c r="A345" t="s">
        <v>1167</v>
      </c>
      <c r="B345" t="s">
        <v>1168</v>
      </c>
      <c r="C345" t="s">
        <v>88</v>
      </c>
      <c r="D345" t="s">
        <v>597</v>
      </c>
      <c r="E345" t="s">
        <v>598</v>
      </c>
      <c r="F345" t="s">
        <v>459</v>
      </c>
      <c r="H345">
        <v>2100</v>
      </c>
      <c r="I345">
        <v>0</v>
      </c>
      <c r="J345" t="s">
        <v>92</v>
      </c>
      <c r="N345" s="14" t="s">
        <v>1169</v>
      </c>
    </row>
    <row r="346" spans="1:14" x14ac:dyDescent="0.3">
      <c r="A346" t="s">
        <v>1170</v>
      </c>
      <c r="B346" t="s">
        <v>1171</v>
      </c>
      <c r="C346" t="s">
        <v>88</v>
      </c>
      <c r="D346" t="s">
        <v>597</v>
      </c>
      <c r="E346" t="s">
        <v>598</v>
      </c>
      <c r="F346" t="s">
        <v>459</v>
      </c>
      <c r="G346" t="s">
        <v>749</v>
      </c>
      <c r="H346">
        <v>382.8</v>
      </c>
      <c r="I346">
        <v>5</v>
      </c>
      <c r="J346" t="s">
        <v>115</v>
      </c>
      <c r="N346" s="14" t="s">
        <v>1172</v>
      </c>
    </row>
    <row r="347" spans="1:14" x14ac:dyDescent="0.3">
      <c r="A347" t="s">
        <v>1173</v>
      </c>
      <c r="B347" t="s">
        <v>1174</v>
      </c>
      <c r="C347" t="s">
        <v>241</v>
      </c>
      <c r="D347" t="s">
        <v>597</v>
      </c>
      <c r="E347" t="s">
        <v>598</v>
      </c>
      <c r="F347" t="s">
        <v>459</v>
      </c>
      <c r="H347">
        <v>2612.5</v>
      </c>
      <c r="I347">
        <v>0</v>
      </c>
      <c r="J347" t="s">
        <v>115</v>
      </c>
      <c r="N347" s="14" t="s">
        <v>1175</v>
      </c>
    </row>
    <row r="348" spans="1:14" x14ac:dyDescent="0.3">
      <c r="A348" t="s">
        <v>1176</v>
      </c>
      <c r="B348" t="s">
        <v>1177</v>
      </c>
      <c r="C348" t="s">
        <v>241</v>
      </c>
      <c r="D348" t="s">
        <v>597</v>
      </c>
      <c r="E348" t="s">
        <v>598</v>
      </c>
      <c r="F348" t="s">
        <v>459</v>
      </c>
      <c r="H348">
        <v>670.77</v>
      </c>
      <c r="I348">
        <v>0</v>
      </c>
      <c r="J348" t="s">
        <v>115</v>
      </c>
      <c r="N348" s="14" t="s">
        <v>1178</v>
      </c>
    </row>
    <row r="349" spans="1:14" x14ac:dyDescent="0.3">
      <c r="A349" t="s">
        <v>1179</v>
      </c>
      <c r="B349" t="s">
        <v>1180</v>
      </c>
      <c r="C349" t="s">
        <v>88</v>
      </c>
      <c r="D349" t="s">
        <v>597</v>
      </c>
      <c r="E349" t="s">
        <v>598</v>
      </c>
      <c r="F349" t="s">
        <v>459</v>
      </c>
      <c r="G349" t="s">
        <v>856</v>
      </c>
      <c r="H349">
        <v>2505.6</v>
      </c>
      <c r="I349">
        <v>5</v>
      </c>
      <c r="J349" t="s">
        <v>115</v>
      </c>
      <c r="N349" s="14" t="s">
        <v>1181</v>
      </c>
    </row>
    <row r="350" spans="1:14" x14ac:dyDescent="0.3">
      <c r="A350" t="s">
        <v>1182</v>
      </c>
      <c r="B350" t="s">
        <v>1183</v>
      </c>
      <c r="C350" t="s">
        <v>88</v>
      </c>
      <c r="D350" t="s">
        <v>597</v>
      </c>
      <c r="E350" t="s">
        <v>598</v>
      </c>
      <c r="F350" t="s">
        <v>459</v>
      </c>
      <c r="G350" t="s">
        <v>856</v>
      </c>
      <c r="H350">
        <v>1879.2</v>
      </c>
      <c r="I350">
        <v>5</v>
      </c>
      <c r="J350" t="s">
        <v>115</v>
      </c>
      <c r="N350" s="14" t="s">
        <v>1184</v>
      </c>
    </row>
    <row r="351" spans="1:14" x14ac:dyDescent="0.3">
      <c r="A351" t="s">
        <v>1185</v>
      </c>
      <c r="B351" t="s">
        <v>1186</v>
      </c>
      <c r="C351" t="s">
        <v>237</v>
      </c>
      <c r="D351" t="s">
        <v>597</v>
      </c>
      <c r="E351" t="s">
        <v>598</v>
      </c>
      <c r="F351" t="s">
        <v>459</v>
      </c>
      <c r="H351">
        <v>2035.2</v>
      </c>
      <c r="I351">
        <v>0</v>
      </c>
      <c r="J351" t="s">
        <v>115</v>
      </c>
      <c r="N351" s="14" t="s">
        <v>1187</v>
      </c>
    </row>
    <row r="352" spans="1:14" x14ac:dyDescent="0.3">
      <c r="A352" t="s">
        <v>1188</v>
      </c>
      <c r="B352" t="s">
        <v>1189</v>
      </c>
      <c r="C352" t="s">
        <v>88</v>
      </c>
      <c r="D352" t="s">
        <v>597</v>
      </c>
      <c r="E352" t="s">
        <v>598</v>
      </c>
      <c r="F352" t="s">
        <v>459</v>
      </c>
      <c r="H352">
        <v>962.5</v>
      </c>
      <c r="I352">
        <v>0</v>
      </c>
      <c r="J352" t="s">
        <v>115</v>
      </c>
      <c r="N352" s="14" t="s">
        <v>1190</v>
      </c>
    </row>
    <row r="353" spans="1:14" x14ac:dyDescent="0.3">
      <c r="A353" t="s">
        <v>1191</v>
      </c>
      <c r="B353" t="s">
        <v>1192</v>
      </c>
      <c r="C353" t="s">
        <v>455</v>
      </c>
      <c r="D353" t="s">
        <v>597</v>
      </c>
      <c r="E353" t="s">
        <v>598</v>
      </c>
      <c r="F353" t="s">
        <v>459</v>
      </c>
      <c r="H353">
        <v>125280</v>
      </c>
      <c r="I353">
        <v>0</v>
      </c>
      <c r="J353" t="s">
        <v>115</v>
      </c>
      <c r="N353" s="14" t="s">
        <v>1193</v>
      </c>
    </row>
    <row r="354" spans="1:14" x14ac:dyDescent="0.3">
      <c r="A354" t="s">
        <v>1194</v>
      </c>
      <c r="B354" t="s">
        <v>1195</v>
      </c>
      <c r="C354" t="s">
        <v>88</v>
      </c>
      <c r="D354" t="s">
        <v>597</v>
      </c>
      <c r="E354" t="s">
        <v>598</v>
      </c>
      <c r="F354" t="s">
        <v>459</v>
      </c>
      <c r="H354">
        <v>2860</v>
      </c>
      <c r="I354">
        <v>0</v>
      </c>
      <c r="J354" t="s">
        <v>115</v>
      </c>
      <c r="N354" s="14" t="s">
        <v>1196</v>
      </c>
    </row>
    <row r="355" spans="1:14" x14ac:dyDescent="0.3">
      <c r="A355" t="s">
        <v>1197</v>
      </c>
      <c r="B355" t="s">
        <v>1198</v>
      </c>
      <c r="C355" t="s">
        <v>88</v>
      </c>
      <c r="D355" t="s">
        <v>597</v>
      </c>
      <c r="E355" t="s">
        <v>598</v>
      </c>
      <c r="F355" t="s">
        <v>459</v>
      </c>
      <c r="H355">
        <v>371.49</v>
      </c>
      <c r="I355">
        <v>0</v>
      </c>
      <c r="J355" t="s">
        <v>115</v>
      </c>
      <c r="N355" s="14" t="s">
        <v>1199</v>
      </c>
    </row>
    <row r="356" spans="1:14" x14ac:dyDescent="0.3">
      <c r="A356" t="s">
        <v>1200</v>
      </c>
      <c r="B356" t="s">
        <v>1201</v>
      </c>
      <c r="C356" t="s">
        <v>88</v>
      </c>
      <c r="D356" t="s">
        <v>597</v>
      </c>
      <c r="E356" t="s">
        <v>598</v>
      </c>
      <c r="F356" t="s">
        <v>459</v>
      </c>
      <c r="H356">
        <v>63.95</v>
      </c>
      <c r="I356">
        <v>0</v>
      </c>
      <c r="J356" t="s">
        <v>115</v>
      </c>
      <c r="N356" s="14" t="s">
        <v>1202</v>
      </c>
    </row>
    <row r="357" spans="1:14" x14ac:dyDescent="0.3">
      <c r="A357" t="s">
        <v>1203</v>
      </c>
      <c r="B357" t="s">
        <v>1204</v>
      </c>
      <c r="C357" t="s">
        <v>88</v>
      </c>
      <c r="D357" t="s">
        <v>597</v>
      </c>
      <c r="E357" t="s">
        <v>598</v>
      </c>
      <c r="F357" t="s">
        <v>459</v>
      </c>
      <c r="H357">
        <v>626.4</v>
      </c>
      <c r="I357">
        <v>0</v>
      </c>
      <c r="J357" t="s">
        <v>115</v>
      </c>
      <c r="N357" s="14" t="s">
        <v>1205</v>
      </c>
    </row>
    <row r="358" spans="1:14" x14ac:dyDescent="0.3">
      <c r="A358" t="s">
        <v>1206</v>
      </c>
      <c r="B358" t="s">
        <v>1207</v>
      </c>
      <c r="C358" t="s">
        <v>183</v>
      </c>
      <c r="D358" t="s">
        <v>597</v>
      </c>
      <c r="E358" t="s">
        <v>598</v>
      </c>
      <c r="F358" t="s">
        <v>459</v>
      </c>
      <c r="H358">
        <v>730.76</v>
      </c>
      <c r="I358">
        <v>0</v>
      </c>
      <c r="J358" t="s">
        <v>115</v>
      </c>
      <c r="N358" s="14" t="s">
        <v>1208</v>
      </c>
    </row>
    <row r="359" spans="1:14" x14ac:dyDescent="0.3">
      <c r="A359" t="s">
        <v>1209</v>
      </c>
      <c r="B359" t="s">
        <v>1210</v>
      </c>
      <c r="C359" t="s">
        <v>88</v>
      </c>
      <c r="D359" t="s">
        <v>597</v>
      </c>
      <c r="E359" t="s">
        <v>598</v>
      </c>
      <c r="F359" t="s">
        <v>459</v>
      </c>
      <c r="G359" t="s">
        <v>749</v>
      </c>
      <c r="H359">
        <v>381.78</v>
      </c>
      <c r="I359">
        <v>5</v>
      </c>
      <c r="J359" t="s">
        <v>115</v>
      </c>
      <c r="N359" s="14" t="s">
        <v>1211</v>
      </c>
    </row>
    <row r="360" spans="1:14" x14ac:dyDescent="0.3">
      <c r="A360" t="s">
        <v>1212</v>
      </c>
      <c r="B360" t="s">
        <v>1213</v>
      </c>
      <c r="C360" t="s">
        <v>88</v>
      </c>
      <c r="D360" t="s">
        <v>597</v>
      </c>
      <c r="E360" t="s">
        <v>598</v>
      </c>
      <c r="F360" t="s">
        <v>459</v>
      </c>
      <c r="H360">
        <v>11400.52</v>
      </c>
      <c r="I360">
        <v>0</v>
      </c>
      <c r="J360" t="s">
        <v>115</v>
      </c>
      <c r="N360" s="14" t="s">
        <v>1214</v>
      </c>
    </row>
    <row r="361" spans="1:14" x14ac:dyDescent="0.3">
      <c r="A361" t="s">
        <v>1215</v>
      </c>
      <c r="B361" t="s">
        <v>1216</v>
      </c>
      <c r="C361" t="s">
        <v>88</v>
      </c>
      <c r="D361" t="s">
        <v>597</v>
      </c>
      <c r="E361" t="s">
        <v>598</v>
      </c>
      <c r="F361" t="s">
        <v>459</v>
      </c>
      <c r="H361">
        <v>669.87</v>
      </c>
      <c r="I361">
        <v>0</v>
      </c>
      <c r="J361" t="s">
        <v>115</v>
      </c>
      <c r="N361" s="14" t="s">
        <v>1217</v>
      </c>
    </row>
    <row r="362" spans="1:14" x14ac:dyDescent="0.3">
      <c r="A362" t="s">
        <v>1218</v>
      </c>
      <c r="B362" t="s">
        <v>1219</v>
      </c>
      <c r="C362" t="s">
        <v>88</v>
      </c>
      <c r="D362" t="s">
        <v>597</v>
      </c>
      <c r="E362" t="s">
        <v>598</v>
      </c>
      <c r="F362" t="s">
        <v>459</v>
      </c>
      <c r="G362" t="s">
        <v>618</v>
      </c>
      <c r="H362">
        <v>736.85</v>
      </c>
      <c r="I362">
        <v>5</v>
      </c>
      <c r="J362" t="s">
        <v>115</v>
      </c>
      <c r="N362" s="14" t="s">
        <v>1220</v>
      </c>
    </row>
    <row r="363" spans="1:14" x14ac:dyDescent="0.3">
      <c r="A363" t="s">
        <v>1221</v>
      </c>
      <c r="B363" t="s">
        <v>1222</v>
      </c>
      <c r="C363" t="s">
        <v>455</v>
      </c>
      <c r="D363" t="s">
        <v>597</v>
      </c>
      <c r="E363" t="s">
        <v>598</v>
      </c>
      <c r="F363" t="s">
        <v>459</v>
      </c>
      <c r="H363">
        <v>93960</v>
      </c>
      <c r="I363">
        <v>0</v>
      </c>
      <c r="J363" t="s">
        <v>115</v>
      </c>
      <c r="N363" s="14" t="s">
        <v>1223</v>
      </c>
    </row>
    <row r="364" spans="1:14" x14ac:dyDescent="0.3">
      <c r="A364" t="s">
        <v>1224</v>
      </c>
      <c r="B364" t="s">
        <v>1225</v>
      </c>
      <c r="C364" t="s">
        <v>88</v>
      </c>
      <c r="D364" t="s">
        <v>597</v>
      </c>
      <c r="E364" t="s">
        <v>598</v>
      </c>
      <c r="F364" t="s">
        <v>459</v>
      </c>
      <c r="H364">
        <v>738.59</v>
      </c>
      <c r="I364">
        <v>0</v>
      </c>
      <c r="J364" t="s">
        <v>115</v>
      </c>
      <c r="N364" s="14" t="s">
        <v>1226</v>
      </c>
    </row>
    <row r="365" spans="1:14" x14ac:dyDescent="0.3">
      <c r="A365" t="s">
        <v>1227</v>
      </c>
      <c r="B365" t="s">
        <v>1228</v>
      </c>
      <c r="C365" t="s">
        <v>241</v>
      </c>
      <c r="D365" t="s">
        <v>597</v>
      </c>
      <c r="E365" t="s">
        <v>598</v>
      </c>
      <c r="F365" t="s">
        <v>459</v>
      </c>
      <c r="H365">
        <v>281.88</v>
      </c>
      <c r="I365">
        <v>0</v>
      </c>
      <c r="J365" t="s">
        <v>115</v>
      </c>
      <c r="N365" s="14" t="s">
        <v>1229</v>
      </c>
    </row>
    <row r="366" spans="1:14" x14ac:dyDescent="0.3">
      <c r="A366" t="s">
        <v>1230</v>
      </c>
      <c r="B366" t="s">
        <v>1231</v>
      </c>
      <c r="C366" t="s">
        <v>88</v>
      </c>
      <c r="D366" t="s">
        <v>597</v>
      </c>
      <c r="E366" t="s">
        <v>598</v>
      </c>
      <c r="F366" t="s">
        <v>459</v>
      </c>
      <c r="H366">
        <v>516.26</v>
      </c>
      <c r="I366">
        <v>0</v>
      </c>
      <c r="J366" t="s">
        <v>115</v>
      </c>
      <c r="N366" s="14" t="s">
        <v>1232</v>
      </c>
    </row>
    <row r="367" spans="1:14" x14ac:dyDescent="0.3">
      <c r="A367" t="s">
        <v>1233</v>
      </c>
      <c r="B367" t="s">
        <v>1234</v>
      </c>
      <c r="C367" t="s">
        <v>183</v>
      </c>
      <c r="D367" t="s">
        <v>597</v>
      </c>
      <c r="E367" t="s">
        <v>598</v>
      </c>
      <c r="F367" t="s">
        <v>459</v>
      </c>
      <c r="H367">
        <v>741.2</v>
      </c>
      <c r="I367">
        <v>0</v>
      </c>
      <c r="J367" t="s">
        <v>115</v>
      </c>
      <c r="N367" s="14" t="s">
        <v>1235</v>
      </c>
    </row>
    <row r="368" spans="1:14" x14ac:dyDescent="0.3">
      <c r="A368" t="s">
        <v>1236</v>
      </c>
      <c r="B368" t="s">
        <v>1237</v>
      </c>
      <c r="C368" t="s">
        <v>455</v>
      </c>
      <c r="D368" t="s">
        <v>597</v>
      </c>
      <c r="E368" t="s">
        <v>598</v>
      </c>
      <c r="F368" t="s">
        <v>459</v>
      </c>
      <c r="G368" t="s">
        <v>1021</v>
      </c>
      <c r="H368">
        <v>10875.13</v>
      </c>
      <c r="I368">
        <v>0</v>
      </c>
      <c r="J368" t="s">
        <v>115</v>
      </c>
      <c r="N368" s="14" t="s">
        <v>1238</v>
      </c>
    </row>
    <row r="369" spans="1:14" x14ac:dyDescent="0.3">
      <c r="A369" t="s">
        <v>1239</v>
      </c>
      <c r="B369" t="s">
        <v>1240</v>
      </c>
      <c r="C369" t="s">
        <v>183</v>
      </c>
      <c r="D369" t="s">
        <v>597</v>
      </c>
      <c r="E369" t="s">
        <v>598</v>
      </c>
      <c r="F369" t="s">
        <v>459</v>
      </c>
      <c r="H369">
        <v>1127.52</v>
      </c>
      <c r="I369">
        <v>0</v>
      </c>
      <c r="J369" t="s">
        <v>115</v>
      </c>
      <c r="N369" s="14" t="s">
        <v>1241</v>
      </c>
    </row>
    <row r="370" spans="1:14" x14ac:dyDescent="0.3">
      <c r="A370" t="s">
        <v>1242</v>
      </c>
      <c r="B370" t="s">
        <v>1243</v>
      </c>
      <c r="C370" t="s">
        <v>241</v>
      </c>
      <c r="D370" t="s">
        <v>597</v>
      </c>
      <c r="E370" t="s">
        <v>598</v>
      </c>
      <c r="F370" t="s">
        <v>459</v>
      </c>
      <c r="H370">
        <v>1697</v>
      </c>
      <c r="I370">
        <v>0</v>
      </c>
      <c r="J370" t="s">
        <v>115</v>
      </c>
      <c r="N370" s="14" t="s">
        <v>1244</v>
      </c>
    </row>
    <row r="371" spans="1:14" x14ac:dyDescent="0.3">
      <c r="A371" t="s">
        <v>1245</v>
      </c>
      <c r="B371" t="s">
        <v>1246</v>
      </c>
      <c r="C371" t="s">
        <v>183</v>
      </c>
      <c r="D371" t="s">
        <v>597</v>
      </c>
      <c r="E371" t="s">
        <v>598</v>
      </c>
      <c r="F371" t="s">
        <v>459</v>
      </c>
      <c r="H371">
        <v>20044.8</v>
      </c>
      <c r="I371">
        <v>0</v>
      </c>
      <c r="J371" t="s">
        <v>115</v>
      </c>
      <c r="N371" s="14" t="s">
        <v>1247</v>
      </c>
    </row>
    <row r="372" spans="1:14" x14ac:dyDescent="0.3">
      <c r="A372" t="s">
        <v>1248</v>
      </c>
      <c r="B372" t="s">
        <v>1249</v>
      </c>
      <c r="C372" t="s">
        <v>88</v>
      </c>
      <c r="D372" t="s">
        <v>1250</v>
      </c>
      <c r="E372" t="s">
        <v>1251</v>
      </c>
      <c r="F372" t="s">
        <v>91</v>
      </c>
      <c r="H372">
        <v>365.88</v>
      </c>
      <c r="I372">
        <v>0</v>
      </c>
      <c r="J372" t="s">
        <v>92</v>
      </c>
      <c r="N372" s="14" t="s">
        <v>1252</v>
      </c>
    </row>
    <row r="373" spans="1:14" x14ac:dyDescent="0.3">
      <c r="A373" t="s">
        <v>1253</v>
      </c>
      <c r="B373" t="s">
        <v>1254</v>
      </c>
      <c r="C373" t="s">
        <v>88</v>
      </c>
      <c r="D373" t="s">
        <v>1250</v>
      </c>
      <c r="E373" t="s">
        <v>1251</v>
      </c>
      <c r="F373" t="s">
        <v>91</v>
      </c>
      <c r="H373">
        <v>1000</v>
      </c>
      <c r="I373">
        <v>0</v>
      </c>
      <c r="J373" t="s">
        <v>92</v>
      </c>
      <c r="N373" s="14" t="s">
        <v>1255</v>
      </c>
    </row>
    <row r="374" spans="1:14" x14ac:dyDescent="0.3">
      <c r="A374" t="s">
        <v>1256</v>
      </c>
      <c r="B374" t="s">
        <v>1257</v>
      </c>
      <c r="C374" t="s">
        <v>241</v>
      </c>
      <c r="D374" t="s">
        <v>1250</v>
      </c>
      <c r="E374" t="s">
        <v>1251</v>
      </c>
      <c r="F374" t="s">
        <v>91</v>
      </c>
      <c r="H374">
        <v>640</v>
      </c>
      <c r="I374">
        <v>0</v>
      </c>
      <c r="J374" t="s">
        <v>92</v>
      </c>
      <c r="N374" s="14" t="s">
        <v>1258</v>
      </c>
    </row>
    <row r="375" spans="1:14" x14ac:dyDescent="0.3">
      <c r="A375" t="s">
        <v>1259</v>
      </c>
      <c r="B375" t="s">
        <v>1260</v>
      </c>
      <c r="C375" t="s">
        <v>88</v>
      </c>
      <c r="D375" t="s">
        <v>1250</v>
      </c>
      <c r="E375" t="s">
        <v>1251</v>
      </c>
      <c r="F375" t="s">
        <v>91</v>
      </c>
      <c r="H375">
        <v>1289.3399999999999</v>
      </c>
      <c r="I375">
        <v>0</v>
      </c>
      <c r="J375" t="s">
        <v>92</v>
      </c>
      <c r="N375" s="14" t="s">
        <v>1261</v>
      </c>
    </row>
    <row r="376" spans="1:14" x14ac:dyDescent="0.3">
      <c r="A376" t="s">
        <v>1262</v>
      </c>
      <c r="B376" t="s">
        <v>1263</v>
      </c>
      <c r="C376" t="s">
        <v>88</v>
      </c>
      <c r="D376" t="s">
        <v>1250</v>
      </c>
      <c r="E376" t="s">
        <v>1251</v>
      </c>
      <c r="F376" t="s">
        <v>91</v>
      </c>
      <c r="H376">
        <v>547.04999999999995</v>
      </c>
      <c r="I376">
        <v>0</v>
      </c>
      <c r="J376" t="s">
        <v>92</v>
      </c>
      <c r="N376" s="14" t="s">
        <v>1264</v>
      </c>
    </row>
    <row r="377" spans="1:14" x14ac:dyDescent="0.3">
      <c r="A377" t="s">
        <v>1265</v>
      </c>
      <c r="B377" t="s">
        <v>1266</v>
      </c>
      <c r="C377" t="s">
        <v>183</v>
      </c>
      <c r="D377" t="s">
        <v>1250</v>
      </c>
      <c r="E377" t="s">
        <v>1251</v>
      </c>
      <c r="F377" t="s">
        <v>91</v>
      </c>
      <c r="H377">
        <v>752.51</v>
      </c>
      <c r="I377">
        <v>0</v>
      </c>
      <c r="J377" t="s">
        <v>92</v>
      </c>
      <c r="N377" s="14" t="s">
        <v>1267</v>
      </c>
    </row>
    <row r="378" spans="1:14" x14ac:dyDescent="0.3">
      <c r="A378" t="s">
        <v>1268</v>
      </c>
      <c r="B378" t="s">
        <v>1269</v>
      </c>
      <c r="C378" t="s">
        <v>241</v>
      </c>
      <c r="D378" t="s">
        <v>1250</v>
      </c>
      <c r="E378" t="s">
        <v>1251</v>
      </c>
      <c r="F378" t="s">
        <v>91</v>
      </c>
      <c r="H378">
        <v>203.58</v>
      </c>
      <c r="I378">
        <v>0</v>
      </c>
      <c r="J378" t="s">
        <v>92</v>
      </c>
      <c r="N378" s="14" t="s">
        <v>1270</v>
      </c>
    </row>
    <row r="379" spans="1:14" x14ac:dyDescent="0.3">
      <c r="A379" t="s">
        <v>1271</v>
      </c>
      <c r="B379" t="s">
        <v>1272</v>
      </c>
      <c r="C379" t="s">
        <v>88</v>
      </c>
      <c r="D379" t="s">
        <v>1250</v>
      </c>
      <c r="E379" t="s">
        <v>1251</v>
      </c>
      <c r="F379" t="s">
        <v>91</v>
      </c>
      <c r="H379">
        <v>135.72</v>
      </c>
      <c r="I379">
        <v>0</v>
      </c>
      <c r="J379" t="s">
        <v>92</v>
      </c>
      <c r="N379" s="14" t="s">
        <v>1273</v>
      </c>
    </row>
    <row r="380" spans="1:14" x14ac:dyDescent="0.3">
      <c r="A380" t="s">
        <v>1274</v>
      </c>
      <c r="B380" t="s">
        <v>1275</v>
      </c>
      <c r="C380" t="s">
        <v>88</v>
      </c>
      <c r="D380" t="s">
        <v>1250</v>
      </c>
      <c r="E380" t="s">
        <v>1251</v>
      </c>
      <c r="F380" t="s">
        <v>91</v>
      </c>
      <c r="H380">
        <v>755.12</v>
      </c>
      <c r="I380">
        <v>0</v>
      </c>
      <c r="J380" t="s">
        <v>92</v>
      </c>
      <c r="N380" s="14" t="s">
        <v>1276</v>
      </c>
    </row>
    <row r="381" spans="1:14" x14ac:dyDescent="0.3">
      <c r="A381" t="s">
        <v>1277</v>
      </c>
      <c r="B381" t="s">
        <v>1278</v>
      </c>
      <c r="C381" t="s">
        <v>455</v>
      </c>
      <c r="D381" t="s">
        <v>1250</v>
      </c>
      <c r="E381" t="s">
        <v>1251</v>
      </c>
      <c r="F381" t="s">
        <v>91</v>
      </c>
      <c r="H381">
        <v>11296.84</v>
      </c>
      <c r="I381">
        <v>0</v>
      </c>
      <c r="J381" t="s">
        <v>92</v>
      </c>
      <c r="N381" s="14" t="s">
        <v>1279</v>
      </c>
    </row>
    <row r="382" spans="1:14" x14ac:dyDescent="0.3">
      <c r="A382" t="s">
        <v>1280</v>
      </c>
      <c r="B382" t="s">
        <v>1281</v>
      </c>
      <c r="C382" t="s">
        <v>241</v>
      </c>
      <c r="D382" t="s">
        <v>1250</v>
      </c>
      <c r="E382" t="s">
        <v>1251</v>
      </c>
      <c r="F382" t="s">
        <v>91</v>
      </c>
      <c r="H382">
        <v>610.74</v>
      </c>
      <c r="I382">
        <v>0</v>
      </c>
      <c r="J382" t="s">
        <v>92</v>
      </c>
      <c r="N382" s="14" t="s">
        <v>1282</v>
      </c>
    </row>
    <row r="383" spans="1:14" x14ac:dyDescent="0.3">
      <c r="A383" t="s">
        <v>1283</v>
      </c>
      <c r="B383" t="s">
        <v>1284</v>
      </c>
      <c r="C383" t="s">
        <v>137</v>
      </c>
      <c r="D383" t="s">
        <v>1250</v>
      </c>
      <c r="E383" t="s">
        <v>1251</v>
      </c>
      <c r="F383" t="s">
        <v>91</v>
      </c>
      <c r="H383">
        <v>12325.63</v>
      </c>
      <c r="I383">
        <v>0</v>
      </c>
      <c r="J383" t="s">
        <v>92</v>
      </c>
      <c r="N383" s="14" t="s">
        <v>1285</v>
      </c>
    </row>
    <row r="384" spans="1:14" x14ac:dyDescent="0.3">
      <c r="A384" t="s">
        <v>1286</v>
      </c>
      <c r="B384" t="s">
        <v>1287</v>
      </c>
      <c r="C384" t="s">
        <v>88</v>
      </c>
      <c r="D384" t="s">
        <v>1250</v>
      </c>
      <c r="E384" t="s">
        <v>1251</v>
      </c>
      <c r="F384" t="s">
        <v>254</v>
      </c>
      <c r="H384">
        <v>339.3</v>
      </c>
      <c r="I384">
        <v>0</v>
      </c>
      <c r="J384" t="s">
        <v>92</v>
      </c>
      <c r="N384" s="14" t="s">
        <v>1288</v>
      </c>
    </row>
    <row r="385" spans="1:14" x14ac:dyDescent="0.3">
      <c r="A385" t="s">
        <v>1289</v>
      </c>
      <c r="B385" t="s">
        <v>1290</v>
      </c>
      <c r="C385" t="s">
        <v>88</v>
      </c>
      <c r="D385" t="s">
        <v>1250</v>
      </c>
      <c r="E385" t="s">
        <v>1251</v>
      </c>
      <c r="F385" t="s">
        <v>254</v>
      </c>
      <c r="H385">
        <v>1000</v>
      </c>
      <c r="I385">
        <v>0</v>
      </c>
      <c r="J385" t="s">
        <v>92</v>
      </c>
      <c r="N385" s="14" t="s">
        <v>1291</v>
      </c>
    </row>
    <row r="386" spans="1:14" x14ac:dyDescent="0.3">
      <c r="A386" t="s">
        <v>1292</v>
      </c>
      <c r="B386" t="s">
        <v>1293</v>
      </c>
      <c r="C386" t="s">
        <v>88</v>
      </c>
      <c r="D386" t="s">
        <v>1250</v>
      </c>
      <c r="E386" t="s">
        <v>1251</v>
      </c>
      <c r="F386" t="s">
        <v>254</v>
      </c>
      <c r="H386">
        <v>761.21</v>
      </c>
      <c r="I386">
        <v>0</v>
      </c>
      <c r="J386" t="s">
        <v>92</v>
      </c>
      <c r="N386" s="14" t="s">
        <v>1294</v>
      </c>
    </row>
    <row r="387" spans="1:14" x14ac:dyDescent="0.3">
      <c r="A387" t="s">
        <v>1295</v>
      </c>
      <c r="B387" t="s">
        <v>1296</v>
      </c>
      <c r="C387" t="s">
        <v>88</v>
      </c>
      <c r="D387" t="s">
        <v>1250</v>
      </c>
      <c r="E387" t="s">
        <v>1251</v>
      </c>
      <c r="F387" t="s">
        <v>254</v>
      </c>
      <c r="H387">
        <v>762.08</v>
      </c>
      <c r="I387">
        <v>0</v>
      </c>
      <c r="J387" t="s">
        <v>92</v>
      </c>
      <c r="N387" s="14" t="s">
        <v>1297</v>
      </c>
    </row>
    <row r="388" spans="1:14" x14ac:dyDescent="0.3">
      <c r="A388" t="s">
        <v>1298</v>
      </c>
      <c r="B388" t="s">
        <v>1299</v>
      </c>
      <c r="C388" t="s">
        <v>88</v>
      </c>
      <c r="D388" t="s">
        <v>1250</v>
      </c>
      <c r="E388" t="s">
        <v>1251</v>
      </c>
      <c r="F388" t="s">
        <v>254</v>
      </c>
      <c r="H388">
        <v>75.2</v>
      </c>
      <c r="I388">
        <v>0</v>
      </c>
      <c r="J388" t="s">
        <v>92</v>
      </c>
      <c r="N388" s="14" t="s">
        <v>1300</v>
      </c>
    </row>
    <row r="389" spans="1:14" x14ac:dyDescent="0.3">
      <c r="A389" t="s">
        <v>1301</v>
      </c>
      <c r="B389" t="s">
        <v>1302</v>
      </c>
      <c r="C389" t="s">
        <v>88</v>
      </c>
      <c r="D389" t="s">
        <v>1250</v>
      </c>
      <c r="E389" t="s">
        <v>1251</v>
      </c>
      <c r="F389" t="s">
        <v>254</v>
      </c>
      <c r="H389">
        <v>763.82</v>
      </c>
      <c r="I389">
        <v>0</v>
      </c>
      <c r="J389" t="s">
        <v>92</v>
      </c>
      <c r="N389" s="14" t="s">
        <v>1303</v>
      </c>
    </row>
    <row r="390" spans="1:14" x14ac:dyDescent="0.3">
      <c r="A390" t="s">
        <v>1304</v>
      </c>
      <c r="B390" t="s">
        <v>852</v>
      </c>
      <c r="C390" t="s">
        <v>88</v>
      </c>
      <c r="D390" t="s">
        <v>1250</v>
      </c>
      <c r="E390" t="s">
        <v>1251</v>
      </c>
      <c r="F390" t="s">
        <v>254</v>
      </c>
      <c r="G390" t="s">
        <v>749</v>
      </c>
      <c r="H390">
        <v>746.46</v>
      </c>
      <c r="I390">
        <v>5</v>
      </c>
      <c r="J390" t="s">
        <v>92</v>
      </c>
      <c r="N390" s="14" t="s">
        <v>1305</v>
      </c>
    </row>
    <row r="391" spans="1:14" x14ac:dyDescent="0.3">
      <c r="A391" t="s">
        <v>1306</v>
      </c>
      <c r="B391" t="s">
        <v>1307</v>
      </c>
      <c r="C391" t="s">
        <v>88</v>
      </c>
      <c r="D391" t="s">
        <v>1250</v>
      </c>
      <c r="E391" t="s">
        <v>1251</v>
      </c>
      <c r="F391" t="s">
        <v>254</v>
      </c>
      <c r="H391">
        <v>475.02</v>
      </c>
      <c r="I391">
        <v>0</v>
      </c>
      <c r="J391" t="s">
        <v>92</v>
      </c>
      <c r="N391" s="14" t="s">
        <v>1308</v>
      </c>
    </row>
    <row r="392" spans="1:14" x14ac:dyDescent="0.3">
      <c r="A392" t="s">
        <v>1309</v>
      </c>
      <c r="B392" t="s">
        <v>1310</v>
      </c>
      <c r="C392" t="s">
        <v>88</v>
      </c>
      <c r="D392" t="s">
        <v>1250</v>
      </c>
      <c r="E392" t="s">
        <v>1251</v>
      </c>
      <c r="F392" t="s">
        <v>254</v>
      </c>
      <c r="H392">
        <v>4500</v>
      </c>
      <c r="I392">
        <v>0</v>
      </c>
      <c r="J392" t="s">
        <v>92</v>
      </c>
      <c r="N392" s="14" t="s">
        <v>1311</v>
      </c>
    </row>
    <row r="393" spans="1:14" x14ac:dyDescent="0.3">
      <c r="A393" t="s">
        <v>1312</v>
      </c>
      <c r="B393" t="s">
        <v>1313</v>
      </c>
      <c r="C393" t="s">
        <v>88</v>
      </c>
      <c r="D393" t="s">
        <v>1250</v>
      </c>
      <c r="E393" t="s">
        <v>1251</v>
      </c>
      <c r="F393" t="s">
        <v>254</v>
      </c>
      <c r="H393">
        <v>5500</v>
      </c>
      <c r="I393">
        <v>0</v>
      </c>
      <c r="J393" t="s">
        <v>92</v>
      </c>
      <c r="N393" s="14" t="s">
        <v>1314</v>
      </c>
    </row>
    <row r="394" spans="1:14" x14ac:dyDescent="0.3">
      <c r="A394" t="s">
        <v>1315</v>
      </c>
      <c r="B394" t="s">
        <v>1316</v>
      </c>
      <c r="C394" t="s">
        <v>88</v>
      </c>
      <c r="D394" t="s">
        <v>1250</v>
      </c>
      <c r="E394" t="s">
        <v>1251</v>
      </c>
      <c r="F394" t="s">
        <v>254</v>
      </c>
      <c r="G394" t="s">
        <v>749</v>
      </c>
      <c r="H394">
        <v>3393</v>
      </c>
      <c r="I394">
        <v>5</v>
      </c>
      <c r="J394" t="s">
        <v>92</v>
      </c>
      <c r="N394" s="14" t="s">
        <v>1317</v>
      </c>
    </row>
    <row r="395" spans="1:14" x14ac:dyDescent="0.3">
      <c r="A395" t="s">
        <v>1318</v>
      </c>
      <c r="B395" t="s">
        <v>1319</v>
      </c>
      <c r="C395" t="s">
        <v>88</v>
      </c>
      <c r="D395" t="s">
        <v>1250</v>
      </c>
      <c r="E395" t="s">
        <v>1251</v>
      </c>
      <c r="F395" t="s">
        <v>254</v>
      </c>
      <c r="G395" t="s">
        <v>749</v>
      </c>
      <c r="H395">
        <v>4071.6</v>
      </c>
      <c r="I395">
        <v>5</v>
      </c>
      <c r="J395" t="s">
        <v>92</v>
      </c>
      <c r="N395" s="14" t="s">
        <v>1320</v>
      </c>
    </row>
    <row r="396" spans="1:14" x14ac:dyDescent="0.3">
      <c r="A396" t="s">
        <v>1321</v>
      </c>
      <c r="B396" t="s">
        <v>1322</v>
      </c>
      <c r="C396" t="s">
        <v>237</v>
      </c>
      <c r="D396" t="s">
        <v>1250</v>
      </c>
      <c r="E396" t="s">
        <v>1251</v>
      </c>
      <c r="F396" t="s">
        <v>254</v>
      </c>
      <c r="H396">
        <v>3725.76</v>
      </c>
      <c r="I396">
        <v>0</v>
      </c>
      <c r="J396" t="s">
        <v>92</v>
      </c>
      <c r="N396" s="14" t="s">
        <v>1323</v>
      </c>
    </row>
    <row r="397" spans="1:14" x14ac:dyDescent="0.3">
      <c r="A397" t="s">
        <v>1324</v>
      </c>
      <c r="B397" t="s">
        <v>1325</v>
      </c>
      <c r="C397" t="s">
        <v>88</v>
      </c>
      <c r="D397" t="s">
        <v>1250</v>
      </c>
      <c r="E397" t="s">
        <v>1251</v>
      </c>
      <c r="F397" t="s">
        <v>254</v>
      </c>
      <c r="H397">
        <v>3500</v>
      </c>
      <c r="I397">
        <v>0</v>
      </c>
      <c r="J397" t="s">
        <v>92</v>
      </c>
      <c r="N397" s="14" t="s">
        <v>1326</v>
      </c>
    </row>
    <row r="398" spans="1:14" x14ac:dyDescent="0.3">
      <c r="A398" t="s">
        <v>1327</v>
      </c>
      <c r="B398" t="s">
        <v>1328</v>
      </c>
      <c r="C398" t="s">
        <v>88</v>
      </c>
      <c r="D398" t="s">
        <v>1250</v>
      </c>
      <c r="E398" t="s">
        <v>1251</v>
      </c>
      <c r="F398" t="s">
        <v>254</v>
      </c>
      <c r="H398">
        <v>771.65</v>
      </c>
      <c r="I398">
        <v>0</v>
      </c>
      <c r="J398" t="s">
        <v>92</v>
      </c>
      <c r="N398" s="14" t="s">
        <v>1329</v>
      </c>
    </row>
    <row r="399" spans="1:14" x14ac:dyDescent="0.3">
      <c r="A399" t="s">
        <v>1330</v>
      </c>
      <c r="B399" t="s">
        <v>1331</v>
      </c>
      <c r="C399" t="s">
        <v>88</v>
      </c>
      <c r="D399" t="s">
        <v>1250</v>
      </c>
      <c r="E399" t="s">
        <v>1251</v>
      </c>
      <c r="F399" t="s">
        <v>254</v>
      </c>
      <c r="H399">
        <v>350</v>
      </c>
      <c r="I399">
        <v>0</v>
      </c>
      <c r="J399" t="s">
        <v>92</v>
      </c>
      <c r="N399" s="14" t="s">
        <v>1332</v>
      </c>
    </row>
    <row r="400" spans="1:14" x14ac:dyDescent="0.3">
      <c r="A400" t="s">
        <v>1333</v>
      </c>
      <c r="B400" t="s">
        <v>1334</v>
      </c>
      <c r="C400" t="s">
        <v>137</v>
      </c>
      <c r="D400" t="s">
        <v>1250</v>
      </c>
      <c r="E400" t="s">
        <v>1251</v>
      </c>
      <c r="F400" t="s">
        <v>254</v>
      </c>
      <c r="H400">
        <v>36442.949999999997</v>
      </c>
      <c r="I400">
        <v>0</v>
      </c>
      <c r="J400" t="s">
        <v>92</v>
      </c>
      <c r="N400" s="14" t="s">
        <v>1335</v>
      </c>
    </row>
    <row r="401" spans="1:14" x14ac:dyDescent="0.3">
      <c r="A401" t="s">
        <v>1336</v>
      </c>
      <c r="B401" t="s">
        <v>1337</v>
      </c>
      <c r="C401" t="s">
        <v>88</v>
      </c>
      <c r="D401" t="s">
        <v>1250</v>
      </c>
      <c r="E401" t="s">
        <v>1251</v>
      </c>
      <c r="F401" t="s">
        <v>254</v>
      </c>
      <c r="H401">
        <v>3048.05</v>
      </c>
      <c r="I401">
        <v>0</v>
      </c>
      <c r="J401" t="s">
        <v>92</v>
      </c>
      <c r="N401" s="14" t="s">
        <v>1338</v>
      </c>
    </row>
    <row r="402" spans="1:14" x14ac:dyDescent="0.3">
      <c r="A402" t="s">
        <v>1339</v>
      </c>
      <c r="B402" t="s">
        <v>1340</v>
      </c>
      <c r="C402" t="s">
        <v>88</v>
      </c>
      <c r="D402" t="s">
        <v>1250</v>
      </c>
      <c r="E402" t="s">
        <v>1251</v>
      </c>
      <c r="F402" t="s">
        <v>254</v>
      </c>
      <c r="H402">
        <v>3048</v>
      </c>
      <c r="I402">
        <v>0</v>
      </c>
      <c r="J402" t="s">
        <v>92</v>
      </c>
      <c r="N402" s="14" t="s">
        <v>1341</v>
      </c>
    </row>
    <row r="403" spans="1:14" x14ac:dyDescent="0.3">
      <c r="A403" t="s">
        <v>1342</v>
      </c>
      <c r="B403" t="s">
        <v>1343</v>
      </c>
      <c r="C403" t="s">
        <v>241</v>
      </c>
      <c r="D403" t="s">
        <v>1250</v>
      </c>
      <c r="E403" t="s">
        <v>1251</v>
      </c>
      <c r="F403" t="s">
        <v>254</v>
      </c>
      <c r="H403">
        <v>451.35</v>
      </c>
      <c r="I403">
        <v>0</v>
      </c>
      <c r="J403" t="s">
        <v>92</v>
      </c>
      <c r="N403" s="14" t="s">
        <v>1344</v>
      </c>
    </row>
    <row r="404" spans="1:14" x14ac:dyDescent="0.3">
      <c r="A404" t="s">
        <v>1345</v>
      </c>
      <c r="B404" t="s">
        <v>1346</v>
      </c>
      <c r="C404" t="s">
        <v>88</v>
      </c>
      <c r="D404" t="s">
        <v>1250</v>
      </c>
      <c r="E404" t="s">
        <v>1251</v>
      </c>
      <c r="F404" t="s">
        <v>254</v>
      </c>
      <c r="H404">
        <v>2035.8</v>
      </c>
      <c r="I404">
        <v>0</v>
      </c>
      <c r="J404" t="s">
        <v>92</v>
      </c>
      <c r="N404" s="14" t="s">
        <v>1347</v>
      </c>
    </row>
    <row r="405" spans="1:14" x14ac:dyDescent="0.3">
      <c r="A405" t="s">
        <v>1348</v>
      </c>
      <c r="B405" t="s">
        <v>1349</v>
      </c>
      <c r="C405" t="s">
        <v>241</v>
      </c>
      <c r="D405" t="s">
        <v>1250</v>
      </c>
      <c r="E405" t="s">
        <v>1251</v>
      </c>
      <c r="F405" t="s">
        <v>254</v>
      </c>
      <c r="H405">
        <v>217.5</v>
      </c>
      <c r="I405">
        <v>0</v>
      </c>
      <c r="J405" t="s">
        <v>92</v>
      </c>
      <c r="N405" s="14" t="s">
        <v>1350</v>
      </c>
    </row>
    <row r="406" spans="1:14" x14ac:dyDescent="0.3">
      <c r="A406" t="s">
        <v>1351</v>
      </c>
      <c r="B406" t="s">
        <v>1352</v>
      </c>
      <c r="C406" t="s">
        <v>183</v>
      </c>
      <c r="D406" t="s">
        <v>1250</v>
      </c>
      <c r="E406" t="s">
        <v>1251</v>
      </c>
      <c r="F406" t="s">
        <v>254</v>
      </c>
      <c r="H406">
        <v>45000</v>
      </c>
      <c r="I406">
        <v>0</v>
      </c>
      <c r="J406" t="s">
        <v>92</v>
      </c>
      <c r="N406" s="14" t="s">
        <v>1353</v>
      </c>
    </row>
    <row r="407" spans="1:14" x14ac:dyDescent="0.3">
      <c r="A407" t="s">
        <v>1354</v>
      </c>
      <c r="B407" t="s">
        <v>1355</v>
      </c>
      <c r="C407" t="s">
        <v>183</v>
      </c>
      <c r="D407" t="s">
        <v>1250</v>
      </c>
      <c r="E407" t="s">
        <v>1251</v>
      </c>
      <c r="F407" t="s">
        <v>254</v>
      </c>
      <c r="H407">
        <v>53000</v>
      </c>
      <c r="I407">
        <v>0</v>
      </c>
      <c r="J407" t="s">
        <v>92</v>
      </c>
      <c r="N407" s="14" t="s">
        <v>1356</v>
      </c>
    </row>
    <row r="408" spans="1:14" x14ac:dyDescent="0.3">
      <c r="A408" t="s">
        <v>1357</v>
      </c>
      <c r="B408" t="s">
        <v>1358</v>
      </c>
      <c r="C408" t="s">
        <v>183</v>
      </c>
      <c r="D408" t="s">
        <v>1250</v>
      </c>
      <c r="E408" t="s">
        <v>1251</v>
      </c>
      <c r="F408" t="s">
        <v>254</v>
      </c>
      <c r="H408">
        <v>30000</v>
      </c>
      <c r="I408">
        <v>0</v>
      </c>
      <c r="J408" t="s">
        <v>92</v>
      </c>
      <c r="N408" s="14" t="s">
        <v>1359</v>
      </c>
    </row>
    <row r="409" spans="1:14" x14ac:dyDescent="0.3">
      <c r="A409" t="s">
        <v>1360</v>
      </c>
      <c r="B409" t="s">
        <v>1361</v>
      </c>
      <c r="C409" t="s">
        <v>237</v>
      </c>
      <c r="D409" t="s">
        <v>1250</v>
      </c>
      <c r="E409" t="s">
        <v>1251</v>
      </c>
      <c r="F409" t="s">
        <v>303</v>
      </c>
      <c r="H409">
        <v>4853.8500000000004</v>
      </c>
      <c r="I409">
        <v>0</v>
      </c>
      <c r="J409" t="s">
        <v>92</v>
      </c>
      <c r="N409" s="14" t="s">
        <v>1362</v>
      </c>
    </row>
    <row r="410" spans="1:14" x14ac:dyDescent="0.3">
      <c r="A410" t="s">
        <v>1363</v>
      </c>
      <c r="B410" t="s">
        <v>1364</v>
      </c>
      <c r="C410" t="s">
        <v>88</v>
      </c>
      <c r="D410" t="s">
        <v>1250</v>
      </c>
      <c r="E410" t="s">
        <v>1251</v>
      </c>
      <c r="F410" t="s">
        <v>303</v>
      </c>
      <c r="H410">
        <v>788.18</v>
      </c>
      <c r="I410">
        <v>0</v>
      </c>
      <c r="J410" t="s">
        <v>92</v>
      </c>
      <c r="N410" s="14" t="s">
        <v>1365</v>
      </c>
    </row>
    <row r="411" spans="1:14" x14ac:dyDescent="0.3">
      <c r="A411" t="s">
        <v>1366</v>
      </c>
      <c r="B411" t="s">
        <v>1367</v>
      </c>
      <c r="C411" t="s">
        <v>88</v>
      </c>
      <c r="D411" t="s">
        <v>1250</v>
      </c>
      <c r="E411" t="s">
        <v>1251</v>
      </c>
      <c r="F411" t="s">
        <v>303</v>
      </c>
      <c r="H411">
        <v>522.34</v>
      </c>
      <c r="I411">
        <v>0</v>
      </c>
      <c r="J411" t="s">
        <v>92</v>
      </c>
      <c r="N411" s="14" t="s">
        <v>1368</v>
      </c>
    </row>
    <row r="412" spans="1:14" x14ac:dyDescent="0.3">
      <c r="A412" t="s">
        <v>1369</v>
      </c>
      <c r="B412" t="s">
        <v>1370</v>
      </c>
      <c r="C412" t="s">
        <v>1371</v>
      </c>
      <c r="D412" t="s">
        <v>1250</v>
      </c>
      <c r="E412" t="s">
        <v>1251</v>
      </c>
      <c r="F412" t="s">
        <v>303</v>
      </c>
      <c r="H412">
        <v>95.7</v>
      </c>
      <c r="I412">
        <v>0</v>
      </c>
      <c r="J412" t="s">
        <v>92</v>
      </c>
      <c r="N412" s="14" t="s">
        <v>1372</v>
      </c>
    </row>
    <row r="413" spans="1:14" x14ac:dyDescent="0.3">
      <c r="A413" t="s">
        <v>1373</v>
      </c>
      <c r="B413" t="s">
        <v>1374</v>
      </c>
      <c r="C413" t="s">
        <v>1371</v>
      </c>
      <c r="D413" t="s">
        <v>1250</v>
      </c>
      <c r="E413" t="s">
        <v>1251</v>
      </c>
      <c r="F413" t="s">
        <v>303</v>
      </c>
      <c r="H413">
        <v>169.65</v>
      </c>
      <c r="I413">
        <v>0</v>
      </c>
      <c r="J413" t="s">
        <v>92</v>
      </c>
      <c r="N413" s="14" t="s">
        <v>1375</v>
      </c>
    </row>
    <row r="414" spans="1:14" x14ac:dyDescent="0.3">
      <c r="A414" t="s">
        <v>1376</v>
      </c>
      <c r="B414" t="s">
        <v>1377</v>
      </c>
      <c r="C414" t="s">
        <v>1371</v>
      </c>
      <c r="D414" t="s">
        <v>1250</v>
      </c>
      <c r="E414" t="s">
        <v>1251</v>
      </c>
      <c r="F414" t="s">
        <v>303</v>
      </c>
      <c r="H414">
        <v>140.35</v>
      </c>
      <c r="I414">
        <v>0</v>
      </c>
      <c r="J414" t="s">
        <v>92</v>
      </c>
      <c r="N414" s="14" t="s">
        <v>1378</v>
      </c>
    </row>
    <row r="415" spans="1:14" x14ac:dyDescent="0.3">
      <c r="A415" t="s">
        <v>1379</v>
      </c>
      <c r="B415" t="s">
        <v>1380</v>
      </c>
      <c r="C415" t="s">
        <v>88</v>
      </c>
      <c r="D415" t="s">
        <v>1250</v>
      </c>
      <c r="E415" t="s">
        <v>1251</v>
      </c>
      <c r="F415" t="s">
        <v>380</v>
      </c>
      <c r="H415">
        <v>2035.8</v>
      </c>
      <c r="I415">
        <v>0</v>
      </c>
      <c r="J415" t="s">
        <v>92</v>
      </c>
      <c r="N415" s="14" t="s">
        <v>1381</v>
      </c>
    </row>
    <row r="416" spans="1:14" x14ac:dyDescent="0.3">
      <c r="A416" t="s">
        <v>1382</v>
      </c>
      <c r="B416" t="s">
        <v>1383</v>
      </c>
      <c r="C416" t="s">
        <v>237</v>
      </c>
      <c r="D416" t="s">
        <v>1250</v>
      </c>
      <c r="E416" t="s">
        <v>1251</v>
      </c>
      <c r="F416" t="s">
        <v>380</v>
      </c>
      <c r="H416">
        <v>1173.8699999999999</v>
      </c>
      <c r="I416">
        <v>0</v>
      </c>
      <c r="J416" t="s">
        <v>92</v>
      </c>
      <c r="N416" s="14" t="s">
        <v>1384</v>
      </c>
    </row>
    <row r="417" spans="1:14" x14ac:dyDescent="0.3">
      <c r="A417" t="s">
        <v>1385</v>
      </c>
      <c r="B417" t="s">
        <v>1386</v>
      </c>
      <c r="C417" t="s">
        <v>237</v>
      </c>
      <c r="D417" t="s">
        <v>1250</v>
      </c>
      <c r="E417" t="s">
        <v>1251</v>
      </c>
      <c r="F417" t="s">
        <v>380</v>
      </c>
      <c r="H417">
        <v>1839.5</v>
      </c>
      <c r="I417">
        <v>0</v>
      </c>
      <c r="J417" t="s">
        <v>92</v>
      </c>
      <c r="N417" s="14" t="s">
        <v>1387</v>
      </c>
    </row>
    <row r="418" spans="1:14" x14ac:dyDescent="0.3">
      <c r="A418" t="s">
        <v>1388</v>
      </c>
      <c r="B418" t="s">
        <v>1389</v>
      </c>
      <c r="C418" t="s">
        <v>183</v>
      </c>
      <c r="D418" t="s">
        <v>1250</v>
      </c>
      <c r="E418" t="s">
        <v>1251</v>
      </c>
      <c r="F418" t="s">
        <v>380</v>
      </c>
      <c r="H418">
        <v>24429.599999999999</v>
      </c>
      <c r="I418">
        <v>0</v>
      </c>
      <c r="J418" t="s">
        <v>92</v>
      </c>
      <c r="N418" s="14" t="s">
        <v>1390</v>
      </c>
    </row>
    <row r="419" spans="1:14" x14ac:dyDescent="0.3">
      <c r="A419" t="s">
        <v>1391</v>
      </c>
      <c r="B419" t="s">
        <v>1392</v>
      </c>
      <c r="C419" t="s">
        <v>183</v>
      </c>
      <c r="D419" t="s">
        <v>1250</v>
      </c>
      <c r="E419" t="s">
        <v>1251</v>
      </c>
      <c r="F419" t="s">
        <v>380</v>
      </c>
      <c r="H419">
        <v>28112.05</v>
      </c>
      <c r="I419">
        <v>0</v>
      </c>
      <c r="J419" t="s">
        <v>92</v>
      </c>
      <c r="N419" s="14" t="s">
        <v>1393</v>
      </c>
    </row>
    <row r="420" spans="1:14" x14ac:dyDescent="0.3">
      <c r="A420" t="s">
        <v>1394</v>
      </c>
      <c r="B420" t="s">
        <v>1395</v>
      </c>
      <c r="C420" t="s">
        <v>183</v>
      </c>
      <c r="D420" t="s">
        <v>1250</v>
      </c>
      <c r="E420" t="s">
        <v>1251</v>
      </c>
      <c r="F420" t="s">
        <v>380</v>
      </c>
      <c r="H420">
        <v>28501.200000000001</v>
      </c>
      <c r="I420">
        <v>0</v>
      </c>
      <c r="J420" t="s">
        <v>92</v>
      </c>
      <c r="N420" s="14" t="s">
        <v>1396</v>
      </c>
    </row>
    <row r="421" spans="1:14" x14ac:dyDescent="0.3">
      <c r="A421" t="s">
        <v>1397</v>
      </c>
      <c r="B421" t="s">
        <v>1398</v>
      </c>
      <c r="C421" t="s">
        <v>241</v>
      </c>
      <c r="D421" t="s">
        <v>1250</v>
      </c>
      <c r="E421" t="s">
        <v>1251</v>
      </c>
      <c r="F421" t="s">
        <v>380</v>
      </c>
      <c r="G421" t="s">
        <v>749</v>
      </c>
      <c r="H421">
        <v>6571.11</v>
      </c>
      <c r="I421">
        <v>5</v>
      </c>
      <c r="J421" t="s">
        <v>92</v>
      </c>
      <c r="N421" s="14" t="s">
        <v>1399</v>
      </c>
    </row>
    <row r="422" spans="1:14" x14ac:dyDescent="0.3">
      <c r="A422" t="s">
        <v>1400</v>
      </c>
      <c r="B422" t="s">
        <v>1401</v>
      </c>
      <c r="C422" t="s">
        <v>88</v>
      </c>
      <c r="D422" t="s">
        <v>1250</v>
      </c>
      <c r="E422" t="s">
        <v>1251</v>
      </c>
      <c r="F422" t="s">
        <v>380</v>
      </c>
      <c r="H422">
        <v>746.46</v>
      </c>
      <c r="I422">
        <v>0</v>
      </c>
      <c r="J422" t="s">
        <v>92</v>
      </c>
      <c r="N422" s="14" t="s">
        <v>1402</v>
      </c>
    </row>
    <row r="423" spans="1:14" x14ac:dyDescent="0.3">
      <c r="A423" t="s">
        <v>1403</v>
      </c>
      <c r="B423" t="s">
        <v>1404</v>
      </c>
      <c r="C423" t="s">
        <v>88</v>
      </c>
      <c r="D423" t="s">
        <v>1250</v>
      </c>
      <c r="E423" t="s">
        <v>1251</v>
      </c>
      <c r="F423" t="s">
        <v>380</v>
      </c>
      <c r="H423">
        <v>800.36</v>
      </c>
      <c r="I423">
        <v>0</v>
      </c>
      <c r="J423" t="s">
        <v>92</v>
      </c>
      <c r="N423" s="14" t="s">
        <v>1405</v>
      </c>
    </row>
    <row r="424" spans="1:14" x14ac:dyDescent="0.3">
      <c r="A424" t="s">
        <v>1406</v>
      </c>
      <c r="B424" t="s">
        <v>1407</v>
      </c>
      <c r="C424" t="s">
        <v>183</v>
      </c>
      <c r="D424" t="s">
        <v>1250</v>
      </c>
      <c r="E424" t="s">
        <v>1251</v>
      </c>
      <c r="F424" t="s">
        <v>380</v>
      </c>
      <c r="H424">
        <v>1850.12</v>
      </c>
      <c r="I424">
        <v>0</v>
      </c>
      <c r="J424" t="s">
        <v>92</v>
      </c>
      <c r="N424" s="14" t="s">
        <v>1408</v>
      </c>
    </row>
    <row r="425" spans="1:14" x14ac:dyDescent="0.3">
      <c r="A425" t="s">
        <v>1409</v>
      </c>
      <c r="B425" t="s">
        <v>1410</v>
      </c>
      <c r="C425" t="s">
        <v>88</v>
      </c>
      <c r="D425" t="s">
        <v>1250</v>
      </c>
      <c r="E425" t="s">
        <v>1251</v>
      </c>
      <c r="F425" t="s">
        <v>380</v>
      </c>
      <c r="H425">
        <v>452.96</v>
      </c>
      <c r="I425">
        <v>0</v>
      </c>
      <c r="J425" t="s">
        <v>92</v>
      </c>
      <c r="N425" s="14" t="s">
        <v>1411</v>
      </c>
    </row>
    <row r="426" spans="1:14" x14ac:dyDescent="0.3">
      <c r="A426" t="s">
        <v>1412</v>
      </c>
      <c r="B426" t="s">
        <v>1413</v>
      </c>
      <c r="C426" t="s">
        <v>88</v>
      </c>
      <c r="D426" t="s">
        <v>1250</v>
      </c>
      <c r="E426" t="s">
        <v>1251</v>
      </c>
      <c r="F426" t="s">
        <v>380</v>
      </c>
      <c r="H426">
        <v>3048</v>
      </c>
      <c r="I426">
        <v>0</v>
      </c>
      <c r="J426" t="s">
        <v>92</v>
      </c>
      <c r="N426" s="14" t="s">
        <v>1414</v>
      </c>
    </row>
    <row r="427" spans="1:14" x14ac:dyDescent="0.3">
      <c r="A427" t="s">
        <v>1415</v>
      </c>
      <c r="B427" t="s">
        <v>1416</v>
      </c>
      <c r="C427" t="s">
        <v>241</v>
      </c>
      <c r="D427" t="s">
        <v>1250</v>
      </c>
      <c r="E427" t="s">
        <v>1251</v>
      </c>
      <c r="F427" t="s">
        <v>380</v>
      </c>
      <c r="H427">
        <v>1500</v>
      </c>
      <c r="I427">
        <v>0</v>
      </c>
      <c r="J427" t="s">
        <v>92</v>
      </c>
      <c r="N427" s="14" t="s">
        <v>1417</v>
      </c>
    </row>
    <row r="428" spans="1:14" x14ac:dyDescent="0.3">
      <c r="A428" t="s">
        <v>1418</v>
      </c>
      <c r="B428" t="s">
        <v>1419</v>
      </c>
      <c r="C428" t="s">
        <v>88</v>
      </c>
      <c r="D428" t="s">
        <v>1250</v>
      </c>
      <c r="E428" t="s">
        <v>1251</v>
      </c>
      <c r="F428" t="s">
        <v>380</v>
      </c>
      <c r="H428">
        <v>2000</v>
      </c>
      <c r="I428">
        <v>0</v>
      </c>
      <c r="J428" t="s">
        <v>92</v>
      </c>
      <c r="N428" s="14" t="s">
        <v>1420</v>
      </c>
    </row>
    <row r="429" spans="1:14" x14ac:dyDescent="0.3">
      <c r="A429" t="s">
        <v>1421</v>
      </c>
      <c r="B429" t="s">
        <v>1422</v>
      </c>
      <c r="C429" t="s">
        <v>241</v>
      </c>
      <c r="D429" t="s">
        <v>1250</v>
      </c>
      <c r="E429" t="s">
        <v>1251</v>
      </c>
      <c r="F429" t="s">
        <v>380</v>
      </c>
      <c r="H429">
        <v>16286.4</v>
      </c>
      <c r="I429">
        <v>0</v>
      </c>
      <c r="J429" t="s">
        <v>92</v>
      </c>
      <c r="N429" s="14" t="s">
        <v>1423</v>
      </c>
    </row>
    <row r="430" spans="1:14" x14ac:dyDescent="0.3">
      <c r="A430" t="s">
        <v>1424</v>
      </c>
      <c r="B430" t="s">
        <v>1425</v>
      </c>
      <c r="C430" t="s">
        <v>137</v>
      </c>
      <c r="D430" t="s">
        <v>1426</v>
      </c>
      <c r="E430" t="s">
        <v>1427</v>
      </c>
      <c r="F430" t="s">
        <v>91</v>
      </c>
      <c r="H430">
        <v>6297.41</v>
      </c>
      <c r="I430">
        <v>0</v>
      </c>
      <c r="J430" t="s">
        <v>115</v>
      </c>
      <c r="N430" s="14" t="s">
        <v>1428</v>
      </c>
    </row>
    <row r="431" spans="1:14" x14ac:dyDescent="0.3">
      <c r="A431" t="s">
        <v>1429</v>
      </c>
      <c r="B431" t="s">
        <v>1430</v>
      </c>
      <c r="C431" t="s">
        <v>137</v>
      </c>
      <c r="D431" t="s">
        <v>1426</v>
      </c>
      <c r="E431" t="s">
        <v>1427</v>
      </c>
      <c r="F431" t="s">
        <v>91</v>
      </c>
      <c r="H431">
        <v>6965.22</v>
      </c>
      <c r="I431">
        <v>0</v>
      </c>
      <c r="J431" t="s">
        <v>115</v>
      </c>
      <c r="N431" s="14" t="s">
        <v>1431</v>
      </c>
    </row>
    <row r="432" spans="1:14" x14ac:dyDescent="0.3">
      <c r="A432" t="s">
        <v>1432</v>
      </c>
      <c r="B432" t="s">
        <v>1433</v>
      </c>
      <c r="C432" t="s">
        <v>183</v>
      </c>
      <c r="D432" t="s">
        <v>1426</v>
      </c>
      <c r="E432" t="s">
        <v>1427</v>
      </c>
      <c r="F432" t="s">
        <v>91</v>
      </c>
      <c r="H432">
        <v>11629.56</v>
      </c>
      <c r="I432">
        <v>0</v>
      </c>
      <c r="J432" t="s">
        <v>115</v>
      </c>
      <c r="N432" s="14" t="s">
        <v>1434</v>
      </c>
    </row>
    <row r="433" spans="1:14" x14ac:dyDescent="0.3">
      <c r="A433" t="s">
        <v>1435</v>
      </c>
      <c r="B433" t="s">
        <v>1436</v>
      </c>
      <c r="C433" t="s">
        <v>183</v>
      </c>
      <c r="D433" t="s">
        <v>1426</v>
      </c>
      <c r="E433" t="s">
        <v>1427</v>
      </c>
      <c r="F433" t="s">
        <v>91</v>
      </c>
      <c r="G433" t="s">
        <v>1437</v>
      </c>
      <c r="H433">
        <v>2612.5</v>
      </c>
      <c r="I433">
        <v>5</v>
      </c>
      <c r="J433" t="s">
        <v>115</v>
      </c>
      <c r="N433" s="14" t="s">
        <v>1438</v>
      </c>
    </row>
    <row r="434" spans="1:14" x14ac:dyDescent="0.3">
      <c r="A434" t="s">
        <v>1439</v>
      </c>
      <c r="B434" t="s">
        <v>1440</v>
      </c>
      <c r="C434" t="s">
        <v>241</v>
      </c>
      <c r="D434" t="s">
        <v>1426</v>
      </c>
      <c r="E434" t="s">
        <v>1427</v>
      </c>
      <c r="F434" t="s">
        <v>91</v>
      </c>
      <c r="G434" t="s">
        <v>1441</v>
      </c>
      <c r="H434">
        <v>1017.01</v>
      </c>
      <c r="I434">
        <v>5</v>
      </c>
      <c r="J434" t="s">
        <v>115</v>
      </c>
      <c r="N434" s="14" t="s">
        <v>1442</v>
      </c>
    </row>
    <row r="435" spans="1:14" x14ac:dyDescent="0.3">
      <c r="A435" t="s">
        <v>1443</v>
      </c>
      <c r="B435" t="s">
        <v>1444</v>
      </c>
      <c r="C435" t="s">
        <v>183</v>
      </c>
      <c r="D435" t="s">
        <v>1426</v>
      </c>
      <c r="E435" t="s">
        <v>1427</v>
      </c>
      <c r="F435" t="s">
        <v>254</v>
      </c>
      <c r="H435">
        <v>574.20000000000005</v>
      </c>
      <c r="I435">
        <v>0</v>
      </c>
      <c r="J435" t="s">
        <v>115</v>
      </c>
      <c r="N435" s="14" t="s">
        <v>1445</v>
      </c>
    </row>
    <row r="436" spans="1:14" x14ac:dyDescent="0.3">
      <c r="A436" t="s">
        <v>1446</v>
      </c>
      <c r="B436" t="s">
        <v>1447</v>
      </c>
      <c r="C436" t="s">
        <v>183</v>
      </c>
      <c r="D436" t="s">
        <v>1426</v>
      </c>
      <c r="E436" t="s">
        <v>1427</v>
      </c>
      <c r="F436" t="s">
        <v>254</v>
      </c>
      <c r="H436">
        <v>543.16</v>
      </c>
      <c r="I436">
        <v>0</v>
      </c>
      <c r="J436" t="s">
        <v>115</v>
      </c>
      <c r="N436" s="14" t="s">
        <v>1448</v>
      </c>
    </row>
    <row r="437" spans="1:14" x14ac:dyDescent="0.3">
      <c r="A437" t="s">
        <v>1449</v>
      </c>
      <c r="B437" t="s">
        <v>1450</v>
      </c>
      <c r="C437" t="s">
        <v>183</v>
      </c>
      <c r="D437" t="s">
        <v>1426</v>
      </c>
      <c r="E437" t="s">
        <v>1427</v>
      </c>
      <c r="F437" t="s">
        <v>254</v>
      </c>
      <c r="H437">
        <v>626.4</v>
      </c>
      <c r="I437">
        <v>0</v>
      </c>
      <c r="J437" t="s">
        <v>115</v>
      </c>
      <c r="N437" s="14" t="s">
        <v>1451</v>
      </c>
    </row>
    <row r="438" spans="1:14" x14ac:dyDescent="0.3">
      <c r="A438" t="s">
        <v>1452</v>
      </c>
      <c r="B438" t="s">
        <v>1453</v>
      </c>
      <c r="C438" t="s">
        <v>183</v>
      </c>
      <c r="D438" t="s">
        <v>1426</v>
      </c>
      <c r="E438" t="s">
        <v>1427</v>
      </c>
      <c r="F438" t="s">
        <v>254</v>
      </c>
      <c r="H438">
        <v>10450</v>
      </c>
      <c r="I438">
        <v>0</v>
      </c>
      <c r="J438" t="s">
        <v>115</v>
      </c>
      <c r="N438" s="14" t="s">
        <v>1454</v>
      </c>
    </row>
    <row r="439" spans="1:14" x14ac:dyDescent="0.3">
      <c r="A439" t="s">
        <v>1455</v>
      </c>
      <c r="B439" t="s">
        <v>1456</v>
      </c>
      <c r="C439" t="s">
        <v>183</v>
      </c>
      <c r="D439" t="s">
        <v>1426</v>
      </c>
      <c r="E439" t="s">
        <v>1427</v>
      </c>
      <c r="F439" t="s">
        <v>303</v>
      </c>
      <c r="G439" t="s">
        <v>1457</v>
      </c>
      <c r="H439">
        <v>4284.5</v>
      </c>
      <c r="I439">
        <v>5</v>
      </c>
      <c r="J439" t="s">
        <v>115</v>
      </c>
      <c r="N439" s="14" t="s">
        <v>1458</v>
      </c>
    </row>
    <row r="440" spans="1:14" x14ac:dyDescent="0.3">
      <c r="A440" t="s">
        <v>1459</v>
      </c>
      <c r="B440" t="s">
        <v>1460</v>
      </c>
      <c r="C440" t="s">
        <v>183</v>
      </c>
      <c r="D440" t="s">
        <v>1426</v>
      </c>
      <c r="E440" t="s">
        <v>1427</v>
      </c>
      <c r="F440" t="s">
        <v>303</v>
      </c>
      <c r="G440" t="s">
        <v>1461</v>
      </c>
      <c r="H440">
        <v>7837.5</v>
      </c>
      <c r="I440">
        <v>5</v>
      </c>
      <c r="J440" t="s">
        <v>115</v>
      </c>
      <c r="N440" s="14" t="s">
        <v>1462</v>
      </c>
    </row>
    <row r="441" spans="1:14" x14ac:dyDescent="0.3">
      <c r="A441" t="s">
        <v>1463</v>
      </c>
      <c r="B441" t="s">
        <v>1460</v>
      </c>
      <c r="C441" t="s">
        <v>183</v>
      </c>
      <c r="D441" t="s">
        <v>1426</v>
      </c>
      <c r="E441" t="s">
        <v>1427</v>
      </c>
      <c r="F441" t="s">
        <v>303</v>
      </c>
      <c r="G441" t="s">
        <v>1461</v>
      </c>
      <c r="H441">
        <v>6688</v>
      </c>
      <c r="I441">
        <v>5</v>
      </c>
      <c r="J441" t="s">
        <v>115</v>
      </c>
      <c r="N441" s="14" t="s">
        <v>1464</v>
      </c>
    </row>
    <row r="442" spans="1:14" x14ac:dyDescent="0.3">
      <c r="A442" t="s">
        <v>1465</v>
      </c>
      <c r="B442" t="s">
        <v>1466</v>
      </c>
      <c r="C442" t="s">
        <v>183</v>
      </c>
      <c r="D442" t="s">
        <v>1426</v>
      </c>
      <c r="E442" t="s">
        <v>1427</v>
      </c>
      <c r="F442" t="s">
        <v>303</v>
      </c>
      <c r="H442">
        <v>4186.88</v>
      </c>
      <c r="I442">
        <v>0</v>
      </c>
      <c r="J442" t="s">
        <v>115</v>
      </c>
      <c r="N442" s="14" t="s">
        <v>1467</v>
      </c>
    </row>
    <row r="443" spans="1:14" x14ac:dyDescent="0.3">
      <c r="A443" t="s">
        <v>1468</v>
      </c>
      <c r="B443" t="s">
        <v>1456</v>
      </c>
      <c r="C443" t="s">
        <v>183</v>
      </c>
      <c r="D443" t="s">
        <v>1426</v>
      </c>
      <c r="E443" t="s">
        <v>1427</v>
      </c>
      <c r="F443" t="s">
        <v>303</v>
      </c>
      <c r="G443" t="s">
        <v>1457</v>
      </c>
      <c r="H443">
        <v>5575.08</v>
      </c>
      <c r="I443">
        <v>5</v>
      </c>
      <c r="J443" t="s">
        <v>115</v>
      </c>
      <c r="N443" s="14" t="s">
        <v>1469</v>
      </c>
    </row>
    <row r="444" spans="1:14" x14ac:dyDescent="0.3">
      <c r="A444" t="s">
        <v>1470</v>
      </c>
      <c r="B444" t="s">
        <v>1471</v>
      </c>
      <c r="C444" t="s">
        <v>183</v>
      </c>
      <c r="D444" t="s">
        <v>1426</v>
      </c>
      <c r="E444" t="s">
        <v>1427</v>
      </c>
      <c r="F444" t="s">
        <v>303</v>
      </c>
      <c r="G444" t="s">
        <v>1472</v>
      </c>
      <c r="H444">
        <v>1809.6</v>
      </c>
      <c r="I444">
        <v>5</v>
      </c>
      <c r="J444" t="s">
        <v>115</v>
      </c>
      <c r="N444" s="14" t="s">
        <v>1473</v>
      </c>
    </row>
    <row r="445" spans="1:14" x14ac:dyDescent="0.3">
      <c r="A445" t="s">
        <v>1474</v>
      </c>
      <c r="B445" t="s">
        <v>1460</v>
      </c>
      <c r="C445" t="s">
        <v>183</v>
      </c>
      <c r="D445" t="s">
        <v>1426</v>
      </c>
      <c r="E445" t="s">
        <v>1427</v>
      </c>
      <c r="F445" t="s">
        <v>303</v>
      </c>
      <c r="G445" t="s">
        <v>1461</v>
      </c>
      <c r="H445">
        <v>500</v>
      </c>
      <c r="I445">
        <v>5</v>
      </c>
      <c r="J445" t="s">
        <v>115</v>
      </c>
      <c r="N445" s="14" t="s">
        <v>1475</v>
      </c>
    </row>
    <row r="446" spans="1:14" x14ac:dyDescent="0.3">
      <c r="A446" t="s">
        <v>1476</v>
      </c>
      <c r="B446" t="s">
        <v>1477</v>
      </c>
      <c r="C446" t="s">
        <v>183</v>
      </c>
      <c r="D446" t="s">
        <v>1426</v>
      </c>
      <c r="E446" t="s">
        <v>1427</v>
      </c>
      <c r="F446" t="s">
        <v>303</v>
      </c>
      <c r="G446" t="s">
        <v>1461</v>
      </c>
      <c r="H446">
        <v>2035.8</v>
      </c>
      <c r="I446">
        <v>5</v>
      </c>
      <c r="J446" t="s">
        <v>115</v>
      </c>
      <c r="N446" s="14" t="s">
        <v>1478</v>
      </c>
    </row>
    <row r="447" spans="1:14" x14ac:dyDescent="0.3">
      <c r="A447" t="s">
        <v>1479</v>
      </c>
      <c r="B447" t="s">
        <v>1471</v>
      </c>
      <c r="C447" t="s">
        <v>183</v>
      </c>
      <c r="D447" t="s">
        <v>1426</v>
      </c>
      <c r="E447" t="s">
        <v>1427</v>
      </c>
      <c r="F447" t="s">
        <v>303</v>
      </c>
      <c r="G447" t="s">
        <v>1472</v>
      </c>
      <c r="H447">
        <v>2239.38</v>
      </c>
      <c r="I447">
        <v>5</v>
      </c>
      <c r="J447" t="s">
        <v>115</v>
      </c>
      <c r="N447" s="14" t="s">
        <v>1480</v>
      </c>
    </row>
    <row r="448" spans="1:14" x14ac:dyDescent="0.3">
      <c r="A448" t="s">
        <v>1481</v>
      </c>
      <c r="B448" t="s">
        <v>1482</v>
      </c>
      <c r="C448" t="s">
        <v>137</v>
      </c>
      <c r="D448" t="s">
        <v>1426</v>
      </c>
      <c r="E448" t="s">
        <v>1427</v>
      </c>
      <c r="F448" t="s">
        <v>303</v>
      </c>
      <c r="G448" t="s">
        <v>1437</v>
      </c>
      <c r="H448">
        <v>7419.36</v>
      </c>
      <c r="I448">
        <v>5</v>
      </c>
      <c r="J448" t="s">
        <v>115</v>
      </c>
      <c r="N448" s="14" t="s">
        <v>1483</v>
      </c>
    </row>
    <row r="449" spans="1:14" x14ac:dyDescent="0.3">
      <c r="A449" t="s">
        <v>1484</v>
      </c>
      <c r="B449" t="s">
        <v>1485</v>
      </c>
      <c r="C449" t="s">
        <v>241</v>
      </c>
      <c r="D449" t="s">
        <v>1426</v>
      </c>
      <c r="E449" t="s">
        <v>1427</v>
      </c>
      <c r="F449" t="s">
        <v>303</v>
      </c>
      <c r="G449" t="s">
        <v>1441</v>
      </c>
      <c r="H449">
        <v>551.22</v>
      </c>
      <c r="I449">
        <v>5</v>
      </c>
      <c r="J449" t="s">
        <v>115</v>
      </c>
      <c r="N449" s="14" t="s">
        <v>1486</v>
      </c>
    </row>
    <row r="450" spans="1:14" x14ac:dyDescent="0.3">
      <c r="A450" t="s">
        <v>1487</v>
      </c>
      <c r="B450" t="s">
        <v>1488</v>
      </c>
      <c r="C450" t="s">
        <v>183</v>
      </c>
      <c r="D450" t="s">
        <v>1426</v>
      </c>
      <c r="E450" t="s">
        <v>1427</v>
      </c>
      <c r="F450" t="s">
        <v>303</v>
      </c>
      <c r="G450" t="s">
        <v>1437</v>
      </c>
      <c r="H450">
        <v>886.23</v>
      </c>
      <c r="I450">
        <v>5</v>
      </c>
      <c r="J450" t="s">
        <v>115</v>
      </c>
      <c r="N450" s="14" t="s">
        <v>1489</v>
      </c>
    </row>
    <row r="451" spans="1:14" x14ac:dyDescent="0.3">
      <c r="A451" t="s">
        <v>1490</v>
      </c>
      <c r="B451" t="s">
        <v>1491</v>
      </c>
      <c r="C451" t="s">
        <v>241</v>
      </c>
      <c r="D451" t="s">
        <v>1426</v>
      </c>
      <c r="E451" t="s">
        <v>1427</v>
      </c>
      <c r="F451" t="s">
        <v>303</v>
      </c>
      <c r="G451" t="s">
        <v>1441</v>
      </c>
      <c r="H451">
        <v>610.74</v>
      </c>
      <c r="I451">
        <v>5</v>
      </c>
      <c r="J451" t="s">
        <v>115</v>
      </c>
      <c r="N451" s="14" t="s">
        <v>1492</v>
      </c>
    </row>
    <row r="452" spans="1:14" x14ac:dyDescent="0.3">
      <c r="A452" t="s">
        <v>1493</v>
      </c>
      <c r="B452" t="s">
        <v>1494</v>
      </c>
      <c r="C452" t="s">
        <v>241</v>
      </c>
      <c r="D452" t="s">
        <v>1426</v>
      </c>
      <c r="E452" t="s">
        <v>1427</v>
      </c>
      <c r="F452" t="s">
        <v>303</v>
      </c>
      <c r="G452" t="s">
        <v>1441</v>
      </c>
      <c r="H452">
        <v>2149.84</v>
      </c>
      <c r="I452">
        <v>5</v>
      </c>
      <c r="J452" t="s">
        <v>115</v>
      </c>
      <c r="N452" s="14" t="s">
        <v>1495</v>
      </c>
    </row>
    <row r="453" spans="1:14" x14ac:dyDescent="0.3">
      <c r="A453" t="s">
        <v>1496</v>
      </c>
      <c r="B453" t="s">
        <v>1497</v>
      </c>
      <c r="C453" t="s">
        <v>241</v>
      </c>
      <c r="D453" t="s">
        <v>1426</v>
      </c>
      <c r="E453" t="s">
        <v>1427</v>
      </c>
      <c r="F453" t="s">
        <v>303</v>
      </c>
      <c r="G453" t="s">
        <v>1441</v>
      </c>
      <c r="H453">
        <v>561.9</v>
      </c>
      <c r="I453">
        <v>5</v>
      </c>
      <c r="J453" t="s">
        <v>115</v>
      </c>
      <c r="N453" s="14" t="s">
        <v>1498</v>
      </c>
    </row>
    <row r="454" spans="1:14" x14ac:dyDescent="0.3">
      <c r="A454" t="s">
        <v>1499</v>
      </c>
      <c r="B454" t="s">
        <v>1500</v>
      </c>
      <c r="C454" t="s">
        <v>241</v>
      </c>
      <c r="D454" t="s">
        <v>1426</v>
      </c>
      <c r="E454" t="s">
        <v>1427</v>
      </c>
      <c r="F454" t="s">
        <v>303</v>
      </c>
      <c r="G454" t="s">
        <v>1441</v>
      </c>
      <c r="H454">
        <v>746.46</v>
      </c>
      <c r="I454">
        <v>5</v>
      </c>
      <c r="J454" t="s">
        <v>115</v>
      </c>
      <c r="N454" s="14" t="s">
        <v>1501</v>
      </c>
    </row>
    <row r="455" spans="1:14" x14ac:dyDescent="0.3">
      <c r="A455" t="s">
        <v>1502</v>
      </c>
      <c r="B455" t="s">
        <v>1503</v>
      </c>
      <c r="C455" t="s">
        <v>183</v>
      </c>
      <c r="D455" t="s">
        <v>1426</v>
      </c>
      <c r="E455" t="s">
        <v>1427</v>
      </c>
      <c r="F455" t="s">
        <v>303</v>
      </c>
      <c r="H455">
        <v>539.75</v>
      </c>
      <c r="I455">
        <v>0</v>
      </c>
      <c r="J455" t="s">
        <v>115</v>
      </c>
      <c r="N455" s="14" t="s">
        <v>1504</v>
      </c>
    </row>
    <row r="456" spans="1:14" x14ac:dyDescent="0.3">
      <c r="A456" t="s">
        <v>1505</v>
      </c>
      <c r="B456" t="s">
        <v>1506</v>
      </c>
      <c r="C456" t="s">
        <v>241</v>
      </c>
      <c r="D456" t="s">
        <v>1426</v>
      </c>
      <c r="E456" t="s">
        <v>1427</v>
      </c>
      <c r="F456" t="s">
        <v>303</v>
      </c>
      <c r="H456">
        <v>829.44</v>
      </c>
      <c r="I456">
        <v>0</v>
      </c>
      <c r="J456" t="s">
        <v>115</v>
      </c>
      <c r="N456" s="14" t="s">
        <v>1507</v>
      </c>
    </row>
    <row r="457" spans="1:14" x14ac:dyDescent="0.3">
      <c r="A457" t="s">
        <v>1508</v>
      </c>
      <c r="B457" t="s">
        <v>1509</v>
      </c>
      <c r="C457" t="s">
        <v>241</v>
      </c>
      <c r="D457" t="s">
        <v>1426</v>
      </c>
      <c r="E457" t="s">
        <v>1427</v>
      </c>
      <c r="F457" t="s">
        <v>303</v>
      </c>
      <c r="H457">
        <v>278.23</v>
      </c>
      <c r="I457">
        <v>0</v>
      </c>
      <c r="J457" t="s">
        <v>115</v>
      </c>
      <c r="N457" s="14" t="s">
        <v>1510</v>
      </c>
    </row>
    <row r="458" spans="1:14" x14ac:dyDescent="0.3">
      <c r="A458" t="s">
        <v>1511</v>
      </c>
      <c r="B458" t="s">
        <v>1512</v>
      </c>
      <c r="C458" t="s">
        <v>183</v>
      </c>
      <c r="D458" t="s">
        <v>1426</v>
      </c>
      <c r="E458" t="s">
        <v>1427</v>
      </c>
      <c r="F458" t="s">
        <v>303</v>
      </c>
      <c r="G458" t="s">
        <v>1441</v>
      </c>
      <c r="H458">
        <v>531.71</v>
      </c>
      <c r="I458">
        <v>5</v>
      </c>
      <c r="J458" t="s">
        <v>115</v>
      </c>
      <c r="N458" s="14" t="s">
        <v>1513</v>
      </c>
    </row>
    <row r="459" spans="1:14" x14ac:dyDescent="0.3">
      <c r="A459" t="s">
        <v>1514</v>
      </c>
      <c r="B459" t="s">
        <v>1515</v>
      </c>
      <c r="C459" t="s">
        <v>183</v>
      </c>
      <c r="D459" t="s">
        <v>1426</v>
      </c>
      <c r="E459" t="s">
        <v>1427</v>
      </c>
      <c r="F459" t="s">
        <v>303</v>
      </c>
      <c r="H459">
        <v>844.73</v>
      </c>
      <c r="I459">
        <v>0</v>
      </c>
      <c r="J459" t="s">
        <v>115</v>
      </c>
      <c r="N459" s="14" t="s">
        <v>1516</v>
      </c>
    </row>
    <row r="460" spans="1:14" x14ac:dyDescent="0.3">
      <c r="A460" t="s">
        <v>1517</v>
      </c>
      <c r="B460" t="s">
        <v>1518</v>
      </c>
      <c r="C460" t="s">
        <v>137</v>
      </c>
      <c r="D460" t="s">
        <v>1426</v>
      </c>
      <c r="E460" t="s">
        <v>1427</v>
      </c>
      <c r="F460" t="s">
        <v>303</v>
      </c>
      <c r="H460">
        <v>3681.58</v>
      </c>
      <c r="I460">
        <v>0</v>
      </c>
      <c r="J460" t="s">
        <v>115</v>
      </c>
      <c r="N460" s="14" t="s">
        <v>1519</v>
      </c>
    </row>
    <row r="461" spans="1:14" x14ac:dyDescent="0.3">
      <c r="A461" t="s">
        <v>1520</v>
      </c>
      <c r="B461" t="s">
        <v>1521</v>
      </c>
      <c r="C461" t="s">
        <v>137</v>
      </c>
      <c r="D461" t="s">
        <v>1426</v>
      </c>
      <c r="E461" t="s">
        <v>1427</v>
      </c>
      <c r="F461" t="s">
        <v>303</v>
      </c>
      <c r="H461">
        <v>5225</v>
      </c>
      <c r="I461">
        <v>0</v>
      </c>
      <c r="J461" t="s">
        <v>115</v>
      </c>
      <c r="N461" s="14" t="s">
        <v>1522</v>
      </c>
    </row>
    <row r="462" spans="1:14" x14ac:dyDescent="0.3">
      <c r="A462" t="s">
        <v>1523</v>
      </c>
      <c r="B462" t="s">
        <v>1524</v>
      </c>
      <c r="C462" t="s">
        <v>183</v>
      </c>
      <c r="D462" t="s">
        <v>1426</v>
      </c>
      <c r="E462" t="s">
        <v>1427</v>
      </c>
      <c r="F462" t="s">
        <v>303</v>
      </c>
      <c r="G462" t="s">
        <v>1525</v>
      </c>
      <c r="H462">
        <v>3544.73</v>
      </c>
      <c r="I462">
        <v>5</v>
      </c>
      <c r="J462" t="s">
        <v>115</v>
      </c>
      <c r="N462" s="14" t="s">
        <v>1526</v>
      </c>
    </row>
    <row r="463" spans="1:14" x14ac:dyDescent="0.3">
      <c r="A463" t="s">
        <v>1527</v>
      </c>
      <c r="B463" t="s">
        <v>1528</v>
      </c>
      <c r="C463" t="s">
        <v>183</v>
      </c>
      <c r="D463" t="s">
        <v>1426</v>
      </c>
      <c r="E463" t="s">
        <v>1427</v>
      </c>
      <c r="F463" t="s">
        <v>303</v>
      </c>
      <c r="H463">
        <v>678.6</v>
      </c>
      <c r="I463">
        <v>0</v>
      </c>
      <c r="J463" t="s">
        <v>115</v>
      </c>
      <c r="N463" s="14" t="s">
        <v>1529</v>
      </c>
    </row>
    <row r="464" spans="1:14" x14ac:dyDescent="0.3">
      <c r="A464" t="s">
        <v>1530</v>
      </c>
      <c r="B464" t="s">
        <v>1531</v>
      </c>
      <c r="C464" t="s">
        <v>137</v>
      </c>
      <c r="D464" t="s">
        <v>1426</v>
      </c>
      <c r="E464" t="s">
        <v>1427</v>
      </c>
      <c r="F464" t="s">
        <v>303</v>
      </c>
      <c r="H464">
        <v>6457.67</v>
      </c>
      <c r="I464">
        <v>0</v>
      </c>
      <c r="J464" t="s">
        <v>115</v>
      </c>
      <c r="N464" s="14" t="s">
        <v>1532</v>
      </c>
    </row>
    <row r="465" spans="1:14" x14ac:dyDescent="0.3">
      <c r="A465" t="s">
        <v>1533</v>
      </c>
      <c r="B465" t="s">
        <v>1534</v>
      </c>
      <c r="C465" t="s">
        <v>183</v>
      </c>
      <c r="D465" t="s">
        <v>1426</v>
      </c>
      <c r="E465" t="s">
        <v>1427</v>
      </c>
      <c r="F465" t="s">
        <v>303</v>
      </c>
      <c r="G465" t="s">
        <v>1472</v>
      </c>
      <c r="H465">
        <v>16720</v>
      </c>
      <c r="I465">
        <v>5</v>
      </c>
      <c r="J465" t="s">
        <v>115</v>
      </c>
      <c r="N465" s="14" t="s">
        <v>1535</v>
      </c>
    </row>
    <row r="466" spans="1:14" x14ac:dyDescent="0.3">
      <c r="A466" t="s">
        <v>1536</v>
      </c>
      <c r="B466" t="s">
        <v>1537</v>
      </c>
      <c r="C466" t="s">
        <v>183</v>
      </c>
      <c r="D466" t="s">
        <v>1426</v>
      </c>
      <c r="E466" t="s">
        <v>1427</v>
      </c>
      <c r="F466" t="s">
        <v>303</v>
      </c>
      <c r="H466">
        <v>4950</v>
      </c>
      <c r="I466">
        <v>0</v>
      </c>
      <c r="J466" t="s">
        <v>92</v>
      </c>
      <c r="N466" s="14" t="s">
        <v>1538</v>
      </c>
    </row>
    <row r="467" spans="1:14" x14ac:dyDescent="0.3">
      <c r="A467" t="s">
        <v>1539</v>
      </c>
      <c r="B467" t="s">
        <v>1540</v>
      </c>
      <c r="C467" t="s">
        <v>183</v>
      </c>
      <c r="D467" t="s">
        <v>1426</v>
      </c>
      <c r="E467" t="s">
        <v>1427</v>
      </c>
      <c r="F467" t="s">
        <v>303</v>
      </c>
      <c r="G467" t="s">
        <v>1472</v>
      </c>
      <c r="H467">
        <v>2714.4</v>
      </c>
      <c r="I467">
        <v>5</v>
      </c>
      <c r="J467" t="s">
        <v>115</v>
      </c>
      <c r="N467" s="14" t="s">
        <v>1541</v>
      </c>
    </row>
    <row r="468" spans="1:14" x14ac:dyDescent="0.3">
      <c r="A468" t="s">
        <v>1542</v>
      </c>
      <c r="B468" t="s">
        <v>1543</v>
      </c>
      <c r="C468" t="s">
        <v>183</v>
      </c>
      <c r="D468" t="s">
        <v>1426</v>
      </c>
      <c r="E468" t="s">
        <v>1427</v>
      </c>
      <c r="F468" t="s">
        <v>303</v>
      </c>
      <c r="G468" t="s">
        <v>1441</v>
      </c>
      <c r="H468">
        <v>1492.92</v>
      </c>
      <c r="I468">
        <v>5</v>
      </c>
      <c r="J468" t="s">
        <v>115</v>
      </c>
      <c r="N468" s="14" t="s">
        <v>1544</v>
      </c>
    </row>
    <row r="469" spans="1:14" x14ac:dyDescent="0.3">
      <c r="A469" t="s">
        <v>1545</v>
      </c>
      <c r="B469" t="s">
        <v>1485</v>
      </c>
      <c r="C469" t="s">
        <v>183</v>
      </c>
      <c r="D469" t="s">
        <v>1426</v>
      </c>
      <c r="E469" t="s">
        <v>1427</v>
      </c>
      <c r="F469" t="s">
        <v>303</v>
      </c>
      <c r="G469" t="s">
        <v>1441</v>
      </c>
      <c r="H469">
        <v>1073.8499999999999</v>
      </c>
      <c r="I469">
        <v>5</v>
      </c>
      <c r="J469" t="s">
        <v>115</v>
      </c>
      <c r="N469" s="14" t="s">
        <v>1546</v>
      </c>
    </row>
    <row r="470" spans="1:14" x14ac:dyDescent="0.3">
      <c r="A470" t="s">
        <v>1547</v>
      </c>
      <c r="B470" t="s">
        <v>1548</v>
      </c>
      <c r="C470" t="s">
        <v>183</v>
      </c>
      <c r="D470" t="s">
        <v>1426</v>
      </c>
      <c r="E470" t="s">
        <v>1427</v>
      </c>
      <c r="F470" t="s">
        <v>303</v>
      </c>
      <c r="H470">
        <v>2612.5</v>
      </c>
      <c r="I470">
        <v>0</v>
      </c>
      <c r="J470" t="s">
        <v>115</v>
      </c>
      <c r="N470" s="14" t="s">
        <v>1549</v>
      </c>
    </row>
    <row r="471" spans="1:14" x14ac:dyDescent="0.3">
      <c r="A471" t="s">
        <v>1550</v>
      </c>
      <c r="B471" t="s">
        <v>1551</v>
      </c>
      <c r="C471" t="s">
        <v>183</v>
      </c>
      <c r="D471" t="s">
        <v>1426</v>
      </c>
      <c r="E471" t="s">
        <v>1427</v>
      </c>
      <c r="F471" t="s">
        <v>303</v>
      </c>
      <c r="H471">
        <v>1945.32</v>
      </c>
      <c r="I471">
        <v>0</v>
      </c>
      <c r="J471" t="s">
        <v>115</v>
      </c>
      <c r="N471" s="14" t="s">
        <v>1552</v>
      </c>
    </row>
    <row r="472" spans="1:14" x14ac:dyDescent="0.3">
      <c r="A472" t="s">
        <v>1553</v>
      </c>
      <c r="B472" t="s">
        <v>1554</v>
      </c>
      <c r="C472" t="s">
        <v>183</v>
      </c>
      <c r="D472" t="s">
        <v>1426</v>
      </c>
      <c r="E472" t="s">
        <v>1427</v>
      </c>
      <c r="F472" t="s">
        <v>303</v>
      </c>
      <c r="G472" t="s">
        <v>1437</v>
      </c>
      <c r="H472">
        <v>1933.25</v>
      </c>
      <c r="I472">
        <v>5</v>
      </c>
      <c r="J472" t="s">
        <v>115</v>
      </c>
      <c r="N472" s="14" t="s">
        <v>1555</v>
      </c>
    </row>
    <row r="473" spans="1:14" x14ac:dyDescent="0.3">
      <c r="A473" t="s">
        <v>1556</v>
      </c>
      <c r="B473" t="s">
        <v>1557</v>
      </c>
      <c r="C473" t="s">
        <v>241</v>
      </c>
      <c r="D473" t="s">
        <v>1426</v>
      </c>
      <c r="E473" t="s">
        <v>1427</v>
      </c>
      <c r="F473" t="s">
        <v>303</v>
      </c>
      <c r="G473" t="s">
        <v>1441</v>
      </c>
      <c r="H473">
        <v>791.7</v>
      </c>
      <c r="I473">
        <v>5</v>
      </c>
      <c r="J473" t="s">
        <v>115</v>
      </c>
      <c r="N473" s="14" t="s">
        <v>1558</v>
      </c>
    </row>
    <row r="474" spans="1:14" x14ac:dyDescent="0.3">
      <c r="A474" t="s">
        <v>1559</v>
      </c>
      <c r="B474" t="s">
        <v>1560</v>
      </c>
      <c r="C474" t="s">
        <v>183</v>
      </c>
      <c r="D474" t="s">
        <v>1426</v>
      </c>
      <c r="E474" t="s">
        <v>1427</v>
      </c>
      <c r="F474" t="s">
        <v>355</v>
      </c>
      <c r="H474">
        <v>4180</v>
      </c>
      <c r="I474">
        <v>0</v>
      </c>
      <c r="J474" t="s">
        <v>115</v>
      </c>
      <c r="N474" s="14" t="s">
        <v>1561</v>
      </c>
    </row>
    <row r="475" spans="1:14" x14ac:dyDescent="0.3">
      <c r="A475" t="s">
        <v>1562</v>
      </c>
      <c r="B475" t="s">
        <v>1563</v>
      </c>
      <c r="C475" t="s">
        <v>88</v>
      </c>
      <c r="D475" t="s">
        <v>1426</v>
      </c>
      <c r="E475" t="s">
        <v>1427</v>
      </c>
      <c r="F475" t="s">
        <v>355</v>
      </c>
      <c r="H475">
        <v>2714.4</v>
      </c>
      <c r="I475">
        <v>0</v>
      </c>
      <c r="J475" t="s">
        <v>115</v>
      </c>
      <c r="N475" s="14" t="s">
        <v>1564</v>
      </c>
    </row>
    <row r="476" spans="1:14" x14ac:dyDescent="0.3">
      <c r="A476" t="s">
        <v>1565</v>
      </c>
      <c r="B476" t="s">
        <v>1566</v>
      </c>
      <c r="C476" t="s">
        <v>183</v>
      </c>
      <c r="D476" t="s">
        <v>1567</v>
      </c>
      <c r="E476" t="s">
        <v>1568</v>
      </c>
      <c r="F476" t="s">
        <v>91</v>
      </c>
      <c r="G476" t="s">
        <v>1441</v>
      </c>
      <c r="H476">
        <v>2090</v>
      </c>
      <c r="I476">
        <v>5</v>
      </c>
      <c r="J476" t="s">
        <v>115</v>
      </c>
      <c r="N476" s="14" t="s">
        <v>1569</v>
      </c>
    </row>
    <row r="477" spans="1:14" x14ac:dyDescent="0.3">
      <c r="A477" t="s">
        <v>1570</v>
      </c>
      <c r="B477" t="s">
        <v>1571</v>
      </c>
      <c r="C477" t="s">
        <v>183</v>
      </c>
      <c r="D477" t="s">
        <v>1567</v>
      </c>
      <c r="E477" t="s">
        <v>1568</v>
      </c>
      <c r="F477" t="s">
        <v>91</v>
      </c>
      <c r="H477">
        <v>4702.5</v>
      </c>
      <c r="I477">
        <v>0</v>
      </c>
      <c r="J477" t="s">
        <v>115</v>
      </c>
      <c r="N477" s="14" t="s">
        <v>1572</v>
      </c>
    </row>
    <row r="478" spans="1:14" x14ac:dyDescent="0.3">
      <c r="A478" t="s">
        <v>1573</v>
      </c>
      <c r="B478" t="s">
        <v>1574</v>
      </c>
      <c r="C478" t="s">
        <v>1575</v>
      </c>
      <c r="D478" t="s">
        <v>1567</v>
      </c>
      <c r="E478" t="s">
        <v>1568</v>
      </c>
      <c r="F478" t="s">
        <v>91</v>
      </c>
      <c r="G478" t="s">
        <v>1576</v>
      </c>
      <c r="H478">
        <v>470.25</v>
      </c>
      <c r="I478">
        <v>5</v>
      </c>
      <c r="J478" t="s">
        <v>115</v>
      </c>
      <c r="N478" s="14" t="s">
        <v>1577</v>
      </c>
    </row>
    <row r="479" spans="1:14" x14ac:dyDescent="0.3">
      <c r="A479" t="s">
        <v>1578</v>
      </c>
      <c r="B479" t="s">
        <v>1488</v>
      </c>
      <c r="C479" t="s">
        <v>183</v>
      </c>
      <c r="D479" t="s">
        <v>1567</v>
      </c>
      <c r="E479" t="s">
        <v>1568</v>
      </c>
      <c r="F479" t="s">
        <v>91</v>
      </c>
      <c r="G479" t="s">
        <v>1437</v>
      </c>
      <c r="H479">
        <v>588.12</v>
      </c>
      <c r="I479">
        <v>5</v>
      </c>
      <c r="J479" t="s">
        <v>115</v>
      </c>
      <c r="N479" s="14" t="s">
        <v>1579</v>
      </c>
    </row>
    <row r="480" spans="1:14" x14ac:dyDescent="0.3">
      <c r="A480" t="s">
        <v>1580</v>
      </c>
      <c r="B480" t="s">
        <v>1581</v>
      </c>
      <c r="C480" t="s">
        <v>137</v>
      </c>
      <c r="D480" t="s">
        <v>1567</v>
      </c>
      <c r="E480" t="s">
        <v>1568</v>
      </c>
      <c r="F480" t="s">
        <v>91</v>
      </c>
      <c r="G480" t="s">
        <v>1582</v>
      </c>
      <c r="H480">
        <v>271.44</v>
      </c>
      <c r="I480">
        <v>5</v>
      </c>
      <c r="J480" t="s">
        <v>115</v>
      </c>
      <c r="N480" s="14" t="s">
        <v>1583</v>
      </c>
    </row>
    <row r="481" spans="1:14" x14ac:dyDescent="0.3">
      <c r="A481" t="s">
        <v>1584</v>
      </c>
      <c r="B481" t="s">
        <v>1581</v>
      </c>
      <c r="C481" t="s">
        <v>137</v>
      </c>
      <c r="D481" t="s">
        <v>1567</v>
      </c>
      <c r="E481" t="s">
        <v>1568</v>
      </c>
      <c r="F481" t="s">
        <v>91</v>
      </c>
      <c r="G481" t="s">
        <v>1582</v>
      </c>
      <c r="H481">
        <v>305.37</v>
      </c>
      <c r="I481">
        <v>5</v>
      </c>
      <c r="J481" t="s">
        <v>115</v>
      </c>
      <c r="N481" s="14" t="s">
        <v>1585</v>
      </c>
    </row>
    <row r="482" spans="1:14" x14ac:dyDescent="0.3">
      <c r="A482" t="s">
        <v>1586</v>
      </c>
      <c r="B482" t="s">
        <v>1587</v>
      </c>
      <c r="C482" t="s">
        <v>137</v>
      </c>
      <c r="D482" t="s">
        <v>1567</v>
      </c>
      <c r="E482" t="s">
        <v>1568</v>
      </c>
      <c r="F482" t="s">
        <v>91</v>
      </c>
      <c r="G482" t="s">
        <v>1576</v>
      </c>
      <c r="H482">
        <v>0</v>
      </c>
      <c r="I482">
        <v>0</v>
      </c>
      <c r="J482" t="s">
        <v>115</v>
      </c>
      <c r="N482" s="14" t="s">
        <v>1588</v>
      </c>
    </row>
    <row r="483" spans="1:14" x14ac:dyDescent="0.3">
      <c r="A483" t="s">
        <v>1589</v>
      </c>
      <c r="B483" t="s">
        <v>1574</v>
      </c>
      <c r="C483" t="s">
        <v>183</v>
      </c>
      <c r="D483" t="s">
        <v>1567</v>
      </c>
      <c r="E483" t="s">
        <v>1568</v>
      </c>
      <c r="F483" t="s">
        <v>91</v>
      </c>
      <c r="G483" t="s">
        <v>1576</v>
      </c>
      <c r="H483">
        <v>1881</v>
      </c>
      <c r="I483">
        <v>5</v>
      </c>
      <c r="J483" t="s">
        <v>115</v>
      </c>
      <c r="N483" s="14" t="s">
        <v>1590</v>
      </c>
    </row>
    <row r="484" spans="1:14" x14ac:dyDescent="0.3">
      <c r="A484" t="s">
        <v>1591</v>
      </c>
      <c r="B484" t="s">
        <v>1574</v>
      </c>
      <c r="C484" t="s">
        <v>183</v>
      </c>
      <c r="D484" t="s">
        <v>1567</v>
      </c>
      <c r="E484" t="s">
        <v>1568</v>
      </c>
      <c r="F484" t="s">
        <v>91</v>
      </c>
      <c r="G484" t="s">
        <v>1576</v>
      </c>
      <c r="H484">
        <v>2351.25</v>
      </c>
      <c r="I484">
        <v>5</v>
      </c>
      <c r="J484" t="s">
        <v>115</v>
      </c>
      <c r="N484" s="14" t="s">
        <v>1592</v>
      </c>
    </row>
    <row r="485" spans="1:14" x14ac:dyDescent="0.3">
      <c r="A485" t="s">
        <v>1593</v>
      </c>
      <c r="B485" t="s">
        <v>1574</v>
      </c>
      <c r="C485" t="s">
        <v>183</v>
      </c>
      <c r="D485" t="s">
        <v>1567</v>
      </c>
      <c r="E485" t="s">
        <v>1568</v>
      </c>
      <c r="F485" t="s">
        <v>91</v>
      </c>
      <c r="G485" t="s">
        <v>1576</v>
      </c>
      <c r="H485">
        <v>2821.5</v>
      </c>
      <c r="I485">
        <v>5</v>
      </c>
      <c r="J485" t="s">
        <v>115</v>
      </c>
      <c r="N485" s="14" t="s">
        <v>1594</v>
      </c>
    </row>
    <row r="486" spans="1:14" x14ac:dyDescent="0.3">
      <c r="A486" t="s">
        <v>1595</v>
      </c>
      <c r="B486" t="s">
        <v>1574</v>
      </c>
      <c r="C486" t="s">
        <v>183</v>
      </c>
      <c r="D486" t="s">
        <v>1567</v>
      </c>
      <c r="E486" t="s">
        <v>1568</v>
      </c>
      <c r="F486" t="s">
        <v>91</v>
      </c>
      <c r="G486" t="s">
        <v>1576</v>
      </c>
      <c r="H486">
        <v>3291.75</v>
      </c>
      <c r="I486">
        <v>5</v>
      </c>
      <c r="J486" t="s">
        <v>115</v>
      </c>
      <c r="N486" s="14" t="s">
        <v>1596</v>
      </c>
    </row>
    <row r="487" spans="1:14" x14ac:dyDescent="0.3">
      <c r="A487" t="s">
        <v>1597</v>
      </c>
      <c r="B487" t="s">
        <v>1574</v>
      </c>
      <c r="C487" t="s">
        <v>183</v>
      </c>
      <c r="D487" t="s">
        <v>1567</v>
      </c>
      <c r="E487" t="s">
        <v>1568</v>
      </c>
      <c r="F487" t="s">
        <v>91</v>
      </c>
      <c r="G487" t="s">
        <v>1576</v>
      </c>
      <c r="H487">
        <v>3762</v>
      </c>
      <c r="I487">
        <v>5</v>
      </c>
      <c r="J487" t="s">
        <v>115</v>
      </c>
      <c r="N487" s="14" t="s">
        <v>1598</v>
      </c>
    </row>
    <row r="488" spans="1:14" x14ac:dyDescent="0.3">
      <c r="A488" t="s">
        <v>1599</v>
      </c>
      <c r="B488" t="s">
        <v>1574</v>
      </c>
      <c r="C488" t="s">
        <v>183</v>
      </c>
      <c r="D488" t="s">
        <v>1567</v>
      </c>
      <c r="E488" t="s">
        <v>1568</v>
      </c>
      <c r="F488" t="s">
        <v>91</v>
      </c>
      <c r="G488" t="s">
        <v>1576</v>
      </c>
      <c r="H488">
        <v>4232.25</v>
      </c>
      <c r="I488">
        <v>5</v>
      </c>
      <c r="J488" t="s">
        <v>115</v>
      </c>
      <c r="N488" s="14" t="s">
        <v>1600</v>
      </c>
    </row>
    <row r="489" spans="1:14" x14ac:dyDescent="0.3">
      <c r="A489" t="s">
        <v>1601</v>
      </c>
      <c r="B489" t="s">
        <v>1574</v>
      </c>
      <c r="C489" t="s">
        <v>183</v>
      </c>
      <c r="D489" t="s">
        <v>1567</v>
      </c>
      <c r="E489" t="s">
        <v>1568</v>
      </c>
      <c r="F489" t="s">
        <v>91</v>
      </c>
      <c r="G489" t="s">
        <v>1576</v>
      </c>
      <c r="H489">
        <v>5172.75</v>
      </c>
      <c r="I489">
        <v>5</v>
      </c>
      <c r="J489" t="s">
        <v>115</v>
      </c>
      <c r="N489" s="14" t="s">
        <v>1602</v>
      </c>
    </row>
    <row r="490" spans="1:14" x14ac:dyDescent="0.3">
      <c r="A490" t="s">
        <v>1603</v>
      </c>
      <c r="B490" t="s">
        <v>1574</v>
      </c>
      <c r="C490" t="s">
        <v>183</v>
      </c>
      <c r="D490" t="s">
        <v>1567</v>
      </c>
      <c r="E490" t="s">
        <v>1568</v>
      </c>
      <c r="F490" t="s">
        <v>91</v>
      </c>
      <c r="G490" t="s">
        <v>1576</v>
      </c>
      <c r="H490">
        <v>5643</v>
      </c>
      <c r="I490">
        <v>5</v>
      </c>
      <c r="J490" t="s">
        <v>115</v>
      </c>
      <c r="N490" s="14" t="s">
        <v>1604</v>
      </c>
    </row>
    <row r="491" spans="1:14" x14ac:dyDescent="0.3">
      <c r="A491" t="s">
        <v>1605</v>
      </c>
      <c r="B491" t="s">
        <v>1574</v>
      </c>
      <c r="C491" t="s">
        <v>183</v>
      </c>
      <c r="D491" t="s">
        <v>1567</v>
      </c>
      <c r="E491" t="s">
        <v>1568</v>
      </c>
      <c r="F491" t="s">
        <v>91</v>
      </c>
      <c r="G491" t="s">
        <v>1576</v>
      </c>
      <c r="H491">
        <v>6113.25</v>
      </c>
      <c r="I491">
        <v>5</v>
      </c>
      <c r="J491" t="s">
        <v>115</v>
      </c>
      <c r="N491" s="14" t="s">
        <v>1606</v>
      </c>
    </row>
    <row r="492" spans="1:14" x14ac:dyDescent="0.3">
      <c r="A492" t="s">
        <v>1607</v>
      </c>
      <c r="B492" t="s">
        <v>1574</v>
      </c>
      <c r="C492" t="s">
        <v>183</v>
      </c>
      <c r="D492" t="s">
        <v>1567</v>
      </c>
      <c r="E492" t="s">
        <v>1568</v>
      </c>
      <c r="F492" t="s">
        <v>91</v>
      </c>
      <c r="G492" t="s">
        <v>1576</v>
      </c>
      <c r="H492">
        <v>6583.5</v>
      </c>
      <c r="I492">
        <v>5</v>
      </c>
      <c r="J492" t="s">
        <v>115</v>
      </c>
      <c r="N492" s="14" t="s">
        <v>1608</v>
      </c>
    </row>
    <row r="493" spans="1:14" x14ac:dyDescent="0.3">
      <c r="A493" t="s">
        <v>1609</v>
      </c>
      <c r="B493" t="s">
        <v>1610</v>
      </c>
      <c r="C493" t="s">
        <v>183</v>
      </c>
      <c r="D493" t="s">
        <v>1567</v>
      </c>
      <c r="E493" t="s">
        <v>1568</v>
      </c>
      <c r="F493" t="s">
        <v>91</v>
      </c>
      <c r="H493">
        <v>3175.5</v>
      </c>
      <c r="I493">
        <v>0</v>
      </c>
      <c r="J493" t="s">
        <v>115</v>
      </c>
      <c r="N493" s="14" t="s">
        <v>1611</v>
      </c>
    </row>
    <row r="494" spans="1:14" x14ac:dyDescent="0.3">
      <c r="A494" t="s">
        <v>1612</v>
      </c>
      <c r="B494" t="s">
        <v>1574</v>
      </c>
      <c r="C494" t="s">
        <v>183</v>
      </c>
      <c r="D494" t="s">
        <v>1567</v>
      </c>
      <c r="E494" t="s">
        <v>1568</v>
      </c>
      <c r="F494" t="s">
        <v>91</v>
      </c>
      <c r="G494" t="s">
        <v>1576</v>
      </c>
      <c r="H494">
        <v>3328.29</v>
      </c>
      <c r="I494">
        <v>5</v>
      </c>
      <c r="J494" t="s">
        <v>115</v>
      </c>
      <c r="N494" s="14" t="s">
        <v>1613</v>
      </c>
    </row>
    <row r="495" spans="1:14" x14ac:dyDescent="0.3">
      <c r="A495" t="s">
        <v>1614</v>
      </c>
      <c r="B495" t="s">
        <v>1574</v>
      </c>
      <c r="C495" t="s">
        <v>183</v>
      </c>
      <c r="D495" t="s">
        <v>1567</v>
      </c>
      <c r="E495" t="s">
        <v>1568</v>
      </c>
      <c r="F495" t="s">
        <v>91</v>
      </c>
      <c r="G495" t="s">
        <v>1576</v>
      </c>
      <c r="H495">
        <v>3439.08</v>
      </c>
      <c r="I495">
        <v>5</v>
      </c>
      <c r="J495" t="s">
        <v>115</v>
      </c>
      <c r="N495" s="14" t="s">
        <v>1615</v>
      </c>
    </row>
    <row r="496" spans="1:14" x14ac:dyDescent="0.3">
      <c r="A496" t="s">
        <v>1616</v>
      </c>
      <c r="B496" t="s">
        <v>1574</v>
      </c>
      <c r="C496" t="s">
        <v>183</v>
      </c>
      <c r="D496" t="s">
        <v>1567</v>
      </c>
      <c r="E496" t="s">
        <v>1568</v>
      </c>
      <c r="F496" t="s">
        <v>91</v>
      </c>
      <c r="G496" t="s">
        <v>1576</v>
      </c>
      <c r="H496">
        <v>3463.69</v>
      </c>
      <c r="I496">
        <v>5</v>
      </c>
      <c r="J496" t="s">
        <v>115</v>
      </c>
      <c r="N496" s="14" t="s">
        <v>1617</v>
      </c>
    </row>
    <row r="497" spans="1:14" x14ac:dyDescent="0.3">
      <c r="A497" t="s">
        <v>1618</v>
      </c>
      <c r="B497" t="s">
        <v>1619</v>
      </c>
      <c r="C497" t="s">
        <v>183</v>
      </c>
      <c r="D497" t="s">
        <v>1567</v>
      </c>
      <c r="E497" t="s">
        <v>1568</v>
      </c>
      <c r="F497" t="s">
        <v>91</v>
      </c>
      <c r="G497" t="s">
        <v>1576</v>
      </c>
      <c r="H497">
        <v>1874.2</v>
      </c>
      <c r="I497">
        <v>5</v>
      </c>
      <c r="J497" t="s">
        <v>115</v>
      </c>
      <c r="N497" s="14" t="s">
        <v>1620</v>
      </c>
    </row>
    <row r="498" spans="1:14" x14ac:dyDescent="0.3">
      <c r="A498" t="s">
        <v>1621</v>
      </c>
      <c r="B498" t="s">
        <v>1622</v>
      </c>
      <c r="C498" t="s">
        <v>183</v>
      </c>
      <c r="D498" t="s">
        <v>1567</v>
      </c>
      <c r="E498" t="s">
        <v>1568</v>
      </c>
      <c r="F498" t="s">
        <v>91</v>
      </c>
      <c r="H498">
        <v>130.5</v>
      </c>
      <c r="I498">
        <v>0</v>
      </c>
      <c r="J498" t="s">
        <v>115</v>
      </c>
      <c r="N498" s="14" t="s">
        <v>1623</v>
      </c>
    </row>
    <row r="499" spans="1:14" x14ac:dyDescent="0.3">
      <c r="A499" t="s">
        <v>1624</v>
      </c>
      <c r="B499" t="s">
        <v>1625</v>
      </c>
      <c r="C499" t="s">
        <v>1575</v>
      </c>
      <c r="D499" t="s">
        <v>1567</v>
      </c>
      <c r="E499" t="s">
        <v>1568</v>
      </c>
      <c r="F499" t="s">
        <v>91</v>
      </c>
      <c r="G499" t="s">
        <v>1576</v>
      </c>
      <c r="H499">
        <v>887.73</v>
      </c>
      <c r="I499">
        <v>5</v>
      </c>
      <c r="J499" t="s">
        <v>115</v>
      </c>
      <c r="N499" s="14" t="s">
        <v>1626</v>
      </c>
    </row>
    <row r="500" spans="1:14" x14ac:dyDescent="0.3">
      <c r="A500" t="s">
        <v>1627</v>
      </c>
      <c r="B500" t="s">
        <v>1485</v>
      </c>
      <c r="C500" t="s">
        <v>241</v>
      </c>
      <c r="D500" t="s">
        <v>1567</v>
      </c>
      <c r="E500" t="s">
        <v>1568</v>
      </c>
      <c r="F500" t="s">
        <v>91</v>
      </c>
      <c r="G500" t="s">
        <v>1441</v>
      </c>
      <c r="H500">
        <v>551.22</v>
      </c>
      <c r="I500">
        <v>5</v>
      </c>
      <c r="J500" t="s">
        <v>115</v>
      </c>
      <c r="N500" s="14" t="s">
        <v>1628</v>
      </c>
    </row>
    <row r="501" spans="1:14" x14ac:dyDescent="0.3">
      <c r="A501" t="s">
        <v>1629</v>
      </c>
      <c r="B501" t="s">
        <v>1630</v>
      </c>
      <c r="C501" t="s">
        <v>183</v>
      </c>
      <c r="D501" t="s">
        <v>1567</v>
      </c>
      <c r="E501" t="s">
        <v>1568</v>
      </c>
      <c r="F501" t="s">
        <v>91</v>
      </c>
      <c r="G501" t="s">
        <v>1437</v>
      </c>
      <c r="H501">
        <v>886.23</v>
      </c>
      <c r="I501">
        <v>5</v>
      </c>
      <c r="J501" t="s">
        <v>115</v>
      </c>
      <c r="N501" s="14" t="s">
        <v>1631</v>
      </c>
    </row>
    <row r="502" spans="1:14" x14ac:dyDescent="0.3">
      <c r="A502" t="s">
        <v>1632</v>
      </c>
      <c r="B502" t="s">
        <v>1633</v>
      </c>
      <c r="C502" t="s">
        <v>137</v>
      </c>
      <c r="D502" t="s">
        <v>1567</v>
      </c>
      <c r="E502" t="s">
        <v>1568</v>
      </c>
      <c r="F502" t="s">
        <v>91</v>
      </c>
      <c r="H502">
        <v>33963</v>
      </c>
      <c r="I502">
        <v>0</v>
      </c>
      <c r="J502" t="s">
        <v>115</v>
      </c>
      <c r="N502" s="14" t="s">
        <v>1634</v>
      </c>
    </row>
    <row r="503" spans="1:14" x14ac:dyDescent="0.3">
      <c r="A503" t="s">
        <v>1635</v>
      </c>
      <c r="B503" t="s">
        <v>1636</v>
      </c>
      <c r="C503" t="s">
        <v>199</v>
      </c>
      <c r="D503" t="s">
        <v>1567</v>
      </c>
      <c r="E503" t="s">
        <v>1568</v>
      </c>
      <c r="F503" t="s">
        <v>91</v>
      </c>
      <c r="H503">
        <v>113.21</v>
      </c>
      <c r="I503">
        <v>0</v>
      </c>
      <c r="J503" t="s">
        <v>115</v>
      </c>
      <c r="N503" s="14" t="s">
        <v>1637</v>
      </c>
    </row>
    <row r="504" spans="1:14" x14ac:dyDescent="0.3">
      <c r="A504" t="s">
        <v>1638</v>
      </c>
      <c r="B504" t="s">
        <v>1639</v>
      </c>
      <c r="C504" t="s">
        <v>183</v>
      </c>
      <c r="D504" t="s">
        <v>1567</v>
      </c>
      <c r="E504" t="s">
        <v>1568</v>
      </c>
      <c r="F504" t="s">
        <v>91</v>
      </c>
      <c r="G504" t="s">
        <v>1441</v>
      </c>
      <c r="H504">
        <v>3053.7</v>
      </c>
      <c r="I504">
        <v>5</v>
      </c>
      <c r="J504" t="s">
        <v>115</v>
      </c>
      <c r="N504" s="14" t="s">
        <v>1640</v>
      </c>
    </row>
    <row r="505" spans="1:14" x14ac:dyDescent="0.3">
      <c r="A505" t="s">
        <v>1641</v>
      </c>
      <c r="B505" t="s">
        <v>1642</v>
      </c>
      <c r="C505" t="s">
        <v>183</v>
      </c>
      <c r="D505" t="s">
        <v>1567</v>
      </c>
      <c r="E505" t="s">
        <v>1568</v>
      </c>
      <c r="F505" t="s">
        <v>91</v>
      </c>
      <c r="H505">
        <v>6135.33</v>
      </c>
      <c r="I505">
        <v>0</v>
      </c>
      <c r="J505" t="s">
        <v>115</v>
      </c>
      <c r="N505" s="14" t="s">
        <v>1643</v>
      </c>
    </row>
    <row r="506" spans="1:14" x14ac:dyDescent="0.3">
      <c r="A506" t="s">
        <v>1644</v>
      </c>
      <c r="B506" t="s">
        <v>1645</v>
      </c>
      <c r="C506" t="s">
        <v>183</v>
      </c>
      <c r="D506" t="s">
        <v>1567</v>
      </c>
      <c r="E506" t="s">
        <v>1568</v>
      </c>
      <c r="F506" t="s">
        <v>91</v>
      </c>
      <c r="G506" t="s">
        <v>1441</v>
      </c>
      <c r="H506">
        <v>806.66</v>
      </c>
      <c r="I506">
        <v>5</v>
      </c>
      <c r="J506" t="s">
        <v>115</v>
      </c>
      <c r="N506" s="14" t="s">
        <v>1646</v>
      </c>
    </row>
    <row r="507" spans="1:14" x14ac:dyDescent="0.3">
      <c r="A507" t="s">
        <v>1647</v>
      </c>
      <c r="B507" t="s">
        <v>1648</v>
      </c>
      <c r="C507" t="s">
        <v>183</v>
      </c>
      <c r="D507" t="s">
        <v>1567</v>
      </c>
      <c r="E507" t="s">
        <v>1568</v>
      </c>
      <c r="F507" t="s">
        <v>91</v>
      </c>
      <c r="G507" t="s">
        <v>1576</v>
      </c>
      <c r="H507">
        <v>2578.6799999999998</v>
      </c>
      <c r="I507">
        <v>5</v>
      </c>
      <c r="J507" t="s">
        <v>115</v>
      </c>
      <c r="N507" s="14" t="s">
        <v>1649</v>
      </c>
    </row>
    <row r="508" spans="1:14" x14ac:dyDescent="0.3">
      <c r="A508" t="s">
        <v>1650</v>
      </c>
      <c r="B508" t="s">
        <v>1651</v>
      </c>
      <c r="C508" t="s">
        <v>241</v>
      </c>
      <c r="D508" t="s">
        <v>1567</v>
      </c>
      <c r="E508" t="s">
        <v>1568</v>
      </c>
      <c r="F508" t="s">
        <v>91</v>
      </c>
      <c r="H508">
        <v>449.16</v>
      </c>
      <c r="I508">
        <v>0</v>
      </c>
      <c r="J508" t="s">
        <v>115</v>
      </c>
      <c r="N508" s="14" t="s">
        <v>1652</v>
      </c>
    </row>
    <row r="509" spans="1:14" x14ac:dyDescent="0.3">
      <c r="A509" t="s">
        <v>1653</v>
      </c>
      <c r="B509" t="s">
        <v>1654</v>
      </c>
      <c r="C509" t="s">
        <v>241</v>
      </c>
      <c r="D509" t="s">
        <v>1567</v>
      </c>
      <c r="E509" t="s">
        <v>1568</v>
      </c>
      <c r="F509" t="s">
        <v>91</v>
      </c>
      <c r="H509">
        <v>467.5</v>
      </c>
      <c r="I509">
        <v>0</v>
      </c>
      <c r="J509" t="s">
        <v>115</v>
      </c>
      <c r="N509" s="14" t="s">
        <v>1655</v>
      </c>
    </row>
    <row r="510" spans="1:14" x14ac:dyDescent="0.3">
      <c r="A510" t="s">
        <v>1656</v>
      </c>
      <c r="B510" t="s">
        <v>1657</v>
      </c>
      <c r="C510" t="s">
        <v>241</v>
      </c>
      <c r="D510" t="s">
        <v>1567</v>
      </c>
      <c r="E510" t="s">
        <v>1568</v>
      </c>
      <c r="F510" t="s">
        <v>91</v>
      </c>
      <c r="H510">
        <v>583.6</v>
      </c>
      <c r="I510">
        <v>0</v>
      </c>
      <c r="J510" t="s">
        <v>115</v>
      </c>
      <c r="N510" s="14" t="s">
        <v>1658</v>
      </c>
    </row>
    <row r="511" spans="1:14" x14ac:dyDescent="0.3">
      <c r="A511" t="s">
        <v>1659</v>
      </c>
      <c r="B511" t="s">
        <v>1660</v>
      </c>
      <c r="C511" t="s">
        <v>183</v>
      </c>
      <c r="D511" t="s">
        <v>1567</v>
      </c>
      <c r="E511" t="s">
        <v>1568</v>
      </c>
      <c r="F511" t="s">
        <v>91</v>
      </c>
      <c r="G511" t="s">
        <v>1576</v>
      </c>
      <c r="H511">
        <v>3135</v>
      </c>
      <c r="I511">
        <v>5</v>
      </c>
      <c r="J511" t="s">
        <v>115</v>
      </c>
      <c r="N511" s="14" t="s">
        <v>1661</v>
      </c>
    </row>
    <row r="512" spans="1:14" x14ac:dyDescent="0.3">
      <c r="A512" t="s">
        <v>1662</v>
      </c>
      <c r="B512" t="s">
        <v>1663</v>
      </c>
      <c r="C512" t="s">
        <v>241</v>
      </c>
      <c r="D512" t="s">
        <v>1567</v>
      </c>
      <c r="E512" t="s">
        <v>1568</v>
      </c>
      <c r="F512" t="s">
        <v>91</v>
      </c>
      <c r="G512" t="s">
        <v>1441</v>
      </c>
      <c r="H512">
        <v>156.75</v>
      </c>
      <c r="I512">
        <v>5</v>
      </c>
      <c r="J512" t="s">
        <v>115</v>
      </c>
      <c r="N512" s="14" t="s">
        <v>1664</v>
      </c>
    </row>
    <row r="513" spans="1:14" x14ac:dyDescent="0.3">
      <c r="A513" t="s">
        <v>1665</v>
      </c>
      <c r="B513" t="s">
        <v>1666</v>
      </c>
      <c r="C513" t="s">
        <v>183</v>
      </c>
      <c r="D513" t="s">
        <v>1567</v>
      </c>
      <c r="E513" t="s">
        <v>1568</v>
      </c>
      <c r="F513" t="s">
        <v>91</v>
      </c>
      <c r="H513">
        <v>4177.25</v>
      </c>
      <c r="I513">
        <v>0</v>
      </c>
      <c r="J513" t="s">
        <v>115</v>
      </c>
      <c r="N513" s="14" t="s">
        <v>1667</v>
      </c>
    </row>
    <row r="514" spans="1:14" x14ac:dyDescent="0.3">
      <c r="A514" t="s">
        <v>1668</v>
      </c>
      <c r="B514" t="s">
        <v>1669</v>
      </c>
      <c r="C514" t="s">
        <v>183</v>
      </c>
      <c r="D514" t="s">
        <v>1567</v>
      </c>
      <c r="E514" t="s">
        <v>1568</v>
      </c>
      <c r="F514" t="s">
        <v>91</v>
      </c>
      <c r="H514">
        <v>4172.6899999999996</v>
      </c>
      <c r="I514">
        <v>0</v>
      </c>
      <c r="J514" t="s">
        <v>115</v>
      </c>
      <c r="N514" s="14" t="s">
        <v>1670</v>
      </c>
    </row>
    <row r="515" spans="1:14" x14ac:dyDescent="0.3">
      <c r="A515" t="s">
        <v>1671</v>
      </c>
      <c r="B515" t="s">
        <v>1672</v>
      </c>
      <c r="C515" t="s">
        <v>183</v>
      </c>
      <c r="D515" t="s">
        <v>1567</v>
      </c>
      <c r="E515" t="s">
        <v>1568</v>
      </c>
      <c r="F515" t="s">
        <v>91</v>
      </c>
      <c r="H515">
        <v>4153.88</v>
      </c>
      <c r="I515">
        <v>0</v>
      </c>
      <c r="J515" t="s">
        <v>115</v>
      </c>
      <c r="N515" s="14" t="s">
        <v>1673</v>
      </c>
    </row>
    <row r="516" spans="1:14" x14ac:dyDescent="0.3">
      <c r="A516" t="s">
        <v>1674</v>
      </c>
      <c r="B516" t="s">
        <v>1675</v>
      </c>
      <c r="C516" t="s">
        <v>183</v>
      </c>
      <c r="D516" t="s">
        <v>1567</v>
      </c>
      <c r="E516" t="s">
        <v>1568</v>
      </c>
      <c r="F516" t="s">
        <v>91</v>
      </c>
      <c r="H516">
        <v>365.75</v>
      </c>
      <c r="I516">
        <v>0</v>
      </c>
      <c r="J516" t="s">
        <v>115</v>
      </c>
      <c r="N516" s="14" t="s">
        <v>1676</v>
      </c>
    </row>
    <row r="517" spans="1:14" x14ac:dyDescent="0.3">
      <c r="A517" t="s">
        <v>1677</v>
      </c>
      <c r="B517" t="s">
        <v>1678</v>
      </c>
      <c r="C517" t="s">
        <v>183</v>
      </c>
      <c r="D517" t="s">
        <v>1567</v>
      </c>
      <c r="E517" t="s">
        <v>1568</v>
      </c>
      <c r="F517" t="s">
        <v>91</v>
      </c>
      <c r="H517">
        <v>2646.54</v>
      </c>
      <c r="I517">
        <v>0</v>
      </c>
      <c r="J517" t="s">
        <v>115</v>
      </c>
      <c r="N517" s="14" t="s">
        <v>1679</v>
      </c>
    </row>
    <row r="518" spans="1:14" x14ac:dyDescent="0.3">
      <c r="A518" t="s">
        <v>1680</v>
      </c>
      <c r="B518" t="s">
        <v>1681</v>
      </c>
      <c r="C518" t="s">
        <v>183</v>
      </c>
      <c r="D518" t="s">
        <v>1567</v>
      </c>
      <c r="E518" t="s">
        <v>1568</v>
      </c>
      <c r="F518" t="s">
        <v>91</v>
      </c>
      <c r="G518" t="s">
        <v>1437</v>
      </c>
      <c r="H518">
        <v>542.88</v>
      </c>
      <c r="I518">
        <v>5</v>
      </c>
      <c r="J518" t="s">
        <v>115</v>
      </c>
      <c r="N518" s="14" t="s">
        <v>1682</v>
      </c>
    </row>
    <row r="519" spans="1:14" x14ac:dyDescent="0.3">
      <c r="A519" t="s">
        <v>1683</v>
      </c>
      <c r="B519" t="s">
        <v>1684</v>
      </c>
      <c r="C519" t="s">
        <v>241</v>
      </c>
      <c r="D519" t="s">
        <v>1567</v>
      </c>
      <c r="E519" t="s">
        <v>1568</v>
      </c>
      <c r="F519" t="s">
        <v>91</v>
      </c>
      <c r="G519" t="s">
        <v>1441</v>
      </c>
      <c r="H519">
        <v>1299.72</v>
      </c>
      <c r="I519">
        <v>5</v>
      </c>
      <c r="J519" t="s">
        <v>115</v>
      </c>
      <c r="N519" s="14" t="s">
        <v>1685</v>
      </c>
    </row>
    <row r="520" spans="1:14" x14ac:dyDescent="0.3">
      <c r="A520" t="s">
        <v>1686</v>
      </c>
      <c r="B520" t="s">
        <v>1687</v>
      </c>
      <c r="C520" t="s">
        <v>88</v>
      </c>
      <c r="D520" t="s">
        <v>1567</v>
      </c>
      <c r="E520" t="s">
        <v>1568</v>
      </c>
      <c r="F520" t="s">
        <v>91</v>
      </c>
      <c r="H520">
        <v>0</v>
      </c>
      <c r="I520">
        <v>0</v>
      </c>
      <c r="J520" t="s">
        <v>115</v>
      </c>
      <c r="N520" s="14" t="s">
        <v>1688</v>
      </c>
    </row>
    <row r="521" spans="1:14" x14ac:dyDescent="0.3">
      <c r="A521" t="s">
        <v>1689</v>
      </c>
      <c r="B521" t="s">
        <v>1690</v>
      </c>
      <c r="C521" t="s">
        <v>137</v>
      </c>
      <c r="D521" t="s">
        <v>1567</v>
      </c>
      <c r="E521" t="s">
        <v>1568</v>
      </c>
      <c r="F521" t="s">
        <v>91</v>
      </c>
      <c r="H521">
        <v>28501.200000000001</v>
      </c>
      <c r="I521">
        <v>0</v>
      </c>
      <c r="J521" t="s">
        <v>115</v>
      </c>
      <c r="N521" s="14" t="s">
        <v>1691</v>
      </c>
    </row>
    <row r="522" spans="1:14" x14ac:dyDescent="0.3">
      <c r="A522" t="s">
        <v>1692</v>
      </c>
      <c r="B522" t="s">
        <v>1693</v>
      </c>
      <c r="C522" t="s">
        <v>183</v>
      </c>
      <c r="D522" t="s">
        <v>1567</v>
      </c>
      <c r="E522" t="s">
        <v>1568</v>
      </c>
      <c r="F522" t="s">
        <v>91</v>
      </c>
      <c r="H522">
        <v>2171.52</v>
      </c>
      <c r="I522">
        <v>0</v>
      </c>
      <c r="J522" t="s">
        <v>115</v>
      </c>
      <c r="N522" s="14" t="s">
        <v>1694</v>
      </c>
    </row>
    <row r="523" spans="1:14" x14ac:dyDescent="0.3">
      <c r="A523" t="s">
        <v>1695</v>
      </c>
      <c r="B523" t="s">
        <v>1696</v>
      </c>
      <c r="C523" t="s">
        <v>183</v>
      </c>
      <c r="D523" t="s">
        <v>1697</v>
      </c>
      <c r="E523" t="s">
        <v>1698</v>
      </c>
      <c r="F523" t="s">
        <v>91</v>
      </c>
      <c r="G523" t="s">
        <v>1699</v>
      </c>
      <c r="H523">
        <v>75324.600000000006</v>
      </c>
      <c r="I523">
        <v>5</v>
      </c>
      <c r="J523" t="s">
        <v>115</v>
      </c>
      <c r="N523" s="14" t="s">
        <v>1700</v>
      </c>
    </row>
    <row r="524" spans="1:14" x14ac:dyDescent="0.3">
      <c r="A524" t="s">
        <v>1701</v>
      </c>
      <c r="B524" t="s">
        <v>1702</v>
      </c>
      <c r="C524" t="s">
        <v>183</v>
      </c>
      <c r="D524" t="s">
        <v>1697</v>
      </c>
      <c r="E524" t="s">
        <v>1698</v>
      </c>
      <c r="F524" t="s">
        <v>91</v>
      </c>
      <c r="G524" t="s">
        <v>1699</v>
      </c>
      <c r="H524">
        <v>94777.8</v>
      </c>
      <c r="I524">
        <v>5</v>
      </c>
      <c r="J524" t="s">
        <v>115</v>
      </c>
      <c r="N524" s="14" t="s">
        <v>1703</v>
      </c>
    </row>
    <row r="525" spans="1:14" x14ac:dyDescent="0.3">
      <c r="A525" t="s">
        <v>1704</v>
      </c>
      <c r="B525" t="s">
        <v>1705</v>
      </c>
      <c r="C525" t="s">
        <v>183</v>
      </c>
      <c r="D525" t="s">
        <v>1697</v>
      </c>
      <c r="E525" t="s">
        <v>1698</v>
      </c>
      <c r="F525" t="s">
        <v>91</v>
      </c>
      <c r="G525" t="s">
        <v>1699</v>
      </c>
      <c r="H525">
        <v>104278.2</v>
      </c>
      <c r="I525">
        <v>5</v>
      </c>
      <c r="J525" t="s">
        <v>115</v>
      </c>
      <c r="N525" s="14" t="s">
        <v>1706</v>
      </c>
    </row>
    <row r="526" spans="1:14" x14ac:dyDescent="0.3">
      <c r="A526" t="s">
        <v>1707</v>
      </c>
      <c r="B526" t="s">
        <v>1708</v>
      </c>
      <c r="C526" t="s">
        <v>183</v>
      </c>
      <c r="D526" t="s">
        <v>1697</v>
      </c>
      <c r="E526" t="s">
        <v>1698</v>
      </c>
      <c r="F526" t="s">
        <v>91</v>
      </c>
      <c r="G526" t="s">
        <v>1699</v>
      </c>
      <c r="H526">
        <v>141375</v>
      </c>
      <c r="I526">
        <v>5</v>
      </c>
      <c r="J526" t="s">
        <v>115</v>
      </c>
      <c r="N526" s="14" t="s">
        <v>1709</v>
      </c>
    </row>
    <row r="527" spans="1:14" x14ac:dyDescent="0.3">
      <c r="A527" t="s">
        <v>1710</v>
      </c>
      <c r="B527" t="s">
        <v>1711</v>
      </c>
      <c r="C527" t="s">
        <v>183</v>
      </c>
      <c r="D527" t="s">
        <v>1697</v>
      </c>
      <c r="E527" t="s">
        <v>1698</v>
      </c>
      <c r="F527" t="s">
        <v>91</v>
      </c>
      <c r="G527" t="s">
        <v>1699</v>
      </c>
      <c r="H527">
        <v>162411.6</v>
      </c>
      <c r="I527">
        <v>5</v>
      </c>
      <c r="J527" t="s">
        <v>115</v>
      </c>
      <c r="N527" s="14" t="s">
        <v>1712</v>
      </c>
    </row>
    <row r="528" spans="1:14" x14ac:dyDescent="0.3">
      <c r="A528" t="s">
        <v>1713</v>
      </c>
      <c r="B528" t="s">
        <v>1714</v>
      </c>
      <c r="C528" t="s">
        <v>183</v>
      </c>
      <c r="D528" t="s">
        <v>1697</v>
      </c>
      <c r="E528" t="s">
        <v>1698</v>
      </c>
      <c r="F528" t="s">
        <v>91</v>
      </c>
      <c r="G528" t="s">
        <v>1715</v>
      </c>
      <c r="H528">
        <v>9960.67</v>
      </c>
      <c r="I528">
        <v>5</v>
      </c>
      <c r="J528" t="s">
        <v>115</v>
      </c>
      <c r="N528" s="14" t="s">
        <v>1716</v>
      </c>
    </row>
    <row r="529" spans="1:14" x14ac:dyDescent="0.3">
      <c r="A529" t="s">
        <v>1717</v>
      </c>
      <c r="B529" t="s">
        <v>1718</v>
      </c>
      <c r="C529" t="s">
        <v>183</v>
      </c>
      <c r="D529" t="s">
        <v>1697</v>
      </c>
      <c r="E529" t="s">
        <v>1698</v>
      </c>
      <c r="F529" t="s">
        <v>91</v>
      </c>
      <c r="G529" t="s">
        <v>1715</v>
      </c>
      <c r="H529">
        <v>11246.67</v>
      </c>
      <c r="I529">
        <v>5</v>
      </c>
      <c r="J529" t="s">
        <v>115</v>
      </c>
      <c r="N529" s="14" t="s">
        <v>1719</v>
      </c>
    </row>
    <row r="530" spans="1:14" x14ac:dyDescent="0.3">
      <c r="A530" t="s">
        <v>1720</v>
      </c>
      <c r="B530" t="s">
        <v>1721</v>
      </c>
      <c r="C530" t="s">
        <v>183</v>
      </c>
      <c r="D530" t="s">
        <v>1697</v>
      </c>
      <c r="E530" t="s">
        <v>1698</v>
      </c>
      <c r="F530" t="s">
        <v>91</v>
      </c>
      <c r="H530">
        <v>10540.92</v>
      </c>
      <c r="I530">
        <v>0</v>
      </c>
      <c r="J530" t="s">
        <v>115</v>
      </c>
      <c r="N530" s="14" t="s">
        <v>1722</v>
      </c>
    </row>
    <row r="531" spans="1:14" x14ac:dyDescent="0.3">
      <c r="A531" t="s">
        <v>1723</v>
      </c>
      <c r="B531" t="s">
        <v>1724</v>
      </c>
      <c r="C531" t="s">
        <v>183</v>
      </c>
      <c r="D531" t="s">
        <v>1697</v>
      </c>
      <c r="E531" t="s">
        <v>1698</v>
      </c>
      <c r="F531" t="s">
        <v>91</v>
      </c>
      <c r="G531" t="s">
        <v>1699</v>
      </c>
      <c r="H531">
        <v>27500</v>
      </c>
      <c r="I531">
        <v>5</v>
      </c>
      <c r="J531" t="s">
        <v>115</v>
      </c>
      <c r="N531" s="14" t="s">
        <v>1725</v>
      </c>
    </row>
    <row r="532" spans="1:14" x14ac:dyDescent="0.3">
      <c r="A532" t="s">
        <v>1726</v>
      </c>
      <c r="B532" t="s">
        <v>1727</v>
      </c>
      <c r="C532" t="s">
        <v>183</v>
      </c>
      <c r="D532" t="s">
        <v>1697</v>
      </c>
      <c r="E532" t="s">
        <v>1698</v>
      </c>
      <c r="F532" t="s">
        <v>91</v>
      </c>
      <c r="G532" t="s">
        <v>1699</v>
      </c>
      <c r="H532">
        <v>1890</v>
      </c>
      <c r="I532">
        <v>5</v>
      </c>
      <c r="J532" t="s">
        <v>115</v>
      </c>
      <c r="N532" s="14" t="s">
        <v>1728</v>
      </c>
    </row>
    <row r="533" spans="1:14" x14ac:dyDescent="0.3">
      <c r="A533" t="s">
        <v>1729</v>
      </c>
      <c r="B533" t="s">
        <v>1730</v>
      </c>
      <c r="C533" t="s">
        <v>183</v>
      </c>
      <c r="D533" t="s">
        <v>1697</v>
      </c>
      <c r="E533" t="s">
        <v>1698</v>
      </c>
      <c r="F533" t="s">
        <v>91</v>
      </c>
      <c r="G533" t="s">
        <v>1699</v>
      </c>
      <c r="H533">
        <v>954</v>
      </c>
      <c r="I533">
        <v>5</v>
      </c>
      <c r="J533" t="s">
        <v>115</v>
      </c>
      <c r="N533" s="14" t="s">
        <v>1731</v>
      </c>
    </row>
    <row r="534" spans="1:14" x14ac:dyDescent="0.3">
      <c r="A534" t="s">
        <v>1732</v>
      </c>
      <c r="B534" t="s">
        <v>1733</v>
      </c>
      <c r="C534" t="s">
        <v>183</v>
      </c>
      <c r="D534" t="s">
        <v>1697</v>
      </c>
      <c r="E534" t="s">
        <v>1698</v>
      </c>
      <c r="F534" t="s">
        <v>91</v>
      </c>
      <c r="G534" t="s">
        <v>1699</v>
      </c>
      <c r="H534">
        <v>963</v>
      </c>
      <c r="I534">
        <v>5</v>
      </c>
      <c r="J534" t="s">
        <v>115</v>
      </c>
      <c r="N534" s="14" t="s">
        <v>1734</v>
      </c>
    </row>
    <row r="535" spans="1:14" x14ac:dyDescent="0.3">
      <c r="A535" t="s">
        <v>1735</v>
      </c>
      <c r="B535" t="s">
        <v>1736</v>
      </c>
      <c r="C535" t="s">
        <v>183</v>
      </c>
      <c r="D535" t="s">
        <v>1697</v>
      </c>
      <c r="E535" t="s">
        <v>1698</v>
      </c>
      <c r="F535" t="s">
        <v>91</v>
      </c>
      <c r="G535" t="s">
        <v>1699</v>
      </c>
      <c r="H535">
        <v>267</v>
      </c>
      <c r="I535">
        <v>5</v>
      </c>
      <c r="J535" t="s">
        <v>115</v>
      </c>
      <c r="N535" s="14" t="s">
        <v>1737</v>
      </c>
    </row>
    <row r="536" spans="1:14" x14ac:dyDescent="0.3">
      <c r="A536" t="s">
        <v>1738</v>
      </c>
      <c r="B536" t="s">
        <v>1739</v>
      </c>
      <c r="C536" t="s">
        <v>183</v>
      </c>
      <c r="D536" t="s">
        <v>1697</v>
      </c>
      <c r="E536" t="s">
        <v>1698</v>
      </c>
      <c r="F536" t="s">
        <v>91</v>
      </c>
      <c r="G536" t="s">
        <v>1699</v>
      </c>
      <c r="H536">
        <v>289</v>
      </c>
      <c r="I536">
        <v>5</v>
      </c>
      <c r="J536" t="s">
        <v>115</v>
      </c>
      <c r="N536" s="14" t="s">
        <v>1740</v>
      </c>
    </row>
    <row r="537" spans="1:14" x14ac:dyDescent="0.3">
      <c r="A537" t="s">
        <v>1741</v>
      </c>
      <c r="B537" t="s">
        <v>1742</v>
      </c>
      <c r="C537" t="s">
        <v>183</v>
      </c>
      <c r="D537" t="s">
        <v>1697</v>
      </c>
      <c r="E537" t="s">
        <v>1698</v>
      </c>
      <c r="F537" t="s">
        <v>91</v>
      </c>
      <c r="G537" t="s">
        <v>1743</v>
      </c>
      <c r="H537">
        <v>2205.4499999999998</v>
      </c>
      <c r="I537">
        <v>5</v>
      </c>
      <c r="J537" t="s">
        <v>115</v>
      </c>
      <c r="N537" s="14" t="s">
        <v>1744</v>
      </c>
    </row>
    <row r="538" spans="1:14" x14ac:dyDescent="0.3">
      <c r="A538" t="s">
        <v>1745</v>
      </c>
      <c r="B538" t="s">
        <v>1746</v>
      </c>
      <c r="C538" t="s">
        <v>183</v>
      </c>
      <c r="D538" t="s">
        <v>1697</v>
      </c>
      <c r="E538" t="s">
        <v>1698</v>
      </c>
      <c r="F538" t="s">
        <v>91</v>
      </c>
      <c r="G538" t="s">
        <v>1715</v>
      </c>
      <c r="H538">
        <v>9499.25</v>
      </c>
      <c r="I538">
        <v>5</v>
      </c>
      <c r="J538" t="s">
        <v>115</v>
      </c>
      <c r="N538" s="14" t="s">
        <v>1747</v>
      </c>
    </row>
    <row r="539" spans="1:14" x14ac:dyDescent="0.3">
      <c r="A539" t="s">
        <v>1748</v>
      </c>
      <c r="B539" t="s">
        <v>1749</v>
      </c>
      <c r="C539" t="s">
        <v>199</v>
      </c>
      <c r="D539" t="s">
        <v>1697</v>
      </c>
      <c r="E539" t="s">
        <v>1698</v>
      </c>
      <c r="F539" t="s">
        <v>91</v>
      </c>
      <c r="H539">
        <v>107</v>
      </c>
      <c r="I539">
        <v>0</v>
      </c>
      <c r="J539" t="s">
        <v>115</v>
      </c>
      <c r="N539" s="14" t="s">
        <v>1750</v>
      </c>
    </row>
    <row r="540" spans="1:14" x14ac:dyDescent="0.3">
      <c r="A540" t="s">
        <v>1751</v>
      </c>
      <c r="B540" t="s">
        <v>1752</v>
      </c>
      <c r="C540" t="s">
        <v>183</v>
      </c>
      <c r="D540" t="s">
        <v>1697</v>
      </c>
      <c r="E540" t="s">
        <v>1698</v>
      </c>
      <c r="F540" t="s">
        <v>91</v>
      </c>
      <c r="H540">
        <v>2548.85</v>
      </c>
      <c r="I540">
        <v>0</v>
      </c>
      <c r="J540" t="s">
        <v>115</v>
      </c>
      <c r="N540" s="14" t="s">
        <v>1753</v>
      </c>
    </row>
    <row r="541" spans="1:14" x14ac:dyDescent="0.3">
      <c r="A541" t="s">
        <v>1754</v>
      </c>
      <c r="B541" t="s">
        <v>1755</v>
      </c>
      <c r="C541" t="s">
        <v>88</v>
      </c>
      <c r="D541" t="s">
        <v>1697</v>
      </c>
      <c r="E541" t="s">
        <v>1698</v>
      </c>
      <c r="F541" t="s">
        <v>91</v>
      </c>
      <c r="G541" t="s">
        <v>1756</v>
      </c>
      <c r="H541">
        <v>822.99</v>
      </c>
      <c r="I541">
        <v>5</v>
      </c>
      <c r="J541" t="s">
        <v>115</v>
      </c>
      <c r="N541" s="14" t="s">
        <v>1757</v>
      </c>
    </row>
    <row r="542" spans="1:14" x14ac:dyDescent="0.3">
      <c r="A542" t="s">
        <v>1758</v>
      </c>
      <c r="B542" t="s">
        <v>1759</v>
      </c>
      <c r="C542" t="s">
        <v>88</v>
      </c>
      <c r="D542" t="s">
        <v>1697</v>
      </c>
      <c r="E542" t="s">
        <v>1698</v>
      </c>
      <c r="F542" t="s">
        <v>91</v>
      </c>
      <c r="G542" t="s">
        <v>1756</v>
      </c>
      <c r="H542">
        <v>250</v>
      </c>
      <c r="I542">
        <v>5</v>
      </c>
      <c r="J542" t="s">
        <v>115</v>
      </c>
      <c r="N542" s="14" t="s">
        <v>1760</v>
      </c>
    </row>
    <row r="543" spans="1:14" x14ac:dyDescent="0.3">
      <c r="A543" t="s">
        <v>1761</v>
      </c>
      <c r="B543" t="s">
        <v>1762</v>
      </c>
      <c r="C543" t="s">
        <v>183</v>
      </c>
      <c r="D543" t="s">
        <v>1697</v>
      </c>
      <c r="E543" t="s">
        <v>1698</v>
      </c>
      <c r="F543" t="s">
        <v>91</v>
      </c>
      <c r="H543">
        <v>339.3</v>
      </c>
      <c r="I543">
        <v>0</v>
      </c>
      <c r="J543" t="s">
        <v>115</v>
      </c>
      <c r="N543" s="14" t="s">
        <v>1763</v>
      </c>
    </row>
    <row r="544" spans="1:14" x14ac:dyDescent="0.3">
      <c r="A544" t="s">
        <v>1764</v>
      </c>
      <c r="B544" t="s">
        <v>1765</v>
      </c>
      <c r="C544" t="s">
        <v>1766</v>
      </c>
      <c r="D544" t="s">
        <v>1697</v>
      </c>
      <c r="E544" t="s">
        <v>1698</v>
      </c>
      <c r="F544" t="s">
        <v>91</v>
      </c>
      <c r="G544" t="s">
        <v>1756</v>
      </c>
      <c r="H544">
        <v>499.9</v>
      </c>
      <c r="I544">
        <v>5</v>
      </c>
      <c r="J544" t="s">
        <v>115</v>
      </c>
      <c r="N544" s="14" t="s">
        <v>1767</v>
      </c>
    </row>
    <row r="545" spans="1:14" x14ac:dyDescent="0.3">
      <c r="A545" t="s">
        <v>1768</v>
      </c>
      <c r="B545" t="s">
        <v>1769</v>
      </c>
      <c r="C545" t="s">
        <v>183</v>
      </c>
      <c r="D545" t="s">
        <v>1697</v>
      </c>
      <c r="E545" t="s">
        <v>1698</v>
      </c>
      <c r="F545" t="s">
        <v>91</v>
      </c>
      <c r="G545" t="s">
        <v>1770</v>
      </c>
      <c r="H545">
        <v>2973.52</v>
      </c>
      <c r="I545">
        <v>5</v>
      </c>
      <c r="J545" t="s">
        <v>115</v>
      </c>
      <c r="N545" s="14" t="s">
        <v>1771</v>
      </c>
    </row>
    <row r="546" spans="1:14" x14ac:dyDescent="0.3">
      <c r="A546" t="s">
        <v>1772</v>
      </c>
      <c r="B546" t="s">
        <v>1742</v>
      </c>
      <c r="C546" t="s">
        <v>183</v>
      </c>
      <c r="D546" t="s">
        <v>1697</v>
      </c>
      <c r="E546" t="s">
        <v>1698</v>
      </c>
      <c r="F546" t="s">
        <v>91</v>
      </c>
      <c r="G546" t="s">
        <v>1743</v>
      </c>
      <c r="H546">
        <v>1819.43</v>
      </c>
      <c r="I546">
        <v>5</v>
      </c>
      <c r="J546" t="s">
        <v>115</v>
      </c>
      <c r="N546" s="14" t="s">
        <v>1773</v>
      </c>
    </row>
    <row r="547" spans="1:14" x14ac:dyDescent="0.3">
      <c r="A547" t="s">
        <v>1774</v>
      </c>
      <c r="B547" t="s">
        <v>1775</v>
      </c>
      <c r="C547" t="s">
        <v>183</v>
      </c>
      <c r="D547" t="s">
        <v>1697</v>
      </c>
      <c r="E547" t="s">
        <v>1698</v>
      </c>
      <c r="F547" t="s">
        <v>91</v>
      </c>
      <c r="G547" t="s">
        <v>1776</v>
      </c>
      <c r="H547">
        <v>1000</v>
      </c>
      <c r="I547">
        <v>5</v>
      </c>
      <c r="J547" t="s">
        <v>115</v>
      </c>
      <c r="N547" s="14" t="s">
        <v>1777</v>
      </c>
    </row>
    <row r="548" spans="1:14" x14ac:dyDescent="0.3">
      <c r="A548" t="s">
        <v>1778</v>
      </c>
      <c r="B548" t="s">
        <v>1779</v>
      </c>
      <c r="C548" t="s">
        <v>183</v>
      </c>
      <c r="D548" t="s">
        <v>1697</v>
      </c>
      <c r="E548" t="s">
        <v>1698</v>
      </c>
      <c r="F548" t="s">
        <v>91</v>
      </c>
      <c r="H548">
        <v>500</v>
      </c>
      <c r="I548">
        <v>0</v>
      </c>
      <c r="J548" t="s">
        <v>115</v>
      </c>
      <c r="N548" s="14" t="s">
        <v>1780</v>
      </c>
    </row>
    <row r="549" spans="1:14" x14ac:dyDescent="0.3">
      <c r="A549" t="s">
        <v>1781</v>
      </c>
      <c r="B549" t="s">
        <v>1769</v>
      </c>
      <c r="C549" t="s">
        <v>183</v>
      </c>
      <c r="D549" t="s">
        <v>1697</v>
      </c>
      <c r="E549" t="s">
        <v>1698</v>
      </c>
      <c r="F549" t="s">
        <v>91</v>
      </c>
      <c r="G549" t="s">
        <v>1770</v>
      </c>
      <c r="H549">
        <v>200</v>
      </c>
      <c r="I549">
        <v>5</v>
      </c>
      <c r="J549" t="s">
        <v>115</v>
      </c>
      <c r="N549" s="14" t="s">
        <v>1782</v>
      </c>
    </row>
    <row r="550" spans="1:14" x14ac:dyDescent="0.3">
      <c r="A550" t="s">
        <v>1783</v>
      </c>
      <c r="B550" t="s">
        <v>1784</v>
      </c>
      <c r="C550" t="s">
        <v>241</v>
      </c>
      <c r="D550" t="s">
        <v>1697</v>
      </c>
      <c r="E550" t="s">
        <v>1698</v>
      </c>
      <c r="F550" t="s">
        <v>91</v>
      </c>
      <c r="G550" t="s">
        <v>1770</v>
      </c>
      <c r="H550">
        <v>1492.92</v>
      </c>
      <c r="I550">
        <v>5</v>
      </c>
      <c r="J550" t="s">
        <v>115</v>
      </c>
      <c r="N550" s="14" t="s">
        <v>1785</v>
      </c>
    </row>
    <row r="551" spans="1:14" x14ac:dyDescent="0.3">
      <c r="A551" t="s">
        <v>1786</v>
      </c>
      <c r="B551" t="s">
        <v>1787</v>
      </c>
      <c r="C551" t="s">
        <v>199</v>
      </c>
      <c r="D551" t="s">
        <v>1697</v>
      </c>
      <c r="E551" t="s">
        <v>1698</v>
      </c>
      <c r="F551" t="s">
        <v>91</v>
      </c>
      <c r="G551" t="s">
        <v>1770</v>
      </c>
      <c r="H551">
        <v>1764.36</v>
      </c>
      <c r="I551">
        <v>5</v>
      </c>
      <c r="J551" t="s">
        <v>115</v>
      </c>
      <c r="N551" s="14" t="s">
        <v>1788</v>
      </c>
    </row>
    <row r="552" spans="1:14" x14ac:dyDescent="0.3">
      <c r="A552" t="s">
        <v>1789</v>
      </c>
      <c r="B552" t="s">
        <v>1790</v>
      </c>
      <c r="C552" t="s">
        <v>183</v>
      </c>
      <c r="D552" t="s">
        <v>1697</v>
      </c>
      <c r="E552" t="s">
        <v>1698</v>
      </c>
      <c r="F552" t="s">
        <v>254</v>
      </c>
      <c r="G552" t="s">
        <v>1743</v>
      </c>
      <c r="H552">
        <v>42299.4</v>
      </c>
      <c r="I552">
        <v>5</v>
      </c>
      <c r="J552" t="s">
        <v>115</v>
      </c>
      <c r="N552" s="14" t="s">
        <v>1791</v>
      </c>
    </row>
    <row r="553" spans="1:14" x14ac:dyDescent="0.3">
      <c r="A553" t="s">
        <v>1792</v>
      </c>
      <c r="B553" t="s">
        <v>1793</v>
      </c>
      <c r="C553" t="s">
        <v>88</v>
      </c>
      <c r="D553" t="s">
        <v>1697</v>
      </c>
      <c r="E553" t="s">
        <v>1698</v>
      </c>
      <c r="F553" t="s">
        <v>254</v>
      </c>
      <c r="H553">
        <v>250</v>
      </c>
      <c r="I553">
        <v>0</v>
      </c>
      <c r="J553" t="s">
        <v>115</v>
      </c>
      <c r="N553" s="14" t="s">
        <v>1794</v>
      </c>
    </row>
    <row r="554" spans="1:14" x14ac:dyDescent="0.3">
      <c r="A554" t="s">
        <v>1795</v>
      </c>
      <c r="B554" t="s">
        <v>1796</v>
      </c>
      <c r="C554" t="s">
        <v>88</v>
      </c>
      <c r="D554" t="s">
        <v>1697</v>
      </c>
      <c r="E554" t="s">
        <v>1698</v>
      </c>
      <c r="F554" t="s">
        <v>254</v>
      </c>
      <c r="H554">
        <v>350</v>
      </c>
      <c r="I554">
        <v>0</v>
      </c>
      <c r="J554" t="s">
        <v>115</v>
      </c>
      <c r="N554" s="14" t="s">
        <v>1797</v>
      </c>
    </row>
    <row r="555" spans="1:14" x14ac:dyDescent="0.3">
      <c r="A555" t="s">
        <v>1798</v>
      </c>
      <c r="B555" t="s">
        <v>1799</v>
      </c>
      <c r="C555" t="s">
        <v>183</v>
      </c>
      <c r="D555" t="s">
        <v>1697</v>
      </c>
      <c r="E555" t="s">
        <v>1698</v>
      </c>
      <c r="F555" t="s">
        <v>254</v>
      </c>
      <c r="G555" t="s">
        <v>1800</v>
      </c>
      <c r="H555">
        <v>2548.85</v>
      </c>
      <c r="I555">
        <v>5</v>
      </c>
      <c r="J555" t="s">
        <v>115</v>
      </c>
      <c r="N555" s="14" t="s">
        <v>1801</v>
      </c>
    </row>
    <row r="556" spans="1:14" x14ac:dyDescent="0.3">
      <c r="A556" t="s">
        <v>1802</v>
      </c>
      <c r="B556" t="s">
        <v>1803</v>
      </c>
      <c r="C556" t="s">
        <v>199</v>
      </c>
      <c r="D556" t="s">
        <v>1697</v>
      </c>
      <c r="E556" t="s">
        <v>1698</v>
      </c>
      <c r="F556" t="s">
        <v>254</v>
      </c>
      <c r="H556">
        <v>1221.48</v>
      </c>
      <c r="I556">
        <v>0</v>
      </c>
      <c r="J556" t="s">
        <v>115</v>
      </c>
      <c r="N556" s="14" t="s">
        <v>1804</v>
      </c>
    </row>
    <row r="557" spans="1:14" x14ac:dyDescent="0.3">
      <c r="A557" t="s">
        <v>1805</v>
      </c>
      <c r="B557" t="s">
        <v>1806</v>
      </c>
      <c r="C557" t="s">
        <v>183</v>
      </c>
      <c r="D557" t="s">
        <v>1807</v>
      </c>
      <c r="E557" t="s">
        <v>1808</v>
      </c>
      <c r="F557" t="s">
        <v>91</v>
      </c>
      <c r="G557" t="s">
        <v>1809</v>
      </c>
      <c r="H557">
        <v>26465.4</v>
      </c>
      <c r="I557">
        <v>5</v>
      </c>
      <c r="J557" t="s">
        <v>115</v>
      </c>
      <c r="N557" s="14" t="s">
        <v>1810</v>
      </c>
    </row>
    <row r="558" spans="1:14" x14ac:dyDescent="0.3">
      <c r="A558" t="s">
        <v>1811</v>
      </c>
      <c r="B558" t="s">
        <v>1812</v>
      </c>
      <c r="C558" t="s">
        <v>183</v>
      </c>
      <c r="D558" t="s">
        <v>1807</v>
      </c>
      <c r="E558" t="s">
        <v>1808</v>
      </c>
      <c r="F558" t="s">
        <v>91</v>
      </c>
      <c r="H558">
        <v>3754.92</v>
      </c>
      <c r="I558">
        <v>0</v>
      </c>
      <c r="J558" t="s">
        <v>115</v>
      </c>
      <c r="N558" s="14" t="s">
        <v>1813</v>
      </c>
    </row>
    <row r="559" spans="1:14" x14ac:dyDescent="0.3">
      <c r="A559" t="s">
        <v>1814</v>
      </c>
      <c r="B559" t="s">
        <v>1806</v>
      </c>
      <c r="C559" t="s">
        <v>183</v>
      </c>
      <c r="D559" t="s">
        <v>1807</v>
      </c>
      <c r="E559" t="s">
        <v>1808</v>
      </c>
      <c r="F559" t="s">
        <v>254</v>
      </c>
      <c r="G559" t="s">
        <v>1809</v>
      </c>
      <c r="H559">
        <v>23696.85</v>
      </c>
      <c r="I559">
        <v>5</v>
      </c>
      <c r="J559" t="s">
        <v>115</v>
      </c>
      <c r="N559" s="14" t="s">
        <v>1815</v>
      </c>
    </row>
    <row r="560" spans="1:14" x14ac:dyDescent="0.3">
      <c r="A560" t="s">
        <v>1816</v>
      </c>
      <c r="B560" t="s">
        <v>1817</v>
      </c>
      <c r="C560" t="s">
        <v>183</v>
      </c>
      <c r="D560" t="s">
        <v>1807</v>
      </c>
      <c r="E560" t="s">
        <v>1808</v>
      </c>
      <c r="F560" t="s">
        <v>254</v>
      </c>
      <c r="G560" t="s">
        <v>1699</v>
      </c>
      <c r="H560">
        <v>19500.18</v>
      </c>
      <c r="I560">
        <v>5</v>
      </c>
      <c r="J560" t="s">
        <v>115</v>
      </c>
      <c r="N560" s="14" t="s">
        <v>1818</v>
      </c>
    </row>
    <row r="561" spans="1:14" x14ac:dyDescent="0.3">
      <c r="A561" t="s">
        <v>1819</v>
      </c>
      <c r="B561" t="s">
        <v>1817</v>
      </c>
      <c r="C561" t="s">
        <v>183</v>
      </c>
      <c r="D561" t="s">
        <v>1807</v>
      </c>
      <c r="E561" t="s">
        <v>1808</v>
      </c>
      <c r="F561" t="s">
        <v>254</v>
      </c>
      <c r="G561" t="s">
        <v>1699</v>
      </c>
      <c r="H561">
        <v>20038.87</v>
      </c>
      <c r="I561">
        <v>5</v>
      </c>
      <c r="J561" t="s">
        <v>115</v>
      </c>
      <c r="N561" s="14" t="s">
        <v>1820</v>
      </c>
    </row>
    <row r="562" spans="1:14" x14ac:dyDescent="0.3">
      <c r="A562" t="s">
        <v>1821</v>
      </c>
      <c r="B562" t="s">
        <v>1822</v>
      </c>
      <c r="C562" t="s">
        <v>183</v>
      </c>
      <c r="D562" t="s">
        <v>1807</v>
      </c>
      <c r="E562" t="s">
        <v>1808</v>
      </c>
      <c r="F562" t="s">
        <v>254</v>
      </c>
      <c r="G562" t="s">
        <v>1699</v>
      </c>
      <c r="H562">
        <v>20362.07</v>
      </c>
      <c r="I562">
        <v>5</v>
      </c>
      <c r="J562" t="s">
        <v>115</v>
      </c>
      <c r="N562" s="14" t="s">
        <v>1823</v>
      </c>
    </row>
    <row r="563" spans="1:14" x14ac:dyDescent="0.3">
      <c r="A563" t="s">
        <v>1824</v>
      </c>
      <c r="B563" t="s">
        <v>1825</v>
      </c>
      <c r="C563" t="s">
        <v>183</v>
      </c>
      <c r="D563" t="s">
        <v>1807</v>
      </c>
      <c r="E563" t="s">
        <v>1808</v>
      </c>
      <c r="F563" t="s">
        <v>254</v>
      </c>
      <c r="G563" t="s">
        <v>1699</v>
      </c>
      <c r="H563">
        <v>21547.17</v>
      </c>
      <c r="I563">
        <v>5</v>
      </c>
      <c r="J563" t="s">
        <v>115</v>
      </c>
      <c r="N563" s="14" t="s">
        <v>1826</v>
      </c>
    </row>
    <row r="564" spans="1:14" x14ac:dyDescent="0.3">
      <c r="A564" t="s">
        <v>1827</v>
      </c>
      <c r="B564" t="s">
        <v>1828</v>
      </c>
      <c r="C564" t="s">
        <v>183</v>
      </c>
      <c r="D564" t="s">
        <v>1807</v>
      </c>
      <c r="E564" t="s">
        <v>1808</v>
      </c>
      <c r="F564" t="s">
        <v>254</v>
      </c>
      <c r="G564" t="s">
        <v>1809</v>
      </c>
      <c r="H564">
        <v>18668.68</v>
      </c>
      <c r="I564">
        <v>5</v>
      </c>
      <c r="J564" t="s">
        <v>115</v>
      </c>
      <c r="N564" s="14" t="s">
        <v>1829</v>
      </c>
    </row>
    <row r="565" spans="1:14" x14ac:dyDescent="0.3">
      <c r="A565" t="s">
        <v>1830</v>
      </c>
      <c r="B565" t="s">
        <v>1831</v>
      </c>
      <c r="C565" t="s">
        <v>183</v>
      </c>
      <c r="D565" t="s">
        <v>1807</v>
      </c>
      <c r="E565" t="s">
        <v>1808</v>
      </c>
      <c r="F565" t="s">
        <v>254</v>
      </c>
      <c r="G565" t="s">
        <v>1832</v>
      </c>
      <c r="H565">
        <v>11164.47</v>
      </c>
      <c r="I565">
        <v>5</v>
      </c>
      <c r="J565" t="s">
        <v>115</v>
      </c>
      <c r="N565" s="14" t="s">
        <v>1833</v>
      </c>
    </row>
    <row r="566" spans="1:14" x14ac:dyDescent="0.3">
      <c r="A566" t="s">
        <v>1834</v>
      </c>
      <c r="B566" t="s">
        <v>1831</v>
      </c>
      <c r="C566" t="s">
        <v>183</v>
      </c>
      <c r="D566" t="s">
        <v>1807</v>
      </c>
      <c r="E566" t="s">
        <v>1808</v>
      </c>
      <c r="F566" t="s">
        <v>254</v>
      </c>
      <c r="G566" t="s">
        <v>1832</v>
      </c>
      <c r="H566">
        <v>13211.43</v>
      </c>
      <c r="I566">
        <v>5</v>
      </c>
      <c r="J566" t="s">
        <v>115</v>
      </c>
      <c r="N566" s="14" t="s">
        <v>1835</v>
      </c>
    </row>
    <row r="567" spans="1:14" x14ac:dyDescent="0.3">
      <c r="A567" t="s">
        <v>1836</v>
      </c>
      <c r="B567" t="s">
        <v>1831</v>
      </c>
      <c r="C567" t="s">
        <v>183</v>
      </c>
      <c r="D567" t="s">
        <v>1807</v>
      </c>
      <c r="E567" t="s">
        <v>1808</v>
      </c>
      <c r="F567" t="s">
        <v>254</v>
      </c>
      <c r="G567" t="s">
        <v>1832</v>
      </c>
      <c r="H567">
        <v>106530.43</v>
      </c>
      <c r="I567">
        <v>5</v>
      </c>
      <c r="J567" t="s">
        <v>115</v>
      </c>
      <c r="N567" s="14" t="s">
        <v>1837</v>
      </c>
    </row>
    <row r="568" spans="1:14" x14ac:dyDescent="0.3">
      <c r="A568" t="s">
        <v>1838</v>
      </c>
      <c r="B568" t="s">
        <v>1839</v>
      </c>
      <c r="C568" t="s">
        <v>183</v>
      </c>
      <c r="D568" t="s">
        <v>1807</v>
      </c>
      <c r="E568" t="s">
        <v>1808</v>
      </c>
      <c r="F568" t="s">
        <v>254</v>
      </c>
      <c r="H568">
        <v>1039.6099999999999</v>
      </c>
      <c r="I568">
        <v>0</v>
      </c>
      <c r="J568" t="s">
        <v>115</v>
      </c>
      <c r="N568" s="14" t="s">
        <v>1840</v>
      </c>
    </row>
    <row r="569" spans="1:14" x14ac:dyDescent="0.3">
      <c r="A569" t="s">
        <v>1841</v>
      </c>
      <c r="B569" t="s">
        <v>1842</v>
      </c>
      <c r="C569" t="s">
        <v>183</v>
      </c>
      <c r="D569" t="s">
        <v>1807</v>
      </c>
      <c r="E569" t="s">
        <v>1808</v>
      </c>
      <c r="F569" t="s">
        <v>254</v>
      </c>
      <c r="H569">
        <v>1040.48</v>
      </c>
      <c r="I569">
        <v>0</v>
      </c>
      <c r="J569" t="s">
        <v>115</v>
      </c>
      <c r="N569" s="14" t="s">
        <v>1843</v>
      </c>
    </row>
    <row r="570" spans="1:14" x14ac:dyDescent="0.3">
      <c r="A570" t="s">
        <v>1844</v>
      </c>
      <c r="B570" t="s">
        <v>1845</v>
      </c>
      <c r="C570" t="s">
        <v>183</v>
      </c>
      <c r="D570" t="s">
        <v>1807</v>
      </c>
      <c r="E570" t="s">
        <v>1808</v>
      </c>
      <c r="F570" t="s">
        <v>254</v>
      </c>
      <c r="H570">
        <v>2000</v>
      </c>
      <c r="I570">
        <v>0</v>
      </c>
      <c r="J570" t="s">
        <v>115</v>
      </c>
      <c r="N570" s="14" t="s">
        <v>1846</v>
      </c>
    </row>
    <row r="571" spans="1:14" x14ac:dyDescent="0.3">
      <c r="A571" t="s">
        <v>1847</v>
      </c>
      <c r="B571" t="s">
        <v>1848</v>
      </c>
      <c r="C571" t="s">
        <v>183</v>
      </c>
      <c r="D571" t="s">
        <v>1807</v>
      </c>
      <c r="E571" t="s">
        <v>1808</v>
      </c>
      <c r="F571" t="s">
        <v>254</v>
      </c>
      <c r="H571">
        <v>1500</v>
      </c>
      <c r="I571">
        <v>0</v>
      </c>
      <c r="J571" t="s">
        <v>115</v>
      </c>
      <c r="N571" s="14" t="s">
        <v>1849</v>
      </c>
    </row>
    <row r="572" spans="1:14" x14ac:dyDescent="0.3">
      <c r="A572" t="s">
        <v>1850</v>
      </c>
      <c r="B572" t="s">
        <v>1851</v>
      </c>
      <c r="C572" t="s">
        <v>183</v>
      </c>
      <c r="D572" t="s">
        <v>1807</v>
      </c>
      <c r="E572" t="s">
        <v>1808</v>
      </c>
      <c r="F572" t="s">
        <v>254</v>
      </c>
      <c r="G572" t="s">
        <v>1832</v>
      </c>
      <c r="H572">
        <v>750</v>
      </c>
      <c r="I572">
        <v>5</v>
      </c>
      <c r="J572" t="s">
        <v>115</v>
      </c>
      <c r="N572" s="14" t="s">
        <v>1852</v>
      </c>
    </row>
    <row r="573" spans="1:14" x14ac:dyDescent="0.3">
      <c r="A573" t="s">
        <v>1853</v>
      </c>
      <c r="B573" t="s">
        <v>1854</v>
      </c>
      <c r="C573" t="s">
        <v>1855</v>
      </c>
      <c r="D573" t="s">
        <v>1807</v>
      </c>
      <c r="E573" t="s">
        <v>1808</v>
      </c>
      <c r="F573" t="s">
        <v>254</v>
      </c>
      <c r="H573">
        <v>700</v>
      </c>
      <c r="I573">
        <v>0</v>
      </c>
      <c r="J573" t="s">
        <v>115</v>
      </c>
      <c r="N573" s="14" t="s">
        <v>1856</v>
      </c>
    </row>
    <row r="574" spans="1:14" x14ac:dyDescent="0.3">
      <c r="A574" t="s">
        <v>1857</v>
      </c>
      <c r="B574" t="s">
        <v>1858</v>
      </c>
      <c r="C574" t="s">
        <v>183</v>
      </c>
      <c r="D574" t="s">
        <v>1807</v>
      </c>
      <c r="E574" t="s">
        <v>1808</v>
      </c>
      <c r="F574" t="s">
        <v>254</v>
      </c>
      <c r="H574">
        <v>4293.7</v>
      </c>
      <c r="I574">
        <v>0</v>
      </c>
      <c r="J574" t="s">
        <v>115</v>
      </c>
      <c r="N574" s="14" t="s">
        <v>1859</v>
      </c>
    </row>
    <row r="575" spans="1:14" x14ac:dyDescent="0.3">
      <c r="A575" t="s">
        <v>1860</v>
      </c>
      <c r="B575" t="s">
        <v>1861</v>
      </c>
      <c r="C575" t="s">
        <v>137</v>
      </c>
      <c r="D575" t="s">
        <v>1807</v>
      </c>
      <c r="E575" t="s">
        <v>1808</v>
      </c>
      <c r="F575" t="s">
        <v>254</v>
      </c>
      <c r="H575">
        <v>1148.3599999999999</v>
      </c>
      <c r="I575">
        <v>0</v>
      </c>
      <c r="J575" t="s">
        <v>115</v>
      </c>
      <c r="N575" s="14" t="s">
        <v>1862</v>
      </c>
    </row>
    <row r="576" spans="1:14" x14ac:dyDescent="0.3">
      <c r="A576" t="s">
        <v>1863</v>
      </c>
      <c r="B576" t="s">
        <v>1864</v>
      </c>
      <c r="C576" t="s">
        <v>199</v>
      </c>
      <c r="D576" t="s">
        <v>1807</v>
      </c>
      <c r="E576" t="s">
        <v>1808</v>
      </c>
      <c r="F576" t="s">
        <v>254</v>
      </c>
      <c r="H576">
        <v>96.36</v>
      </c>
      <c r="I576">
        <v>0</v>
      </c>
      <c r="J576" t="s">
        <v>115</v>
      </c>
      <c r="N576" s="14" t="s">
        <v>1865</v>
      </c>
    </row>
    <row r="577" spans="1:14" x14ac:dyDescent="0.3">
      <c r="A577" t="s">
        <v>1866</v>
      </c>
      <c r="B577" t="s">
        <v>1867</v>
      </c>
      <c r="C577" t="s">
        <v>183</v>
      </c>
      <c r="D577" t="s">
        <v>1807</v>
      </c>
      <c r="E577" t="s">
        <v>1808</v>
      </c>
      <c r="F577" t="s">
        <v>254</v>
      </c>
      <c r="G577" t="s">
        <v>1809</v>
      </c>
      <c r="H577">
        <v>2200</v>
      </c>
      <c r="I577">
        <v>5</v>
      </c>
      <c r="J577" t="s">
        <v>115</v>
      </c>
      <c r="N577" s="14" t="s">
        <v>1868</v>
      </c>
    </row>
    <row r="578" spans="1:14" x14ac:dyDescent="0.3">
      <c r="A578" t="s">
        <v>1869</v>
      </c>
      <c r="B578" t="s">
        <v>1870</v>
      </c>
      <c r="C578" t="s">
        <v>183</v>
      </c>
      <c r="D578" t="s">
        <v>1807</v>
      </c>
      <c r="E578" t="s">
        <v>1808</v>
      </c>
      <c r="F578" t="s">
        <v>254</v>
      </c>
      <c r="H578">
        <v>3014.67</v>
      </c>
      <c r="I578">
        <v>0</v>
      </c>
      <c r="J578" t="s">
        <v>115</v>
      </c>
      <c r="N578" s="14" t="s">
        <v>1871</v>
      </c>
    </row>
    <row r="579" spans="1:14" x14ac:dyDescent="0.3">
      <c r="A579" t="s">
        <v>1872</v>
      </c>
      <c r="B579" t="s">
        <v>1873</v>
      </c>
      <c r="C579" t="s">
        <v>241</v>
      </c>
      <c r="D579" t="s">
        <v>1807</v>
      </c>
      <c r="E579" t="s">
        <v>1808</v>
      </c>
      <c r="F579" t="s">
        <v>254</v>
      </c>
      <c r="H579">
        <v>1562.35</v>
      </c>
      <c r="I579">
        <v>0</v>
      </c>
      <c r="J579" t="s">
        <v>115</v>
      </c>
      <c r="N579" s="14" t="s">
        <v>1874</v>
      </c>
    </row>
    <row r="580" spans="1:14" x14ac:dyDescent="0.3">
      <c r="A580" t="s">
        <v>1875</v>
      </c>
      <c r="B580" t="s">
        <v>1876</v>
      </c>
      <c r="C580" t="s">
        <v>241</v>
      </c>
      <c r="D580" t="s">
        <v>1807</v>
      </c>
      <c r="E580" t="s">
        <v>1808</v>
      </c>
      <c r="F580" t="s">
        <v>254</v>
      </c>
      <c r="G580" t="s">
        <v>1877</v>
      </c>
      <c r="H580">
        <v>2500</v>
      </c>
      <c r="I580">
        <v>5</v>
      </c>
      <c r="J580" t="s">
        <v>92</v>
      </c>
      <c r="N580" s="14" t="s">
        <v>1878</v>
      </c>
    </row>
    <row r="581" spans="1:14" x14ac:dyDescent="0.3">
      <c r="A581" t="s">
        <v>1879</v>
      </c>
      <c r="B581" t="s">
        <v>1880</v>
      </c>
      <c r="C581" t="s">
        <v>199</v>
      </c>
      <c r="D581" t="s">
        <v>1807</v>
      </c>
      <c r="E581" t="s">
        <v>1808</v>
      </c>
      <c r="F581" t="s">
        <v>254</v>
      </c>
      <c r="H581">
        <v>2081.64</v>
      </c>
      <c r="I581">
        <v>0</v>
      </c>
      <c r="J581" t="s">
        <v>115</v>
      </c>
      <c r="N581" s="14" t="s">
        <v>1881</v>
      </c>
    </row>
    <row r="582" spans="1:14" x14ac:dyDescent="0.3">
      <c r="A582" t="s">
        <v>1882</v>
      </c>
      <c r="B582" t="s">
        <v>1883</v>
      </c>
      <c r="C582" t="s">
        <v>183</v>
      </c>
      <c r="D582" t="s">
        <v>1884</v>
      </c>
      <c r="E582" t="s">
        <v>1885</v>
      </c>
      <c r="F582" t="s">
        <v>91</v>
      </c>
      <c r="G582" t="s">
        <v>1886</v>
      </c>
      <c r="H582">
        <v>7441</v>
      </c>
      <c r="I582">
        <v>5</v>
      </c>
      <c r="J582" t="s">
        <v>115</v>
      </c>
      <c r="N582" s="14" t="s">
        <v>1887</v>
      </c>
    </row>
    <row r="583" spans="1:14" x14ac:dyDescent="0.3">
      <c r="A583" t="s">
        <v>1888</v>
      </c>
      <c r="B583" t="s">
        <v>1889</v>
      </c>
      <c r="C583" t="s">
        <v>183</v>
      </c>
      <c r="D583" t="s">
        <v>1884</v>
      </c>
      <c r="E583" t="s">
        <v>1885</v>
      </c>
      <c r="F583" t="s">
        <v>91</v>
      </c>
      <c r="G583" t="s">
        <v>1886</v>
      </c>
      <c r="H583">
        <v>12756</v>
      </c>
      <c r="I583">
        <v>5</v>
      </c>
      <c r="J583" t="s">
        <v>115</v>
      </c>
      <c r="N583" s="14" t="s">
        <v>1890</v>
      </c>
    </row>
    <row r="584" spans="1:14" x14ac:dyDescent="0.3">
      <c r="A584" t="s">
        <v>1891</v>
      </c>
      <c r="B584" t="s">
        <v>1892</v>
      </c>
      <c r="C584" t="s">
        <v>183</v>
      </c>
      <c r="D584" t="s">
        <v>1884</v>
      </c>
      <c r="E584" t="s">
        <v>1885</v>
      </c>
      <c r="F584" t="s">
        <v>91</v>
      </c>
      <c r="G584" t="s">
        <v>1886</v>
      </c>
      <c r="H584">
        <v>7312.35</v>
      </c>
      <c r="I584">
        <v>5</v>
      </c>
      <c r="J584" t="s">
        <v>115</v>
      </c>
      <c r="N584" s="14" t="s">
        <v>1893</v>
      </c>
    </row>
    <row r="585" spans="1:14" x14ac:dyDescent="0.3">
      <c r="A585" t="s">
        <v>1894</v>
      </c>
      <c r="B585" t="s">
        <v>1895</v>
      </c>
      <c r="C585" t="s">
        <v>183</v>
      </c>
      <c r="D585" t="s">
        <v>1884</v>
      </c>
      <c r="E585" t="s">
        <v>1885</v>
      </c>
      <c r="F585" t="s">
        <v>254</v>
      </c>
      <c r="G585" t="s">
        <v>1886</v>
      </c>
      <c r="H585">
        <v>5261.85</v>
      </c>
      <c r="I585">
        <v>5</v>
      </c>
      <c r="J585" t="s">
        <v>115</v>
      </c>
      <c r="N585" s="14" t="s">
        <v>1896</v>
      </c>
    </row>
    <row r="586" spans="1:14" x14ac:dyDescent="0.3">
      <c r="A586" t="s">
        <v>1897</v>
      </c>
      <c r="B586" t="s">
        <v>1898</v>
      </c>
      <c r="C586" t="s">
        <v>183</v>
      </c>
      <c r="D586" t="s">
        <v>1884</v>
      </c>
      <c r="E586" t="s">
        <v>1885</v>
      </c>
      <c r="F586" t="s">
        <v>254</v>
      </c>
      <c r="G586" t="s">
        <v>1886</v>
      </c>
      <c r="H586">
        <v>6084.32</v>
      </c>
      <c r="I586">
        <v>5</v>
      </c>
      <c r="J586" t="s">
        <v>115</v>
      </c>
      <c r="N586" s="14" t="s">
        <v>1899</v>
      </c>
    </row>
    <row r="587" spans="1:14" x14ac:dyDescent="0.3">
      <c r="A587" t="s">
        <v>1900</v>
      </c>
      <c r="B587" t="s">
        <v>1901</v>
      </c>
      <c r="C587" t="s">
        <v>183</v>
      </c>
      <c r="D587" t="s">
        <v>1884</v>
      </c>
      <c r="E587" t="s">
        <v>1885</v>
      </c>
      <c r="F587" t="s">
        <v>254</v>
      </c>
      <c r="G587" t="s">
        <v>1886</v>
      </c>
      <c r="H587">
        <v>7089.07</v>
      </c>
      <c r="I587">
        <v>5</v>
      </c>
      <c r="J587" t="s">
        <v>115</v>
      </c>
      <c r="N587" s="14" t="s">
        <v>1902</v>
      </c>
    </row>
    <row r="588" spans="1:14" x14ac:dyDescent="0.3">
      <c r="A588" t="s">
        <v>1903</v>
      </c>
      <c r="B588" t="s">
        <v>1904</v>
      </c>
      <c r="C588" t="s">
        <v>183</v>
      </c>
      <c r="D588" t="s">
        <v>1884</v>
      </c>
      <c r="E588" t="s">
        <v>1885</v>
      </c>
      <c r="F588" t="s">
        <v>254</v>
      </c>
      <c r="G588" t="s">
        <v>1886</v>
      </c>
      <c r="H588">
        <v>8484.56</v>
      </c>
      <c r="I588">
        <v>5</v>
      </c>
      <c r="J588" t="s">
        <v>115</v>
      </c>
      <c r="N588" s="14" t="s">
        <v>1905</v>
      </c>
    </row>
    <row r="589" spans="1:14" x14ac:dyDescent="0.3">
      <c r="A589" t="s">
        <v>1906</v>
      </c>
      <c r="B589" t="s">
        <v>1907</v>
      </c>
      <c r="C589" t="s">
        <v>183</v>
      </c>
      <c r="D589" t="s">
        <v>1884</v>
      </c>
      <c r="E589" t="s">
        <v>1885</v>
      </c>
      <c r="F589" t="s">
        <v>254</v>
      </c>
      <c r="G589" t="s">
        <v>1886</v>
      </c>
      <c r="H589">
        <v>13843.23</v>
      </c>
      <c r="I589">
        <v>5</v>
      </c>
      <c r="J589" t="s">
        <v>115</v>
      </c>
      <c r="N589" s="14" t="s">
        <v>1908</v>
      </c>
    </row>
    <row r="590" spans="1:14" x14ac:dyDescent="0.3">
      <c r="A590" t="s">
        <v>1909</v>
      </c>
      <c r="B590" t="s">
        <v>1910</v>
      </c>
      <c r="C590" t="s">
        <v>183</v>
      </c>
      <c r="D590" t="s">
        <v>1884</v>
      </c>
      <c r="E590" t="s">
        <v>1885</v>
      </c>
      <c r="F590" t="s">
        <v>254</v>
      </c>
      <c r="G590" t="s">
        <v>1886</v>
      </c>
      <c r="H590">
        <v>20988.12</v>
      </c>
      <c r="I590">
        <v>5</v>
      </c>
      <c r="J590" t="s">
        <v>115</v>
      </c>
      <c r="N590" s="14" t="s">
        <v>1911</v>
      </c>
    </row>
    <row r="591" spans="1:14" x14ac:dyDescent="0.3">
      <c r="A591" t="s">
        <v>1912</v>
      </c>
      <c r="B591" t="s">
        <v>1913</v>
      </c>
      <c r="C591" t="s">
        <v>183</v>
      </c>
      <c r="D591" t="s">
        <v>1884</v>
      </c>
      <c r="E591" t="s">
        <v>1885</v>
      </c>
      <c r="F591" t="s">
        <v>254</v>
      </c>
      <c r="G591" t="s">
        <v>1886</v>
      </c>
      <c r="H591">
        <v>7312.35</v>
      </c>
      <c r="I591">
        <v>5</v>
      </c>
      <c r="J591" t="s">
        <v>115</v>
      </c>
      <c r="N591" s="14" t="s">
        <v>1914</v>
      </c>
    </row>
    <row r="592" spans="1:14" x14ac:dyDescent="0.3">
      <c r="A592" t="s">
        <v>1915</v>
      </c>
      <c r="B592" t="s">
        <v>1916</v>
      </c>
      <c r="C592" t="s">
        <v>183</v>
      </c>
      <c r="D592" t="s">
        <v>1884</v>
      </c>
      <c r="E592" t="s">
        <v>1885</v>
      </c>
      <c r="F592" t="s">
        <v>254</v>
      </c>
      <c r="H592">
        <v>18264.259999999998</v>
      </c>
      <c r="I592">
        <v>0</v>
      </c>
      <c r="J592" t="s">
        <v>115</v>
      </c>
      <c r="N592" s="14" t="s">
        <v>1917</v>
      </c>
    </row>
    <row r="593" spans="1:14" x14ac:dyDescent="0.3">
      <c r="A593" t="s">
        <v>1918</v>
      </c>
      <c r="B593" t="s">
        <v>1919</v>
      </c>
      <c r="C593" t="s">
        <v>183</v>
      </c>
      <c r="D593" t="s">
        <v>1884</v>
      </c>
      <c r="E593" t="s">
        <v>1885</v>
      </c>
      <c r="F593" t="s">
        <v>254</v>
      </c>
      <c r="H593">
        <v>31350.799999999999</v>
      </c>
      <c r="I593">
        <v>0</v>
      </c>
      <c r="J593" t="s">
        <v>115</v>
      </c>
      <c r="N593" s="14" t="s">
        <v>1920</v>
      </c>
    </row>
    <row r="594" spans="1:14" x14ac:dyDescent="0.3">
      <c r="A594" t="s">
        <v>1921</v>
      </c>
      <c r="B594" t="s">
        <v>1922</v>
      </c>
      <c r="C594" t="s">
        <v>183</v>
      </c>
      <c r="D594" t="s">
        <v>1884</v>
      </c>
      <c r="E594" t="s">
        <v>1885</v>
      </c>
      <c r="F594" t="s">
        <v>254</v>
      </c>
      <c r="H594">
        <v>47566.73</v>
      </c>
      <c r="I594">
        <v>0</v>
      </c>
      <c r="J594" t="s">
        <v>115</v>
      </c>
      <c r="N594" s="14" t="s">
        <v>1923</v>
      </c>
    </row>
    <row r="595" spans="1:14" x14ac:dyDescent="0.3">
      <c r="A595" t="s">
        <v>1924</v>
      </c>
      <c r="B595" t="s">
        <v>1925</v>
      </c>
      <c r="C595" t="s">
        <v>183</v>
      </c>
      <c r="D595" t="s">
        <v>1884</v>
      </c>
      <c r="E595" t="s">
        <v>1885</v>
      </c>
      <c r="F595" t="s">
        <v>254</v>
      </c>
      <c r="G595" t="s">
        <v>1926</v>
      </c>
      <c r="H595">
        <v>870</v>
      </c>
      <c r="I595">
        <v>5</v>
      </c>
      <c r="J595" t="s">
        <v>115</v>
      </c>
      <c r="N595" s="14" t="s">
        <v>1927</v>
      </c>
    </row>
    <row r="596" spans="1:14" x14ac:dyDescent="0.3">
      <c r="A596" t="s">
        <v>1928</v>
      </c>
      <c r="B596" t="s">
        <v>1929</v>
      </c>
      <c r="C596" t="s">
        <v>183</v>
      </c>
      <c r="D596" t="s">
        <v>1884</v>
      </c>
      <c r="E596" t="s">
        <v>1885</v>
      </c>
      <c r="F596" t="s">
        <v>254</v>
      </c>
      <c r="G596" t="s">
        <v>1926</v>
      </c>
      <c r="H596">
        <v>916.11</v>
      </c>
      <c r="I596">
        <v>5</v>
      </c>
      <c r="J596" t="s">
        <v>115</v>
      </c>
      <c r="N596" s="14" t="s">
        <v>1930</v>
      </c>
    </row>
    <row r="597" spans="1:14" x14ac:dyDescent="0.3">
      <c r="A597" t="s">
        <v>1931</v>
      </c>
      <c r="B597" t="s">
        <v>1932</v>
      </c>
      <c r="C597" t="s">
        <v>183</v>
      </c>
      <c r="D597" t="s">
        <v>1884</v>
      </c>
      <c r="E597" t="s">
        <v>1885</v>
      </c>
      <c r="F597" t="s">
        <v>254</v>
      </c>
      <c r="G597" t="s">
        <v>1926</v>
      </c>
      <c r="H597">
        <v>1082.6500000000001</v>
      </c>
      <c r="I597">
        <v>5</v>
      </c>
      <c r="J597" t="s">
        <v>115</v>
      </c>
      <c r="N597" s="14" t="s">
        <v>1933</v>
      </c>
    </row>
    <row r="598" spans="1:14" x14ac:dyDescent="0.3">
      <c r="A598" t="s">
        <v>1934</v>
      </c>
      <c r="B598" t="s">
        <v>1925</v>
      </c>
      <c r="C598" t="s">
        <v>183</v>
      </c>
      <c r="D598" t="s">
        <v>1884</v>
      </c>
      <c r="E598" t="s">
        <v>1885</v>
      </c>
      <c r="F598" t="s">
        <v>254</v>
      </c>
      <c r="G598" t="s">
        <v>1926</v>
      </c>
      <c r="H598">
        <v>1785.39</v>
      </c>
      <c r="I598">
        <v>5</v>
      </c>
      <c r="J598" t="s">
        <v>115</v>
      </c>
      <c r="N598" s="14" t="s">
        <v>1935</v>
      </c>
    </row>
    <row r="599" spans="1:14" x14ac:dyDescent="0.3">
      <c r="A599" t="s">
        <v>1936</v>
      </c>
      <c r="B599" t="s">
        <v>1937</v>
      </c>
      <c r="C599" t="s">
        <v>183</v>
      </c>
      <c r="D599" t="s">
        <v>1884</v>
      </c>
      <c r="E599" t="s">
        <v>1885</v>
      </c>
      <c r="F599" t="s">
        <v>254</v>
      </c>
      <c r="H599">
        <v>2171.52</v>
      </c>
      <c r="I599">
        <v>0</v>
      </c>
      <c r="J599" t="s">
        <v>115</v>
      </c>
      <c r="N599" s="14" t="s">
        <v>1938</v>
      </c>
    </row>
    <row r="600" spans="1:14" x14ac:dyDescent="0.3">
      <c r="A600" t="s">
        <v>1939</v>
      </c>
      <c r="B600" t="s">
        <v>1940</v>
      </c>
      <c r="C600" t="s">
        <v>183</v>
      </c>
      <c r="D600" t="s">
        <v>1884</v>
      </c>
      <c r="E600" t="s">
        <v>1885</v>
      </c>
      <c r="F600" t="s">
        <v>254</v>
      </c>
      <c r="H600">
        <v>3300</v>
      </c>
      <c r="I600">
        <v>0</v>
      </c>
      <c r="J600" t="s">
        <v>115</v>
      </c>
      <c r="N600" s="14" t="s">
        <v>1941</v>
      </c>
    </row>
    <row r="601" spans="1:14" x14ac:dyDescent="0.3">
      <c r="A601" t="s">
        <v>1942</v>
      </c>
      <c r="B601" t="s">
        <v>1943</v>
      </c>
      <c r="C601" t="s">
        <v>183</v>
      </c>
      <c r="D601" t="s">
        <v>1884</v>
      </c>
      <c r="E601" t="s">
        <v>1885</v>
      </c>
      <c r="F601" t="s">
        <v>254</v>
      </c>
      <c r="G601" t="s">
        <v>1886</v>
      </c>
      <c r="H601">
        <v>1050.23</v>
      </c>
      <c r="I601">
        <v>5</v>
      </c>
      <c r="J601" t="s">
        <v>115</v>
      </c>
      <c r="N601" s="14" t="s">
        <v>1944</v>
      </c>
    </row>
    <row r="602" spans="1:14" x14ac:dyDescent="0.3">
      <c r="A602" t="s">
        <v>1945</v>
      </c>
      <c r="B602" t="s">
        <v>1946</v>
      </c>
      <c r="C602" t="s">
        <v>183</v>
      </c>
      <c r="D602" t="s">
        <v>1884</v>
      </c>
      <c r="E602" t="s">
        <v>1885</v>
      </c>
      <c r="F602" t="s">
        <v>254</v>
      </c>
      <c r="G602" t="s">
        <v>1886</v>
      </c>
      <c r="H602">
        <v>1522.83</v>
      </c>
      <c r="I602">
        <v>5</v>
      </c>
      <c r="J602" t="s">
        <v>115</v>
      </c>
      <c r="N602" s="14" t="s">
        <v>1947</v>
      </c>
    </row>
    <row r="603" spans="1:14" x14ac:dyDescent="0.3">
      <c r="A603" t="s">
        <v>1948</v>
      </c>
      <c r="B603" t="s">
        <v>1949</v>
      </c>
      <c r="C603" t="s">
        <v>183</v>
      </c>
      <c r="D603" t="s">
        <v>1884</v>
      </c>
      <c r="E603" t="s">
        <v>1885</v>
      </c>
      <c r="F603" t="s">
        <v>254</v>
      </c>
      <c r="G603" t="s">
        <v>1886</v>
      </c>
      <c r="H603">
        <v>1890.41</v>
      </c>
      <c r="I603">
        <v>5</v>
      </c>
      <c r="J603" t="s">
        <v>115</v>
      </c>
      <c r="N603" s="14" t="s">
        <v>1950</v>
      </c>
    </row>
    <row r="604" spans="1:14" x14ac:dyDescent="0.3">
      <c r="A604" t="s">
        <v>1951</v>
      </c>
      <c r="B604" t="s">
        <v>1952</v>
      </c>
      <c r="C604" t="s">
        <v>183</v>
      </c>
      <c r="D604" t="s">
        <v>1884</v>
      </c>
      <c r="E604" t="s">
        <v>1885</v>
      </c>
      <c r="F604" t="s">
        <v>254</v>
      </c>
      <c r="G604" t="s">
        <v>1886</v>
      </c>
      <c r="H604">
        <v>2520.54</v>
      </c>
      <c r="I604">
        <v>5</v>
      </c>
      <c r="J604" t="s">
        <v>115</v>
      </c>
      <c r="N604" s="14" t="s">
        <v>1953</v>
      </c>
    </row>
    <row r="605" spans="1:14" x14ac:dyDescent="0.3">
      <c r="A605" t="s">
        <v>1954</v>
      </c>
      <c r="B605" t="s">
        <v>1955</v>
      </c>
      <c r="C605" t="s">
        <v>183</v>
      </c>
      <c r="D605" t="s">
        <v>1884</v>
      </c>
      <c r="E605" t="s">
        <v>1885</v>
      </c>
      <c r="F605" t="s">
        <v>254</v>
      </c>
      <c r="G605" t="s">
        <v>1886</v>
      </c>
      <c r="H605">
        <v>2152.96</v>
      </c>
      <c r="I605">
        <v>5</v>
      </c>
      <c r="J605" t="s">
        <v>115</v>
      </c>
      <c r="N605" s="14" t="s">
        <v>1956</v>
      </c>
    </row>
    <row r="606" spans="1:14" x14ac:dyDescent="0.3">
      <c r="A606" t="s">
        <v>1957</v>
      </c>
      <c r="B606" t="s">
        <v>1958</v>
      </c>
      <c r="C606" t="s">
        <v>183</v>
      </c>
      <c r="D606" t="s">
        <v>1884</v>
      </c>
      <c r="E606" t="s">
        <v>1885</v>
      </c>
      <c r="F606" t="s">
        <v>254</v>
      </c>
      <c r="G606" t="s">
        <v>1886</v>
      </c>
      <c r="H606">
        <v>1417.8</v>
      </c>
      <c r="I606">
        <v>5</v>
      </c>
      <c r="J606" t="s">
        <v>115</v>
      </c>
      <c r="N606" s="14" t="s">
        <v>1959</v>
      </c>
    </row>
    <row r="607" spans="1:14" x14ac:dyDescent="0.3">
      <c r="A607" t="s">
        <v>1960</v>
      </c>
      <c r="B607" t="s">
        <v>1961</v>
      </c>
      <c r="C607" t="s">
        <v>183</v>
      </c>
      <c r="D607" t="s">
        <v>1884</v>
      </c>
      <c r="E607" t="s">
        <v>1885</v>
      </c>
      <c r="F607" t="s">
        <v>254</v>
      </c>
      <c r="G607" t="s">
        <v>1886</v>
      </c>
      <c r="H607">
        <v>2363.0100000000002</v>
      </c>
      <c r="I607">
        <v>5</v>
      </c>
      <c r="J607" t="s">
        <v>115</v>
      </c>
      <c r="N607" s="14" t="s">
        <v>1962</v>
      </c>
    </row>
    <row r="608" spans="1:14" x14ac:dyDescent="0.3">
      <c r="A608" t="s">
        <v>1963</v>
      </c>
      <c r="B608" t="s">
        <v>1964</v>
      </c>
      <c r="C608" t="s">
        <v>183</v>
      </c>
      <c r="D608" t="s">
        <v>1884</v>
      </c>
      <c r="E608" t="s">
        <v>1885</v>
      </c>
      <c r="F608" t="s">
        <v>254</v>
      </c>
      <c r="G608" t="s">
        <v>1886</v>
      </c>
      <c r="H608">
        <v>3833.32</v>
      </c>
      <c r="I608">
        <v>5</v>
      </c>
      <c r="J608" t="s">
        <v>115</v>
      </c>
      <c r="N608" s="14" t="s">
        <v>1965</v>
      </c>
    </row>
    <row r="609" spans="1:14" x14ac:dyDescent="0.3">
      <c r="A609" t="s">
        <v>1966</v>
      </c>
      <c r="B609" t="s">
        <v>1967</v>
      </c>
      <c r="C609" t="s">
        <v>183</v>
      </c>
      <c r="D609" t="s">
        <v>1884</v>
      </c>
      <c r="E609" t="s">
        <v>1885</v>
      </c>
      <c r="F609" t="s">
        <v>254</v>
      </c>
      <c r="G609" t="s">
        <v>1886</v>
      </c>
      <c r="H609">
        <v>10659.78</v>
      </c>
      <c r="I609">
        <v>5</v>
      </c>
      <c r="J609" t="s">
        <v>115</v>
      </c>
      <c r="N609" s="14" t="s">
        <v>1968</v>
      </c>
    </row>
    <row r="610" spans="1:14" x14ac:dyDescent="0.3">
      <c r="A610" t="s">
        <v>1969</v>
      </c>
      <c r="B610" t="s">
        <v>1970</v>
      </c>
      <c r="C610" t="s">
        <v>183</v>
      </c>
      <c r="D610" t="s">
        <v>1884</v>
      </c>
      <c r="E610" t="s">
        <v>1885</v>
      </c>
      <c r="F610" t="s">
        <v>254</v>
      </c>
      <c r="G610" t="s">
        <v>1886</v>
      </c>
      <c r="H610">
        <v>16908.63</v>
      </c>
      <c r="I610">
        <v>5</v>
      </c>
      <c r="J610" t="s">
        <v>115</v>
      </c>
      <c r="N610" s="14" t="s">
        <v>1971</v>
      </c>
    </row>
    <row r="611" spans="1:14" x14ac:dyDescent="0.3">
      <c r="A611" t="s">
        <v>1972</v>
      </c>
      <c r="B611" t="s">
        <v>1925</v>
      </c>
      <c r="C611" t="s">
        <v>183</v>
      </c>
      <c r="D611" t="s">
        <v>1884</v>
      </c>
      <c r="E611" t="s">
        <v>1885</v>
      </c>
      <c r="F611" t="s">
        <v>254</v>
      </c>
      <c r="G611" t="s">
        <v>1926</v>
      </c>
      <c r="H611">
        <v>287.10000000000002</v>
      </c>
      <c r="I611">
        <v>5</v>
      </c>
      <c r="J611" t="s">
        <v>115</v>
      </c>
      <c r="N611" s="14" t="s">
        <v>1973</v>
      </c>
    </row>
    <row r="612" spans="1:14" x14ac:dyDescent="0.3">
      <c r="A612" t="s">
        <v>1974</v>
      </c>
      <c r="B612" t="s">
        <v>1925</v>
      </c>
      <c r="C612" t="s">
        <v>183</v>
      </c>
      <c r="D612" t="s">
        <v>1884</v>
      </c>
      <c r="E612" t="s">
        <v>1885</v>
      </c>
      <c r="F612" t="s">
        <v>254</v>
      </c>
      <c r="G612" t="s">
        <v>1926</v>
      </c>
      <c r="H612">
        <v>438.48</v>
      </c>
      <c r="I612">
        <v>5</v>
      </c>
      <c r="J612" t="s">
        <v>115</v>
      </c>
      <c r="N612" s="14" t="s">
        <v>1975</v>
      </c>
    </row>
    <row r="613" spans="1:14" x14ac:dyDescent="0.3">
      <c r="A613" t="s">
        <v>1976</v>
      </c>
      <c r="B613" t="s">
        <v>1925</v>
      </c>
      <c r="C613" t="s">
        <v>183</v>
      </c>
      <c r="D613" t="s">
        <v>1884</v>
      </c>
      <c r="E613" t="s">
        <v>1885</v>
      </c>
      <c r="F613" t="s">
        <v>254</v>
      </c>
      <c r="G613" t="s">
        <v>1926</v>
      </c>
      <c r="H613">
        <v>449.79</v>
      </c>
      <c r="I613">
        <v>5</v>
      </c>
      <c r="J613" t="s">
        <v>115</v>
      </c>
      <c r="N613" s="14" t="s">
        <v>1977</v>
      </c>
    </row>
    <row r="614" spans="1:14" x14ac:dyDescent="0.3">
      <c r="A614" t="s">
        <v>1978</v>
      </c>
      <c r="B614" t="s">
        <v>1925</v>
      </c>
      <c r="C614" t="s">
        <v>183</v>
      </c>
      <c r="D614" t="s">
        <v>1884</v>
      </c>
      <c r="E614" t="s">
        <v>1885</v>
      </c>
      <c r="F614" t="s">
        <v>254</v>
      </c>
      <c r="G614" t="s">
        <v>1926</v>
      </c>
      <c r="H614">
        <v>577.62</v>
      </c>
      <c r="I614">
        <v>5</v>
      </c>
      <c r="J614" t="s">
        <v>115</v>
      </c>
      <c r="N614" s="14" t="s">
        <v>1979</v>
      </c>
    </row>
    <row r="615" spans="1:14" x14ac:dyDescent="0.3">
      <c r="A615" t="s">
        <v>1980</v>
      </c>
      <c r="B615" t="s">
        <v>1925</v>
      </c>
      <c r="C615" t="s">
        <v>183</v>
      </c>
      <c r="D615" t="s">
        <v>1884</v>
      </c>
      <c r="E615" t="s">
        <v>1885</v>
      </c>
      <c r="F615" t="s">
        <v>254</v>
      </c>
      <c r="G615" t="s">
        <v>1926</v>
      </c>
      <c r="H615">
        <v>636.41</v>
      </c>
      <c r="I615">
        <v>5</v>
      </c>
      <c r="J615" t="s">
        <v>115</v>
      </c>
      <c r="N615" s="14" t="s">
        <v>1981</v>
      </c>
    </row>
    <row r="616" spans="1:14" x14ac:dyDescent="0.3">
      <c r="A616" t="s">
        <v>1982</v>
      </c>
      <c r="B616" t="s">
        <v>1925</v>
      </c>
      <c r="C616" t="s">
        <v>183</v>
      </c>
      <c r="D616" t="s">
        <v>1884</v>
      </c>
      <c r="E616" t="s">
        <v>1885</v>
      </c>
      <c r="F616" t="s">
        <v>254</v>
      </c>
      <c r="G616" t="s">
        <v>1926</v>
      </c>
      <c r="H616">
        <v>787.67</v>
      </c>
      <c r="I616">
        <v>5</v>
      </c>
      <c r="J616" t="s">
        <v>115</v>
      </c>
      <c r="N616" s="14" t="s">
        <v>1983</v>
      </c>
    </row>
    <row r="617" spans="1:14" x14ac:dyDescent="0.3">
      <c r="A617" t="s">
        <v>1984</v>
      </c>
      <c r="B617" t="s">
        <v>1925</v>
      </c>
      <c r="C617" t="s">
        <v>183</v>
      </c>
      <c r="D617" t="s">
        <v>1884</v>
      </c>
      <c r="E617" t="s">
        <v>1885</v>
      </c>
      <c r="F617" t="s">
        <v>254</v>
      </c>
      <c r="G617" t="s">
        <v>1926</v>
      </c>
      <c r="H617">
        <v>746.46</v>
      </c>
      <c r="I617">
        <v>5</v>
      </c>
      <c r="J617" t="s">
        <v>115</v>
      </c>
      <c r="N617" s="14" t="s">
        <v>1985</v>
      </c>
    </row>
    <row r="618" spans="1:14" x14ac:dyDescent="0.3">
      <c r="A618" t="s">
        <v>1986</v>
      </c>
      <c r="B618" t="s">
        <v>1925</v>
      </c>
      <c r="C618" t="s">
        <v>183</v>
      </c>
      <c r="D618" t="s">
        <v>1884</v>
      </c>
      <c r="E618" t="s">
        <v>1885</v>
      </c>
      <c r="F618" t="s">
        <v>254</v>
      </c>
      <c r="G618" t="s">
        <v>1926</v>
      </c>
      <c r="H618">
        <v>791.7</v>
      </c>
      <c r="I618">
        <v>5</v>
      </c>
      <c r="J618" t="s">
        <v>115</v>
      </c>
      <c r="N618" s="14" t="s">
        <v>1987</v>
      </c>
    </row>
    <row r="619" spans="1:14" x14ac:dyDescent="0.3">
      <c r="A619" t="s">
        <v>1988</v>
      </c>
      <c r="B619" t="s">
        <v>1925</v>
      </c>
      <c r="C619" t="s">
        <v>183</v>
      </c>
      <c r="D619" t="s">
        <v>1884</v>
      </c>
      <c r="E619" t="s">
        <v>1885</v>
      </c>
      <c r="F619" t="s">
        <v>254</v>
      </c>
      <c r="G619" t="s">
        <v>1926</v>
      </c>
      <c r="H619">
        <v>945.21</v>
      </c>
      <c r="I619">
        <v>5</v>
      </c>
      <c r="J619" t="s">
        <v>115</v>
      </c>
      <c r="N619" s="14" t="s">
        <v>1989</v>
      </c>
    </row>
    <row r="620" spans="1:14" x14ac:dyDescent="0.3">
      <c r="A620" t="s">
        <v>1990</v>
      </c>
      <c r="B620" t="s">
        <v>1925</v>
      </c>
      <c r="C620" t="s">
        <v>183</v>
      </c>
      <c r="D620" t="s">
        <v>1884</v>
      </c>
      <c r="E620" t="s">
        <v>1885</v>
      </c>
      <c r="F620" t="s">
        <v>254</v>
      </c>
      <c r="G620" t="s">
        <v>1926</v>
      </c>
      <c r="H620">
        <v>997.71</v>
      </c>
      <c r="I620">
        <v>5</v>
      </c>
      <c r="J620" t="s">
        <v>115</v>
      </c>
      <c r="N620" s="14" t="s">
        <v>1991</v>
      </c>
    </row>
    <row r="621" spans="1:14" x14ac:dyDescent="0.3">
      <c r="A621" t="s">
        <v>1992</v>
      </c>
      <c r="B621" t="s">
        <v>1925</v>
      </c>
      <c r="C621" t="s">
        <v>183</v>
      </c>
      <c r="D621" t="s">
        <v>1884</v>
      </c>
      <c r="E621" t="s">
        <v>1885</v>
      </c>
      <c r="F621" t="s">
        <v>254</v>
      </c>
      <c r="G621" t="s">
        <v>1926</v>
      </c>
      <c r="H621">
        <v>1260.27</v>
      </c>
      <c r="I621">
        <v>5</v>
      </c>
      <c r="J621" t="s">
        <v>115</v>
      </c>
      <c r="N621" s="14" t="s">
        <v>1993</v>
      </c>
    </row>
    <row r="622" spans="1:14" x14ac:dyDescent="0.3">
      <c r="A622" t="s">
        <v>1994</v>
      </c>
      <c r="B622" t="s">
        <v>1925</v>
      </c>
      <c r="C622" t="s">
        <v>183</v>
      </c>
      <c r="D622" t="s">
        <v>1884</v>
      </c>
      <c r="E622" t="s">
        <v>1885</v>
      </c>
      <c r="F622" t="s">
        <v>254</v>
      </c>
      <c r="G622" t="s">
        <v>1926</v>
      </c>
      <c r="H622">
        <v>1540.16</v>
      </c>
      <c r="I622">
        <v>5</v>
      </c>
      <c r="J622" t="s">
        <v>115</v>
      </c>
      <c r="N622" s="14" t="s">
        <v>1995</v>
      </c>
    </row>
    <row r="623" spans="1:14" x14ac:dyDescent="0.3">
      <c r="A623" t="s">
        <v>1996</v>
      </c>
      <c r="B623" t="s">
        <v>1925</v>
      </c>
      <c r="C623" t="s">
        <v>183</v>
      </c>
      <c r="D623" t="s">
        <v>1884</v>
      </c>
      <c r="E623" t="s">
        <v>1885</v>
      </c>
      <c r="F623" t="s">
        <v>254</v>
      </c>
      <c r="G623" t="s">
        <v>1926</v>
      </c>
      <c r="H623">
        <v>984.84</v>
      </c>
      <c r="I623">
        <v>5</v>
      </c>
      <c r="J623" t="s">
        <v>115</v>
      </c>
      <c r="N623" s="14" t="s">
        <v>1997</v>
      </c>
    </row>
    <row r="624" spans="1:14" x14ac:dyDescent="0.3">
      <c r="A624" t="s">
        <v>1998</v>
      </c>
      <c r="B624" t="s">
        <v>1925</v>
      </c>
      <c r="C624" t="s">
        <v>183</v>
      </c>
      <c r="D624" t="s">
        <v>1884</v>
      </c>
      <c r="E624" t="s">
        <v>1885</v>
      </c>
      <c r="F624" t="s">
        <v>254</v>
      </c>
      <c r="G624" t="s">
        <v>1926</v>
      </c>
      <c r="H624">
        <v>1245.3800000000001</v>
      </c>
      <c r="I624">
        <v>5</v>
      </c>
      <c r="J624" t="s">
        <v>115</v>
      </c>
      <c r="N624" s="14" t="s">
        <v>1999</v>
      </c>
    </row>
    <row r="625" spans="1:14" x14ac:dyDescent="0.3">
      <c r="A625" t="s">
        <v>2000</v>
      </c>
      <c r="B625" t="s">
        <v>1925</v>
      </c>
      <c r="C625" t="s">
        <v>183</v>
      </c>
      <c r="D625" t="s">
        <v>1884</v>
      </c>
      <c r="E625" t="s">
        <v>1885</v>
      </c>
      <c r="F625" t="s">
        <v>254</v>
      </c>
      <c r="G625" t="s">
        <v>1926</v>
      </c>
      <c r="H625">
        <v>1087.83</v>
      </c>
      <c r="I625">
        <v>5</v>
      </c>
      <c r="J625" t="s">
        <v>115</v>
      </c>
      <c r="N625" s="14" t="s">
        <v>2001</v>
      </c>
    </row>
    <row r="626" spans="1:14" x14ac:dyDescent="0.3">
      <c r="A626" t="s">
        <v>2002</v>
      </c>
      <c r="B626" t="s">
        <v>1925</v>
      </c>
      <c r="C626" t="s">
        <v>183</v>
      </c>
      <c r="D626" t="s">
        <v>1884</v>
      </c>
      <c r="E626" t="s">
        <v>1885</v>
      </c>
      <c r="F626" t="s">
        <v>254</v>
      </c>
      <c r="G626" t="s">
        <v>1926</v>
      </c>
      <c r="H626">
        <v>1420.16</v>
      </c>
      <c r="I626">
        <v>5</v>
      </c>
      <c r="J626" t="s">
        <v>115</v>
      </c>
      <c r="N626" s="14" t="s">
        <v>2003</v>
      </c>
    </row>
    <row r="627" spans="1:14" x14ac:dyDescent="0.3">
      <c r="A627" t="s">
        <v>2004</v>
      </c>
      <c r="B627" t="s">
        <v>1925</v>
      </c>
      <c r="C627" t="s">
        <v>183</v>
      </c>
      <c r="D627" t="s">
        <v>1884</v>
      </c>
      <c r="E627" t="s">
        <v>1885</v>
      </c>
      <c r="F627" t="s">
        <v>254</v>
      </c>
      <c r="G627" t="s">
        <v>1926</v>
      </c>
      <c r="H627">
        <v>1680.36</v>
      </c>
      <c r="I627">
        <v>5</v>
      </c>
      <c r="J627" t="s">
        <v>115</v>
      </c>
      <c r="N627" s="14" t="s">
        <v>2005</v>
      </c>
    </row>
    <row r="628" spans="1:14" x14ac:dyDescent="0.3">
      <c r="A628" t="s">
        <v>2006</v>
      </c>
      <c r="B628" t="s">
        <v>2007</v>
      </c>
      <c r="C628" t="s">
        <v>183</v>
      </c>
      <c r="D628" t="s">
        <v>1884</v>
      </c>
      <c r="E628" t="s">
        <v>1885</v>
      </c>
      <c r="F628" t="s">
        <v>254</v>
      </c>
      <c r="G628" t="s">
        <v>1926</v>
      </c>
      <c r="H628">
        <v>2240.63</v>
      </c>
      <c r="I628">
        <v>5</v>
      </c>
      <c r="J628" t="s">
        <v>115</v>
      </c>
      <c r="N628" s="14" t="s">
        <v>2008</v>
      </c>
    </row>
    <row r="629" spans="1:14" x14ac:dyDescent="0.3">
      <c r="A629" t="s">
        <v>2009</v>
      </c>
      <c r="B629" t="s">
        <v>2010</v>
      </c>
      <c r="C629" t="s">
        <v>183</v>
      </c>
      <c r="D629" t="s">
        <v>1884</v>
      </c>
      <c r="E629" t="s">
        <v>1885</v>
      </c>
      <c r="F629" t="s">
        <v>254</v>
      </c>
      <c r="G629" t="s">
        <v>1926</v>
      </c>
      <c r="H629">
        <v>2110.63</v>
      </c>
      <c r="I629">
        <v>5</v>
      </c>
      <c r="J629" t="s">
        <v>115</v>
      </c>
      <c r="N629" s="14" t="s">
        <v>2011</v>
      </c>
    </row>
    <row r="630" spans="1:14" x14ac:dyDescent="0.3">
      <c r="A630" t="s">
        <v>2012</v>
      </c>
      <c r="B630" t="s">
        <v>2013</v>
      </c>
      <c r="C630" t="s">
        <v>183</v>
      </c>
      <c r="D630" t="s">
        <v>1884</v>
      </c>
      <c r="E630" t="s">
        <v>1885</v>
      </c>
      <c r="F630" t="s">
        <v>254</v>
      </c>
      <c r="G630" t="s">
        <v>1926</v>
      </c>
      <c r="H630">
        <v>1940.63</v>
      </c>
      <c r="I630">
        <v>5</v>
      </c>
      <c r="J630" t="s">
        <v>115</v>
      </c>
      <c r="N630" s="14" t="s">
        <v>2014</v>
      </c>
    </row>
    <row r="631" spans="1:14" x14ac:dyDescent="0.3">
      <c r="A631" t="s">
        <v>2015</v>
      </c>
      <c r="B631" t="s">
        <v>2016</v>
      </c>
      <c r="C631" t="s">
        <v>183</v>
      </c>
      <c r="D631" t="s">
        <v>1884</v>
      </c>
      <c r="E631" t="s">
        <v>1885</v>
      </c>
      <c r="F631" t="s">
        <v>254</v>
      </c>
      <c r="G631" t="s">
        <v>1926</v>
      </c>
      <c r="H631">
        <v>2780.81</v>
      </c>
      <c r="I631">
        <v>5</v>
      </c>
      <c r="J631" t="s">
        <v>115</v>
      </c>
      <c r="N631" s="14" t="s">
        <v>2017</v>
      </c>
    </row>
    <row r="632" spans="1:14" x14ac:dyDescent="0.3">
      <c r="A632" t="s">
        <v>2018</v>
      </c>
      <c r="B632" t="s">
        <v>2019</v>
      </c>
      <c r="C632" t="s">
        <v>183</v>
      </c>
      <c r="D632" t="s">
        <v>1884</v>
      </c>
      <c r="E632" t="s">
        <v>1885</v>
      </c>
      <c r="F632" t="s">
        <v>254</v>
      </c>
      <c r="G632" t="s">
        <v>1926</v>
      </c>
      <c r="H632">
        <v>2468.0300000000002</v>
      </c>
      <c r="I632">
        <v>5</v>
      </c>
      <c r="J632" t="s">
        <v>115</v>
      </c>
      <c r="N632" s="14" t="s">
        <v>2020</v>
      </c>
    </row>
    <row r="633" spans="1:14" x14ac:dyDescent="0.3">
      <c r="A633" t="s">
        <v>2021</v>
      </c>
      <c r="B633" t="s">
        <v>2022</v>
      </c>
      <c r="C633" t="s">
        <v>183</v>
      </c>
      <c r="D633" t="s">
        <v>1884</v>
      </c>
      <c r="E633" t="s">
        <v>1885</v>
      </c>
      <c r="F633" t="s">
        <v>254</v>
      </c>
      <c r="G633" t="s">
        <v>1926</v>
      </c>
      <c r="H633">
        <v>3043.37</v>
      </c>
      <c r="I633">
        <v>5</v>
      </c>
      <c r="J633" t="s">
        <v>115</v>
      </c>
      <c r="N633" s="14" t="s">
        <v>2023</v>
      </c>
    </row>
    <row r="634" spans="1:14" x14ac:dyDescent="0.3">
      <c r="A634" t="s">
        <v>2024</v>
      </c>
      <c r="B634" t="s">
        <v>2025</v>
      </c>
      <c r="C634" t="s">
        <v>183</v>
      </c>
      <c r="D634" t="s">
        <v>1884</v>
      </c>
      <c r="E634" t="s">
        <v>1885</v>
      </c>
      <c r="F634" t="s">
        <v>254</v>
      </c>
      <c r="G634" t="s">
        <v>1926</v>
      </c>
      <c r="H634">
        <v>3568.48</v>
      </c>
      <c r="I634">
        <v>5</v>
      </c>
      <c r="J634" t="s">
        <v>115</v>
      </c>
      <c r="N634" s="14" t="s">
        <v>2026</v>
      </c>
    </row>
    <row r="635" spans="1:14" x14ac:dyDescent="0.3">
      <c r="A635" t="s">
        <v>2027</v>
      </c>
      <c r="B635" t="s">
        <v>2028</v>
      </c>
      <c r="C635" t="s">
        <v>183</v>
      </c>
      <c r="D635" t="s">
        <v>1884</v>
      </c>
      <c r="E635" t="s">
        <v>1885</v>
      </c>
      <c r="F635" t="s">
        <v>254</v>
      </c>
      <c r="G635" t="s">
        <v>1926</v>
      </c>
      <c r="H635">
        <v>3988.57</v>
      </c>
      <c r="I635">
        <v>5</v>
      </c>
      <c r="J635" t="s">
        <v>115</v>
      </c>
      <c r="N635" s="14" t="s">
        <v>2029</v>
      </c>
    </row>
    <row r="636" spans="1:14" x14ac:dyDescent="0.3">
      <c r="A636" t="s">
        <v>2030</v>
      </c>
      <c r="B636" t="s">
        <v>2031</v>
      </c>
      <c r="C636" t="s">
        <v>183</v>
      </c>
      <c r="D636" t="s">
        <v>1884</v>
      </c>
      <c r="E636" t="s">
        <v>1885</v>
      </c>
      <c r="F636" t="s">
        <v>254</v>
      </c>
      <c r="H636">
        <v>420.09</v>
      </c>
      <c r="I636">
        <v>0</v>
      </c>
      <c r="J636" t="s">
        <v>115</v>
      </c>
      <c r="N636" s="14" t="s">
        <v>2032</v>
      </c>
    </row>
    <row r="637" spans="1:14" x14ac:dyDescent="0.3">
      <c r="A637" t="s">
        <v>2033</v>
      </c>
      <c r="B637" t="s">
        <v>1925</v>
      </c>
      <c r="C637" t="s">
        <v>183</v>
      </c>
      <c r="D637" t="s">
        <v>1884</v>
      </c>
      <c r="E637" t="s">
        <v>1885</v>
      </c>
      <c r="F637" t="s">
        <v>254</v>
      </c>
      <c r="G637" t="s">
        <v>1926</v>
      </c>
      <c r="H637">
        <v>922.83</v>
      </c>
      <c r="I637">
        <v>5</v>
      </c>
      <c r="J637" t="s">
        <v>115</v>
      </c>
      <c r="N637" s="14" t="s">
        <v>2034</v>
      </c>
    </row>
    <row r="638" spans="1:14" x14ac:dyDescent="0.3">
      <c r="A638" t="s">
        <v>2035</v>
      </c>
      <c r="B638" t="s">
        <v>2036</v>
      </c>
      <c r="C638" t="s">
        <v>183</v>
      </c>
      <c r="D638" t="s">
        <v>1884</v>
      </c>
      <c r="E638" t="s">
        <v>1885</v>
      </c>
      <c r="F638" t="s">
        <v>254</v>
      </c>
      <c r="G638" t="s">
        <v>1926</v>
      </c>
      <c r="H638">
        <v>1673.5</v>
      </c>
      <c r="I638">
        <v>5</v>
      </c>
      <c r="J638" t="s">
        <v>115</v>
      </c>
      <c r="N638" s="14" t="s">
        <v>2037</v>
      </c>
    </row>
    <row r="639" spans="1:14" x14ac:dyDescent="0.3">
      <c r="A639" t="s">
        <v>2038</v>
      </c>
      <c r="B639" t="s">
        <v>1925</v>
      </c>
      <c r="C639" t="s">
        <v>183</v>
      </c>
      <c r="D639" t="s">
        <v>1884</v>
      </c>
      <c r="E639" t="s">
        <v>1885</v>
      </c>
      <c r="F639" t="s">
        <v>254</v>
      </c>
      <c r="G639" t="s">
        <v>1926</v>
      </c>
      <c r="H639">
        <v>2198.61</v>
      </c>
      <c r="I639">
        <v>5</v>
      </c>
      <c r="J639" t="s">
        <v>115</v>
      </c>
      <c r="N639" s="14" t="s">
        <v>2039</v>
      </c>
    </row>
    <row r="640" spans="1:14" x14ac:dyDescent="0.3">
      <c r="A640" t="s">
        <v>2040</v>
      </c>
      <c r="B640" t="s">
        <v>1925</v>
      </c>
      <c r="C640" t="s">
        <v>183</v>
      </c>
      <c r="D640" t="s">
        <v>1884</v>
      </c>
      <c r="E640" t="s">
        <v>1885</v>
      </c>
      <c r="F640" t="s">
        <v>254</v>
      </c>
      <c r="G640" t="s">
        <v>1926</v>
      </c>
      <c r="H640">
        <v>2251.13</v>
      </c>
      <c r="I640">
        <v>5</v>
      </c>
      <c r="J640" t="s">
        <v>115</v>
      </c>
      <c r="N640" s="14" t="s">
        <v>2041</v>
      </c>
    </row>
    <row r="641" spans="1:14" x14ac:dyDescent="0.3">
      <c r="A641" t="s">
        <v>2042</v>
      </c>
      <c r="B641" t="s">
        <v>2043</v>
      </c>
      <c r="C641" t="s">
        <v>183</v>
      </c>
      <c r="D641" t="s">
        <v>1884</v>
      </c>
      <c r="E641" t="s">
        <v>1885</v>
      </c>
      <c r="F641" t="s">
        <v>254</v>
      </c>
      <c r="G641" t="s">
        <v>1926</v>
      </c>
      <c r="H641">
        <v>2878.97</v>
      </c>
      <c r="I641">
        <v>5</v>
      </c>
      <c r="J641" t="s">
        <v>115</v>
      </c>
      <c r="N641" s="14" t="s">
        <v>2044</v>
      </c>
    </row>
    <row r="642" spans="1:14" x14ac:dyDescent="0.3">
      <c r="A642" t="s">
        <v>2045</v>
      </c>
      <c r="B642" t="s">
        <v>2046</v>
      </c>
      <c r="C642" t="s">
        <v>183</v>
      </c>
      <c r="D642" t="s">
        <v>1884</v>
      </c>
      <c r="E642" t="s">
        <v>1885</v>
      </c>
      <c r="F642" t="s">
        <v>254</v>
      </c>
      <c r="H642">
        <v>1155.25</v>
      </c>
      <c r="I642">
        <v>0</v>
      </c>
      <c r="J642" t="s">
        <v>115</v>
      </c>
      <c r="N642" s="14" t="s">
        <v>2047</v>
      </c>
    </row>
    <row r="643" spans="1:14" x14ac:dyDescent="0.3">
      <c r="A643" t="s">
        <v>2048</v>
      </c>
      <c r="B643" t="s">
        <v>2049</v>
      </c>
      <c r="C643" t="s">
        <v>183</v>
      </c>
      <c r="D643" t="s">
        <v>1884</v>
      </c>
      <c r="E643" t="s">
        <v>1885</v>
      </c>
      <c r="F643" t="s">
        <v>254</v>
      </c>
      <c r="H643">
        <v>1207.76</v>
      </c>
      <c r="I643">
        <v>0</v>
      </c>
      <c r="J643" t="s">
        <v>115</v>
      </c>
      <c r="N643" s="14" t="s">
        <v>2050</v>
      </c>
    </row>
    <row r="644" spans="1:14" x14ac:dyDescent="0.3">
      <c r="A644" t="s">
        <v>2051</v>
      </c>
      <c r="B644" t="s">
        <v>2052</v>
      </c>
      <c r="C644" t="s">
        <v>183</v>
      </c>
      <c r="D644" t="s">
        <v>1884</v>
      </c>
      <c r="E644" t="s">
        <v>1885</v>
      </c>
      <c r="F644" t="s">
        <v>254</v>
      </c>
      <c r="H644">
        <v>1837.89</v>
      </c>
      <c r="I644">
        <v>0</v>
      </c>
      <c r="J644" t="s">
        <v>115</v>
      </c>
      <c r="N644" s="14" t="s">
        <v>2053</v>
      </c>
    </row>
    <row r="645" spans="1:14" x14ac:dyDescent="0.3">
      <c r="A645" t="s">
        <v>2054</v>
      </c>
      <c r="B645" t="s">
        <v>2055</v>
      </c>
      <c r="C645" t="s">
        <v>183</v>
      </c>
      <c r="D645" t="s">
        <v>1884</v>
      </c>
      <c r="E645" t="s">
        <v>1885</v>
      </c>
      <c r="F645" t="s">
        <v>254</v>
      </c>
      <c r="H645">
        <v>1627.85</v>
      </c>
      <c r="I645">
        <v>0</v>
      </c>
      <c r="J645" t="s">
        <v>115</v>
      </c>
      <c r="N645" s="14" t="s">
        <v>2056</v>
      </c>
    </row>
    <row r="646" spans="1:14" x14ac:dyDescent="0.3">
      <c r="A646" t="s">
        <v>2057</v>
      </c>
      <c r="B646" t="s">
        <v>2058</v>
      </c>
      <c r="C646" t="s">
        <v>183</v>
      </c>
      <c r="D646" t="s">
        <v>1884</v>
      </c>
      <c r="E646" t="s">
        <v>1885</v>
      </c>
      <c r="F646" t="s">
        <v>254</v>
      </c>
      <c r="H646">
        <v>4883.55</v>
      </c>
      <c r="I646">
        <v>0</v>
      </c>
      <c r="J646" t="s">
        <v>115</v>
      </c>
      <c r="N646" s="14" t="s">
        <v>2059</v>
      </c>
    </row>
    <row r="647" spans="1:14" x14ac:dyDescent="0.3">
      <c r="A647" t="s">
        <v>2060</v>
      </c>
      <c r="B647" t="s">
        <v>2061</v>
      </c>
      <c r="C647" t="s">
        <v>183</v>
      </c>
      <c r="D647" t="s">
        <v>1884</v>
      </c>
      <c r="E647" t="s">
        <v>1885</v>
      </c>
      <c r="F647" t="s">
        <v>254</v>
      </c>
      <c r="H647">
        <v>3150.68</v>
      </c>
      <c r="I647">
        <v>0</v>
      </c>
      <c r="J647" t="s">
        <v>115</v>
      </c>
      <c r="N647" s="14" t="s">
        <v>2062</v>
      </c>
    </row>
    <row r="648" spans="1:14" x14ac:dyDescent="0.3">
      <c r="A648" t="s">
        <v>2063</v>
      </c>
      <c r="B648" t="s">
        <v>2064</v>
      </c>
      <c r="C648" t="s">
        <v>183</v>
      </c>
      <c r="D648" t="s">
        <v>1884</v>
      </c>
      <c r="E648" t="s">
        <v>1885</v>
      </c>
      <c r="F648" t="s">
        <v>254</v>
      </c>
      <c r="H648">
        <v>3518.25</v>
      </c>
      <c r="I648">
        <v>0</v>
      </c>
      <c r="J648" t="s">
        <v>115</v>
      </c>
      <c r="N648" s="14" t="s">
        <v>2065</v>
      </c>
    </row>
    <row r="649" spans="1:14" x14ac:dyDescent="0.3">
      <c r="A649" t="s">
        <v>2066</v>
      </c>
      <c r="B649" t="s">
        <v>2067</v>
      </c>
      <c r="C649" t="s">
        <v>183</v>
      </c>
      <c r="D649" t="s">
        <v>1884</v>
      </c>
      <c r="E649" t="s">
        <v>1885</v>
      </c>
      <c r="F649" t="s">
        <v>254</v>
      </c>
      <c r="H649">
        <v>10134.67</v>
      </c>
      <c r="I649">
        <v>0</v>
      </c>
      <c r="J649" t="s">
        <v>115</v>
      </c>
      <c r="N649" s="14" t="s">
        <v>2068</v>
      </c>
    </row>
    <row r="650" spans="1:14" x14ac:dyDescent="0.3">
      <c r="A650" t="s">
        <v>2069</v>
      </c>
      <c r="B650" t="s">
        <v>2070</v>
      </c>
      <c r="C650" t="s">
        <v>183</v>
      </c>
      <c r="D650" t="s">
        <v>1884</v>
      </c>
      <c r="E650" t="s">
        <v>1885</v>
      </c>
      <c r="F650" t="s">
        <v>254</v>
      </c>
      <c r="H650">
        <v>3045.66</v>
      </c>
      <c r="I650">
        <v>0</v>
      </c>
      <c r="J650" t="s">
        <v>115</v>
      </c>
      <c r="N650" s="14" t="s">
        <v>2071</v>
      </c>
    </row>
    <row r="651" spans="1:14" x14ac:dyDescent="0.3">
      <c r="A651" t="s">
        <v>2072</v>
      </c>
      <c r="B651" t="s">
        <v>2073</v>
      </c>
      <c r="C651" t="s">
        <v>183</v>
      </c>
      <c r="D651" t="s">
        <v>1884</v>
      </c>
      <c r="E651" t="s">
        <v>1885</v>
      </c>
      <c r="F651" t="s">
        <v>254</v>
      </c>
      <c r="G651" t="s">
        <v>1926</v>
      </c>
      <c r="H651">
        <v>1470.32</v>
      </c>
      <c r="I651">
        <v>5</v>
      </c>
      <c r="J651" t="s">
        <v>115</v>
      </c>
      <c r="N651" s="14" t="s">
        <v>2074</v>
      </c>
    </row>
    <row r="652" spans="1:14" x14ac:dyDescent="0.3">
      <c r="A652" t="s">
        <v>2075</v>
      </c>
      <c r="B652" t="s">
        <v>2076</v>
      </c>
      <c r="C652" t="s">
        <v>183</v>
      </c>
      <c r="D652" t="s">
        <v>1884</v>
      </c>
      <c r="E652" t="s">
        <v>1885</v>
      </c>
      <c r="F652" t="s">
        <v>254</v>
      </c>
      <c r="G652" t="s">
        <v>2077</v>
      </c>
      <c r="H652">
        <v>1591.19</v>
      </c>
      <c r="I652">
        <v>5</v>
      </c>
      <c r="J652" t="s">
        <v>115</v>
      </c>
      <c r="N652" s="14" t="s">
        <v>2078</v>
      </c>
    </row>
    <row r="653" spans="1:14" x14ac:dyDescent="0.3">
      <c r="A653" t="s">
        <v>2079</v>
      </c>
      <c r="B653" t="s">
        <v>2080</v>
      </c>
      <c r="C653" t="s">
        <v>183</v>
      </c>
      <c r="D653" t="s">
        <v>1884</v>
      </c>
      <c r="E653" t="s">
        <v>1885</v>
      </c>
      <c r="F653" t="s">
        <v>254</v>
      </c>
      <c r="G653" t="s">
        <v>2081</v>
      </c>
      <c r="H653">
        <v>1900.08</v>
      </c>
      <c r="I653">
        <v>5</v>
      </c>
      <c r="J653" t="s">
        <v>115</v>
      </c>
      <c r="N653" s="14" t="s">
        <v>2082</v>
      </c>
    </row>
    <row r="654" spans="1:14" x14ac:dyDescent="0.3">
      <c r="A654" t="s">
        <v>2083</v>
      </c>
      <c r="B654" t="s">
        <v>2084</v>
      </c>
      <c r="C654" t="s">
        <v>241</v>
      </c>
      <c r="D654" t="s">
        <v>1884</v>
      </c>
      <c r="E654" t="s">
        <v>1885</v>
      </c>
      <c r="F654" t="s">
        <v>254</v>
      </c>
      <c r="G654" t="s">
        <v>2085</v>
      </c>
      <c r="H654">
        <v>75.8</v>
      </c>
      <c r="I654">
        <v>5</v>
      </c>
      <c r="J654" t="s">
        <v>115</v>
      </c>
      <c r="N654" s="14" t="s">
        <v>2086</v>
      </c>
    </row>
    <row r="655" spans="1:14" x14ac:dyDescent="0.3">
      <c r="A655" t="s">
        <v>2087</v>
      </c>
      <c r="B655" t="s">
        <v>2088</v>
      </c>
      <c r="C655" t="s">
        <v>241</v>
      </c>
      <c r="D655" t="s">
        <v>1884</v>
      </c>
      <c r="E655" t="s">
        <v>1885</v>
      </c>
      <c r="F655" t="s">
        <v>254</v>
      </c>
      <c r="G655" t="s">
        <v>2085</v>
      </c>
      <c r="H655">
        <v>113.3</v>
      </c>
      <c r="I655">
        <v>5</v>
      </c>
      <c r="J655" t="s">
        <v>115</v>
      </c>
      <c r="N655" s="14" t="s">
        <v>2089</v>
      </c>
    </row>
    <row r="656" spans="1:14" x14ac:dyDescent="0.3">
      <c r="A656" t="s">
        <v>2090</v>
      </c>
      <c r="B656" t="s">
        <v>2091</v>
      </c>
      <c r="C656" t="s">
        <v>241</v>
      </c>
      <c r="D656" t="s">
        <v>1884</v>
      </c>
      <c r="E656" t="s">
        <v>1885</v>
      </c>
      <c r="F656" t="s">
        <v>254</v>
      </c>
      <c r="G656" t="s">
        <v>2085</v>
      </c>
      <c r="H656">
        <v>135.72</v>
      </c>
      <c r="I656">
        <v>5</v>
      </c>
      <c r="J656" t="s">
        <v>115</v>
      </c>
      <c r="N656" s="14" t="s">
        <v>2092</v>
      </c>
    </row>
    <row r="657" spans="1:14" x14ac:dyDescent="0.3">
      <c r="A657" t="s">
        <v>2093</v>
      </c>
      <c r="B657" t="s">
        <v>2094</v>
      </c>
      <c r="C657" t="s">
        <v>241</v>
      </c>
      <c r="D657" t="s">
        <v>1884</v>
      </c>
      <c r="E657" t="s">
        <v>1885</v>
      </c>
      <c r="F657" t="s">
        <v>254</v>
      </c>
      <c r="G657" t="s">
        <v>2085</v>
      </c>
      <c r="H657">
        <v>71.680000000000007</v>
      </c>
      <c r="I657">
        <v>5</v>
      </c>
      <c r="J657" t="s">
        <v>115</v>
      </c>
      <c r="N657" s="14" t="s">
        <v>2095</v>
      </c>
    </row>
    <row r="658" spans="1:14" x14ac:dyDescent="0.3">
      <c r="A658" t="s">
        <v>2096</v>
      </c>
      <c r="B658" t="s">
        <v>2097</v>
      </c>
      <c r="C658" t="s">
        <v>241</v>
      </c>
      <c r="D658" t="s">
        <v>1884</v>
      </c>
      <c r="E658" t="s">
        <v>1885</v>
      </c>
      <c r="F658" t="s">
        <v>254</v>
      </c>
      <c r="H658">
        <v>84.76</v>
      </c>
      <c r="I658">
        <v>0</v>
      </c>
      <c r="J658" t="s">
        <v>115</v>
      </c>
      <c r="N658" s="14" t="s">
        <v>2098</v>
      </c>
    </row>
    <row r="659" spans="1:14" x14ac:dyDescent="0.3">
      <c r="A659" t="s">
        <v>2099</v>
      </c>
      <c r="B659" t="s">
        <v>2100</v>
      </c>
      <c r="C659" t="s">
        <v>183</v>
      </c>
      <c r="D659" t="s">
        <v>1884</v>
      </c>
      <c r="E659" t="s">
        <v>1885</v>
      </c>
      <c r="F659" t="s">
        <v>254</v>
      </c>
      <c r="H659">
        <v>105.17</v>
      </c>
      <c r="I659">
        <v>0</v>
      </c>
      <c r="J659" t="s">
        <v>115</v>
      </c>
      <c r="N659" s="14" t="s">
        <v>2101</v>
      </c>
    </row>
    <row r="660" spans="1:14" x14ac:dyDescent="0.3">
      <c r="A660" t="s">
        <v>2102</v>
      </c>
      <c r="B660" t="s">
        <v>2103</v>
      </c>
      <c r="C660" t="s">
        <v>241</v>
      </c>
      <c r="D660" t="s">
        <v>1884</v>
      </c>
      <c r="E660" t="s">
        <v>1885</v>
      </c>
      <c r="F660" t="s">
        <v>254</v>
      </c>
      <c r="G660" t="s">
        <v>2104</v>
      </c>
      <c r="H660">
        <v>570.72</v>
      </c>
      <c r="I660">
        <v>5</v>
      </c>
      <c r="J660" t="s">
        <v>115</v>
      </c>
      <c r="N660" s="14" t="s">
        <v>2105</v>
      </c>
    </row>
    <row r="661" spans="1:14" x14ac:dyDescent="0.3">
      <c r="A661" t="s">
        <v>2106</v>
      </c>
      <c r="B661" t="s">
        <v>2107</v>
      </c>
      <c r="C661" t="s">
        <v>183</v>
      </c>
      <c r="D661" t="s">
        <v>1884</v>
      </c>
      <c r="E661" t="s">
        <v>1885</v>
      </c>
      <c r="F661" t="s">
        <v>254</v>
      </c>
      <c r="H661">
        <v>119.19</v>
      </c>
      <c r="I661">
        <v>0</v>
      </c>
      <c r="J661" t="s">
        <v>115</v>
      </c>
      <c r="N661" s="14" t="s">
        <v>2108</v>
      </c>
    </row>
    <row r="662" spans="1:14" x14ac:dyDescent="0.3">
      <c r="A662" t="s">
        <v>2109</v>
      </c>
      <c r="B662" t="s">
        <v>2110</v>
      </c>
      <c r="C662" t="s">
        <v>241</v>
      </c>
      <c r="D662" t="s">
        <v>1884</v>
      </c>
      <c r="E662" t="s">
        <v>1885</v>
      </c>
      <c r="F662" t="s">
        <v>254</v>
      </c>
      <c r="G662" t="s">
        <v>2111</v>
      </c>
      <c r="H662">
        <v>946</v>
      </c>
      <c r="I662">
        <v>5</v>
      </c>
      <c r="J662" t="s">
        <v>115</v>
      </c>
      <c r="N662" s="14" t="s">
        <v>2112</v>
      </c>
    </row>
    <row r="663" spans="1:14" x14ac:dyDescent="0.3">
      <c r="A663" t="s">
        <v>2113</v>
      </c>
      <c r="B663" t="s">
        <v>2110</v>
      </c>
      <c r="C663" t="s">
        <v>241</v>
      </c>
      <c r="D663" t="s">
        <v>1884</v>
      </c>
      <c r="E663" t="s">
        <v>1885</v>
      </c>
      <c r="F663" t="s">
        <v>254</v>
      </c>
      <c r="G663" t="s">
        <v>2111</v>
      </c>
      <c r="H663">
        <v>1057.05</v>
      </c>
      <c r="I663">
        <v>5</v>
      </c>
      <c r="J663" t="s">
        <v>115</v>
      </c>
      <c r="N663" s="14" t="s">
        <v>2114</v>
      </c>
    </row>
    <row r="664" spans="1:14" x14ac:dyDescent="0.3">
      <c r="A664" t="s">
        <v>2115</v>
      </c>
      <c r="B664" t="s">
        <v>2116</v>
      </c>
      <c r="C664" t="s">
        <v>241</v>
      </c>
      <c r="D664" t="s">
        <v>1884</v>
      </c>
      <c r="E664" t="s">
        <v>1885</v>
      </c>
      <c r="F664" t="s">
        <v>254</v>
      </c>
      <c r="H664">
        <v>769.95</v>
      </c>
      <c r="I664">
        <v>0</v>
      </c>
      <c r="J664" t="s">
        <v>115</v>
      </c>
      <c r="N664" s="14" t="s">
        <v>2117</v>
      </c>
    </row>
    <row r="665" spans="1:14" x14ac:dyDescent="0.3">
      <c r="A665" t="s">
        <v>2118</v>
      </c>
      <c r="B665" t="s">
        <v>2119</v>
      </c>
      <c r="C665" t="s">
        <v>241</v>
      </c>
      <c r="D665" t="s">
        <v>1884</v>
      </c>
      <c r="E665" t="s">
        <v>1885</v>
      </c>
      <c r="F665" t="s">
        <v>254</v>
      </c>
      <c r="H665">
        <v>784.74</v>
      </c>
      <c r="I665">
        <v>0</v>
      </c>
      <c r="J665" t="s">
        <v>115</v>
      </c>
      <c r="N665" s="14" t="s">
        <v>2120</v>
      </c>
    </row>
    <row r="666" spans="1:14" x14ac:dyDescent="0.3">
      <c r="A666" t="s">
        <v>2121</v>
      </c>
      <c r="B666" t="s">
        <v>2122</v>
      </c>
      <c r="C666" t="s">
        <v>183</v>
      </c>
      <c r="D666" t="s">
        <v>1884</v>
      </c>
      <c r="E666" t="s">
        <v>1885</v>
      </c>
      <c r="F666" t="s">
        <v>254</v>
      </c>
      <c r="G666" t="s">
        <v>2123</v>
      </c>
      <c r="H666">
        <v>683.82</v>
      </c>
      <c r="I666">
        <v>5</v>
      </c>
      <c r="J666" t="s">
        <v>115</v>
      </c>
      <c r="N666" s="14" t="s">
        <v>2124</v>
      </c>
    </row>
    <row r="667" spans="1:14" x14ac:dyDescent="0.3">
      <c r="A667" t="s">
        <v>2125</v>
      </c>
      <c r="B667" t="s">
        <v>2122</v>
      </c>
      <c r="C667" t="s">
        <v>183</v>
      </c>
      <c r="D667" t="s">
        <v>1884</v>
      </c>
      <c r="E667" t="s">
        <v>1885</v>
      </c>
      <c r="F667" t="s">
        <v>254</v>
      </c>
      <c r="G667" t="s">
        <v>2123</v>
      </c>
      <c r="H667">
        <v>685.73</v>
      </c>
      <c r="I667">
        <v>5</v>
      </c>
      <c r="J667" t="s">
        <v>115</v>
      </c>
      <c r="N667" s="14" t="s">
        <v>2126</v>
      </c>
    </row>
    <row r="668" spans="1:14" x14ac:dyDescent="0.3">
      <c r="A668" t="s">
        <v>2127</v>
      </c>
      <c r="B668" t="s">
        <v>2128</v>
      </c>
      <c r="C668" t="s">
        <v>183</v>
      </c>
      <c r="D668" t="s">
        <v>1884</v>
      </c>
      <c r="E668" t="s">
        <v>1885</v>
      </c>
      <c r="F668" t="s">
        <v>254</v>
      </c>
      <c r="G668" t="s">
        <v>2129</v>
      </c>
      <c r="H668">
        <v>706.44</v>
      </c>
      <c r="I668">
        <v>5</v>
      </c>
      <c r="J668" t="s">
        <v>115</v>
      </c>
      <c r="N668" s="14" t="s">
        <v>2130</v>
      </c>
    </row>
    <row r="669" spans="1:14" x14ac:dyDescent="0.3">
      <c r="A669" t="s">
        <v>2131</v>
      </c>
      <c r="B669" t="s">
        <v>2128</v>
      </c>
      <c r="C669" t="s">
        <v>183</v>
      </c>
      <c r="D669" t="s">
        <v>1884</v>
      </c>
      <c r="E669" t="s">
        <v>1885</v>
      </c>
      <c r="F669" t="s">
        <v>254</v>
      </c>
      <c r="G669" t="s">
        <v>2129</v>
      </c>
      <c r="H669">
        <v>679.25</v>
      </c>
      <c r="I669">
        <v>5</v>
      </c>
      <c r="J669" t="s">
        <v>115</v>
      </c>
      <c r="N669" s="14" t="s">
        <v>2132</v>
      </c>
    </row>
    <row r="670" spans="1:14" x14ac:dyDescent="0.3">
      <c r="A670" t="s">
        <v>2133</v>
      </c>
      <c r="B670" t="s">
        <v>2134</v>
      </c>
      <c r="C670" t="s">
        <v>183</v>
      </c>
      <c r="D670" t="s">
        <v>1884</v>
      </c>
      <c r="E670" t="s">
        <v>1885</v>
      </c>
      <c r="F670" t="s">
        <v>254</v>
      </c>
      <c r="G670" t="s">
        <v>2081</v>
      </c>
      <c r="H670">
        <v>847.38</v>
      </c>
      <c r="I670">
        <v>5</v>
      </c>
      <c r="J670" t="s">
        <v>115</v>
      </c>
      <c r="N670" s="14" t="s">
        <v>2135</v>
      </c>
    </row>
    <row r="671" spans="1:14" x14ac:dyDescent="0.3">
      <c r="A671" t="s">
        <v>2136</v>
      </c>
      <c r="B671" t="s">
        <v>2137</v>
      </c>
      <c r="C671" t="s">
        <v>183</v>
      </c>
      <c r="D671" t="s">
        <v>1884</v>
      </c>
      <c r="E671" t="s">
        <v>1885</v>
      </c>
      <c r="F671" t="s">
        <v>254</v>
      </c>
      <c r="H671">
        <v>140.59</v>
      </c>
      <c r="I671">
        <v>0</v>
      </c>
      <c r="J671" t="s">
        <v>115</v>
      </c>
      <c r="N671" s="14" t="s">
        <v>2138</v>
      </c>
    </row>
    <row r="672" spans="1:14" x14ac:dyDescent="0.3">
      <c r="A672" t="s">
        <v>2139</v>
      </c>
      <c r="B672" t="s">
        <v>2140</v>
      </c>
      <c r="C672" t="s">
        <v>137</v>
      </c>
      <c r="D672" t="s">
        <v>1884</v>
      </c>
      <c r="E672" t="s">
        <v>1885</v>
      </c>
      <c r="F672" t="s">
        <v>254</v>
      </c>
      <c r="H672">
        <v>22550.400000000001</v>
      </c>
      <c r="I672">
        <v>0</v>
      </c>
      <c r="J672" t="s">
        <v>115</v>
      </c>
      <c r="N672" s="14" t="s">
        <v>2141</v>
      </c>
    </row>
    <row r="673" spans="1:14" x14ac:dyDescent="0.3">
      <c r="A673" t="s">
        <v>2142</v>
      </c>
      <c r="B673" t="s">
        <v>2143</v>
      </c>
      <c r="C673" t="s">
        <v>88</v>
      </c>
      <c r="D673" t="s">
        <v>1884</v>
      </c>
      <c r="E673" t="s">
        <v>1885</v>
      </c>
      <c r="F673" t="s">
        <v>254</v>
      </c>
      <c r="G673" t="s">
        <v>2144</v>
      </c>
      <c r="H673">
        <v>0</v>
      </c>
      <c r="I673">
        <v>0</v>
      </c>
      <c r="J673" t="s">
        <v>115</v>
      </c>
      <c r="N673" s="14" t="s">
        <v>2145</v>
      </c>
    </row>
    <row r="674" spans="1:14" x14ac:dyDescent="0.3">
      <c r="A674" t="s">
        <v>2146</v>
      </c>
      <c r="B674" t="s">
        <v>2147</v>
      </c>
      <c r="C674" t="s">
        <v>183</v>
      </c>
      <c r="D674" t="s">
        <v>1884</v>
      </c>
      <c r="E674" t="s">
        <v>1885</v>
      </c>
      <c r="F674" t="s">
        <v>254</v>
      </c>
      <c r="H674">
        <v>4950</v>
      </c>
      <c r="I674">
        <v>0</v>
      </c>
      <c r="J674" t="s">
        <v>115</v>
      </c>
      <c r="N674" s="14" t="s">
        <v>2148</v>
      </c>
    </row>
    <row r="675" spans="1:14" x14ac:dyDescent="0.3">
      <c r="A675" t="s">
        <v>2149</v>
      </c>
      <c r="B675" t="s">
        <v>2150</v>
      </c>
      <c r="C675" t="s">
        <v>183</v>
      </c>
      <c r="D675" t="s">
        <v>1884</v>
      </c>
      <c r="E675" t="s">
        <v>1885</v>
      </c>
      <c r="F675" t="s">
        <v>254</v>
      </c>
      <c r="H675">
        <v>1524.19</v>
      </c>
      <c r="I675">
        <v>0</v>
      </c>
      <c r="J675" t="s">
        <v>115</v>
      </c>
      <c r="N675" s="14" t="s">
        <v>2151</v>
      </c>
    </row>
    <row r="676" spans="1:14" x14ac:dyDescent="0.3">
      <c r="A676" t="s">
        <v>2152</v>
      </c>
      <c r="B676" t="s">
        <v>2153</v>
      </c>
      <c r="C676" t="s">
        <v>183</v>
      </c>
      <c r="D676" t="s">
        <v>1884</v>
      </c>
      <c r="E676" t="s">
        <v>1885</v>
      </c>
      <c r="F676" t="s">
        <v>254</v>
      </c>
      <c r="H676">
        <v>2641.32</v>
      </c>
      <c r="I676">
        <v>0</v>
      </c>
      <c r="J676" t="s">
        <v>115</v>
      </c>
      <c r="N676" s="14" t="s">
        <v>2154</v>
      </c>
    </row>
    <row r="677" spans="1:14" x14ac:dyDescent="0.3">
      <c r="A677" t="s">
        <v>2155</v>
      </c>
      <c r="B677" t="s">
        <v>2156</v>
      </c>
      <c r="C677" t="s">
        <v>241</v>
      </c>
      <c r="D677" t="s">
        <v>1884</v>
      </c>
      <c r="E677" t="s">
        <v>1885</v>
      </c>
      <c r="F677" t="s">
        <v>254</v>
      </c>
      <c r="H677">
        <v>621.17999999999995</v>
      </c>
      <c r="I677">
        <v>0</v>
      </c>
      <c r="J677" t="s">
        <v>115</v>
      </c>
      <c r="N677" s="14" t="s">
        <v>2157</v>
      </c>
    </row>
    <row r="678" spans="1:14" x14ac:dyDescent="0.3">
      <c r="A678" t="s">
        <v>2158</v>
      </c>
      <c r="B678" t="s">
        <v>2159</v>
      </c>
      <c r="C678" t="s">
        <v>241</v>
      </c>
      <c r="D678" t="s">
        <v>1884</v>
      </c>
      <c r="E678" t="s">
        <v>1885</v>
      </c>
      <c r="F678" t="s">
        <v>254</v>
      </c>
      <c r="H678">
        <v>219.24</v>
      </c>
      <c r="I678">
        <v>0</v>
      </c>
      <c r="J678" t="s">
        <v>115</v>
      </c>
      <c r="N678" s="14" t="s">
        <v>2160</v>
      </c>
    </row>
    <row r="679" spans="1:14" x14ac:dyDescent="0.3">
      <c r="A679" t="s">
        <v>2161</v>
      </c>
      <c r="B679" t="s">
        <v>2162</v>
      </c>
      <c r="C679" t="s">
        <v>183</v>
      </c>
      <c r="D679" t="s">
        <v>1884</v>
      </c>
      <c r="E679" t="s">
        <v>1885</v>
      </c>
      <c r="F679" t="s">
        <v>254</v>
      </c>
      <c r="H679">
        <v>291.27999999999997</v>
      </c>
      <c r="I679">
        <v>0</v>
      </c>
      <c r="J679" t="s">
        <v>115</v>
      </c>
      <c r="N679" s="14" t="s">
        <v>2163</v>
      </c>
    </row>
    <row r="680" spans="1:14" x14ac:dyDescent="0.3">
      <c r="A680" t="s">
        <v>2164</v>
      </c>
      <c r="B680" t="s">
        <v>2165</v>
      </c>
      <c r="C680" t="s">
        <v>183</v>
      </c>
      <c r="D680" t="s">
        <v>1884</v>
      </c>
      <c r="E680" t="s">
        <v>1885</v>
      </c>
      <c r="F680" t="s">
        <v>254</v>
      </c>
      <c r="G680" t="s">
        <v>2081</v>
      </c>
      <c r="H680">
        <v>1983.6</v>
      </c>
      <c r="I680">
        <v>5</v>
      </c>
      <c r="J680" t="s">
        <v>115</v>
      </c>
      <c r="N680" s="14" t="s">
        <v>2166</v>
      </c>
    </row>
    <row r="681" spans="1:14" x14ac:dyDescent="0.3">
      <c r="A681" t="s">
        <v>2167</v>
      </c>
      <c r="B681" t="s">
        <v>2168</v>
      </c>
      <c r="C681" t="s">
        <v>183</v>
      </c>
      <c r="D681" t="s">
        <v>1884</v>
      </c>
      <c r="E681" t="s">
        <v>1885</v>
      </c>
      <c r="F681" t="s">
        <v>254</v>
      </c>
      <c r="H681">
        <v>0</v>
      </c>
      <c r="I681">
        <v>0</v>
      </c>
      <c r="J681" t="s">
        <v>115</v>
      </c>
      <c r="N681" s="14" t="s">
        <v>2169</v>
      </c>
    </row>
    <row r="682" spans="1:14" x14ac:dyDescent="0.3">
      <c r="A682" t="s">
        <v>2170</v>
      </c>
      <c r="B682" t="s">
        <v>2171</v>
      </c>
      <c r="C682" t="s">
        <v>183</v>
      </c>
      <c r="D682" t="s">
        <v>1884</v>
      </c>
      <c r="E682" t="s">
        <v>1885</v>
      </c>
      <c r="F682" t="s">
        <v>254</v>
      </c>
      <c r="H682">
        <v>0</v>
      </c>
      <c r="I682">
        <v>0</v>
      </c>
      <c r="J682" t="s">
        <v>115</v>
      </c>
      <c r="N682" s="14" t="s">
        <v>2172</v>
      </c>
    </row>
    <row r="683" spans="1:14" x14ac:dyDescent="0.3">
      <c r="A683" t="s">
        <v>2173</v>
      </c>
      <c r="B683" t="s">
        <v>2174</v>
      </c>
      <c r="C683" t="s">
        <v>183</v>
      </c>
      <c r="D683" t="s">
        <v>1884</v>
      </c>
      <c r="E683" t="s">
        <v>1885</v>
      </c>
      <c r="F683" t="s">
        <v>254</v>
      </c>
      <c r="H683">
        <v>3182.38</v>
      </c>
      <c r="I683">
        <v>0</v>
      </c>
      <c r="J683" t="s">
        <v>115</v>
      </c>
      <c r="N683" s="14" t="s">
        <v>2175</v>
      </c>
    </row>
    <row r="684" spans="1:14" x14ac:dyDescent="0.3">
      <c r="A684" t="s">
        <v>2176</v>
      </c>
      <c r="B684" t="s">
        <v>2177</v>
      </c>
      <c r="C684" t="s">
        <v>183</v>
      </c>
      <c r="D684" t="s">
        <v>1884</v>
      </c>
      <c r="E684" t="s">
        <v>1885</v>
      </c>
      <c r="F684" t="s">
        <v>254</v>
      </c>
      <c r="H684">
        <v>2386.79</v>
      </c>
      <c r="I684">
        <v>0</v>
      </c>
      <c r="J684" t="s">
        <v>115</v>
      </c>
      <c r="N684" s="14" t="s">
        <v>2178</v>
      </c>
    </row>
    <row r="685" spans="1:14" x14ac:dyDescent="0.3">
      <c r="A685" t="s">
        <v>2179</v>
      </c>
      <c r="B685" t="s">
        <v>2180</v>
      </c>
      <c r="C685" t="s">
        <v>183</v>
      </c>
      <c r="D685" t="s">
        <v>1884</v>
      </c>
      <c r="E685" t="s">
        <v>1885</v>
      </c>
      <c r="F685" t="s">
        <v>254</v>
      </c>
      <c r="H685">
        <v>0</v>
      </c>
      <c r="I685">
        <v>0</v>
      </c>
      <c r="J685" t="s">
        <v>115</v>
      </c>
      <c r="N685" s="14" t="s">
        <v>2181</v>
      </c>
    </row>
    <row r="686" spans="1:14" x14ac:dyDescent="0.3">
      <c r="A686" t="s">
        <v>2182</v>
      </c>
      <c r="B686" t="s">
        <v>2183</v>
      </c>
      <c r="C686" t="s">
        <v>183</v>
      </c>
      <c r="D686" t="s">
        <v>1884</v>
      </c>
      <c r="E686" t="s">
        <v>1885</v>
      </c>
      <c r="F686" t="s">
        <v>254</v>
      </c>
      <c r="H686">
        <v>0</v>
      </c>
      <c r="I686">
        <v>0</v>
      </c>
      <c r="J686" t="s">
        <v>115</v>
      </c>
      <c r="N686" s="14" t="s">
        <v>2184</v>
      </c>
    </row>
    <row r="687" spans="1:14" x14ac:dyDescent="0.3">
      <c r="A687" t="s">
        <v>2185</v>
      </c>
      <c r="B687" t="s">
        <v>2186</v>
      </c>
      <c r="C687" t="s">
        <v>183</v>
      </c>
      <c r="D687" t="s">
        <v>1884</v>
      </c>
      <c r="E687" t="s">
        <v>1885</v>
      </c>
      <c r="F687" t="s">
        <v>254</v>
      </c>
      <c r="H687">
        <v>0</v>
      </c>
      <c r="I687">
        <v>0</v>
      </c>
      <c r="J687" t="s">
        <v>115</v>
      </c>
      <c r="N687" s="14" t="s">
        <v>2187</v>
      </c>
    </row>
    <row r="688" spans="1:14" x14ac:dyDescent="0.3">
      <c r="A688" t="s">
        <v>2188</v>
      </c>
      <c r="B688" t="s">
        <v>2189</v>
      </c>
      <c r="C688" t="s">
        <v>183</v>
      </c>
      <c r="D688" t="s">
        <v>1884</v>
      </c>
      <c r="E688" t="s">
        <v>1885</v>
      </c>
      <c r="F688" t="s">
        <v>254</v>
      </c>
      <c r="H688">
        <v>0</v>
      </c>
      <c r="I688">
        <v>0</v>
      </c>
      <c r="J688" t="s">
        <v>115</v>
      </c>
      <c r="N688" s="14" t="s">
        <v>2190</v>
      </c>
    </row>
    <row r="689" spans="1:14" x14ac:dyDescent="0.3">
      <c r="A689" t="s">
        <v>2191</v>
      </c>
      <c r="B689" t="s">
        <v>2192</v>
      </c>
      <c r="C689" t="s">
        <v>183</v>
      </c>
      <c r="D689" t="s">
        <v>1884</v>
      </c>
      <c r="E689" t="s">
        <v>1885</v>
      </c>
      <c r="F689" t="s">
        <v>254</v>
      </c>
      <c r="G689" t="s">
        <v>2081</v>
      </c>
      <c r="H689">
        <v>2000</v>
      </c>
      <c r="I689">
        <v>5</v>
      </c>
      <c r="J689" t="s">
        <v>115</v>
      </c>
      <c r="N689" s="14" t="s">
        <v>2193</v>
      </c>
    </row>
    <row r="690" spans="1:14" x14ac:dyDescent="0.3">
      <c r="A690" t="s">
        <v>2194</v>
      </c>
      <c r="B690" t="s">
        <v>2192</v>
      </c>
      <c r="C690" t="s">
        <v>183</v>
      </c>
      <c r="D690" t="s">
        <v>1884</v>
      </c>
      <c r="E690" t="s">
        <v>1885</v>
      </c>
      <c r="F690" t="s">
        <v>254</v>
      </c>
      <c r="G690" t="s">
        <v>2081</v>
      </c>
      <c r="H690">
        <v>5225</v>
      </c>
      <c r="I690">
        <v>5</v>
      </c>
      <c r="J690" t="s">
        <v>115</v>
      </c>
      <c r="N690" s="14" t="s">
        <v>2195</v>
      </c>
    </row>
    <row r="691" spans="1:14" x14ac:dyDescent="0.3">
      <c r="A691" t="s">
        <v>2196</v>
      </c>
      <c r="B691" t="s">
        <v>2197</v>
      </c>
      <c r="C691" t="s">
        <v>183</v>
      </c>
      <c r="D691" t="s">
        <v>1884</v>
      </c>
      <c r="E691" t="s">
        <v>1885</v>
      </c>
      <c r="F691" t="s">
        <v>254</v>
      </c>
      <c r="G691" t="s">
        <v>1886</v>
      </c>
      <c r="H691">
        <v>8119.83</v>
      </c>
      <c r="I691">
        <v>5</v>
      </c>
      <c r="J691" t="s">
        <v>115</v>
      </c>
      <c r="N691" s="14" t="s">
        <v>2198</v>
      </c>
    </row>
    <row r="692" spans="1:14" x14ac:dyDescent="0.3">
      <c r="A692" t="s">
        <v>2199</v>
      </c>
      <c r="B692" t="s">
        <v>2200</v>
      </c>
      <c r="C692" t="s">
        <v>183</v>
      </c>
      <c r="D692" t="s">
        <v>1884</v>
      </c>
      <c r="E692" t="s">
        <v>1885</v>
      </c>
      <c r="F692" t="s">
        <v>254</v>
      </c>
      <c r="G692" t="s">
        <v>1886</v>
      </c>
      <c r="H692">
        <v>12580.24</v>
      </c>
      <c r="I692">
        <v>5</v>
      </c>
      <c r="J692" t="s">
        <v>115</v>
      </c>
      <c r="N692" s="14" t="s">
        <v>2201</v>
      </c>
    </row>
    <row r="693" spans="1:14" x14ac:dyDescent="0.3">
      <c r="A693" t="s">
        <v>2202</v>
      </c>
      <c r="B693" t="s">
        <v>2203</v>
      </c>
      <c r="C693" t="s">
        <v>183</v>
      </c>
      <c r="D693" t="s">
        <v>1884</v>
      </c>
      <c r="E693" t="s">
        <v>1885</v>
      </c>
      <c r="F693" t="s">
        <v>254</v>
      </c>
      <c r="G693" t="s">
        <v>1886</v>
      </c>
      <c r="H693">
        <v>18640.72</v>
      </c>
      <c r="I693">
        <v>5</v>
      </c>
      <c r="J693" t="s">
        <v>115</v>
      </c>
      <c r="N693" s="14" t="s">
        <v>2204</v>
      </c>
    </row>
    <row r="694" spans="1:14" x14ac:dyDescent="0.3">
      <c r="A694" t="s">
        <v>2205</v>
      </c>
      <c r="B694" t="s">
        <v>2206</v>
      </c>
      <c r="C694" t="s">
        <v>183</v>
      </c>
      <c r="D694" t="s">
        <v>1884</v>
      </c>
      <c r="E694" t="s">
        <v>1885</v>
      </c>
      <c r="F694" t="s">
        <v>254</v>
      </c>
      <c r="G694" t="s">
        <v>1886</v>
      </c>
      <c r="H694">
        <v>33392.39</v>
      </c>
      <c r="I694">
        <v>5</v>
      </c>
      <c r="J694" t="s">
        <v>115</v>
      </c>
      <c r="N694" s="14" t="s">
        <v>2207</v>
      </c>
    </row>
    <row r="695" spans="1:14" x14ac:dyDescent="0.3">
      <c r="A695" t="s">
        <v>2208</v>
      </c>
      <c r="B695" t="s">
        <v>2209</v>
      </c>
      <c r="C695" t="s">
        <v>183</v>
      </c>
      <c r="D695" t="s">
        <v>1884</v>
      </c>
      <c r="E695" t="s">
        <v>1885</v>
      </c>
      <c r="F695" t="s">
        <v>254</v>
      </c>
      <c r="G695" t="s">
        <v>1886</v>
      </c>
      <c r="H695">
        <v>0</v>
      </c>
      <c r="I695">
        <v>0</v>
      </c>
      <c r="J695" t="s">
        <v>115</v>
      </c>
      <c r="N695" s="14" t="s">
        <v>2210</v>
      </c>
    </row>
    <row r="696" spans="1:14" x14ac:dyDescent="0.3">
      <c r="A696" t="s">
        <v>2211</v>
      </c>
      <c r="B696" t="s">
        <v>2192</v>
      </c>
      <c r="C696" t="s">
        <v>183</v>
      </c>
      <c r="D696" t="s">
        <v>1884</v>
      </c>
      <c r="E696" t="s">
        <v>1885</v>
      </c>
      <c r="F696" t="s">
        <v>254</v>
      </c>
      <c r="G696" t="s">
        <v>2081</v>
      </c>
      <c r="H696">
        <v>3242.86</v>
      </c>
      <c r="I696">
        <v>5</v>
      </c>
      <c r="J696" t="s">
        <v>115</v>
      </c>
      <c r="N696" s="14" t="s">
        <v>2212</v>
      </c>
    </row>
    <row r="697" spans="1:14" x14ac:dyDescent="0.3">
      <c r="A697" t="s">
        <v>2213</v>
      </c>
      <c r="B697" t="s">
        <v>2192</v>
      </c>
      <c r="C697" t="s">
        <v>183</v>
      </c>
      <c r="D697" t="s">
        <v>1884</v>
      </c>
      <c r="E697" t="s">
        <v>1885</v>
      </c>
      <c r="F697" t="s">
        <v>254</v>
      </c>
      <c r="G697" t="s">
        <v>2081</v>
      </c>
      <c r="H697">
        <v>3756.47</v>
      </c>
      <c r="I697">
        <v>5</v>
      </c>
      <c r="J697" t="s">
        <v>115</v>
      </c>
      <c r="N697" s="14" t="s">
        <v>2214</v>
      </c>
    </row>
    <row r="698" spans="1:14" x14ac:dyDescent="0.3">
      <c r="A698" t="s">
        <v>2215</v>
      </c>
      <c r="B698" t="s">
        <v>2192</v>
      </c>
      <c r="C698" t="s">
        <v>183</v>
      </c>
      <c r="D698" t="s">
        <v>1884</v>
      </c>
      <c r="E698" t="s">
        <v>1885</v>
      </c>
      <c r="F698" t="s">
        <v>254</v>
      </c>
      <c r="G698" t="s">
        <v>2081</v>
      </c>
      <c r="H698">
        <v>3357.21</v>
      </c>
      <c r="I698">
        <v>5</v>
      </c>
      <c r="J698" t="s">
        <v>115</v>
      </c>
      <c r="N698" s="14" t="s">
        <v>2216</v>
      </c>
    </row>
    <row r="699" spans="1:14" x14ac:dyDescent="0.3">
      <c r="A699" t="s">
        <v>2217</v>
      </c>
      <c r="B699" t="s">
        <v>2076</v>
      </c>
      <c r="C699" t="s">
        <v>183</v>
      </c>
      <c r="D699" t="s">
        <v>1884</v>
      </c>
      <c r="E699" t="s">
        <v>1885</v>
      </c>
      <c r="F699" t="s">
        <v>254</v>
      </c>
      <c r="G699" t="s">
        <v>2077</v>
      </c>
      <c r="H699">
        <v>3870.81</v>
      </c>
      <c r="I699">
        <v>5</v>
      </c>
      <c r="J699" t="s">
        <v>115</v>
      </c>
      <c r="N699" s="14" t="s">
        <v>2218</v>
      </c>
    </row>
    <row r="700" spans="1:14" x14ac:dyDescent="0.3">
      <c r="A700" t="s">
        <v>2219</v>
      </c>
      <c r="B700" t="s">
        <v>2192</v>
      </c>
      <c r="C700" t="s">
        <v>183</v>
      </c>
      <c r="D700" t="s">
        <v>1884</v>
      </c>
      <c r="E700" t="s">
        <v>1885</v>
      </c>
      <c r="F700" t="s">
        <v>254</v>
      </c>
      <c r="G700" t="s">
        <v>2081</v>
      </c>
      <c r="H700">
        <v>571.25</v>
      </c>
      <c r="I700">
        <v>5</v>
      </c>
      <c r="J700" t="s">
        <v>115</v>
      </c>
      <c r="N700" s="14" t="s">
        <v>2220</v>
      </c>
    </row>
    <row r="701" spans="1:14" x14ac:dyDescent="0.3">
      <c r="A701" t="s">
        <v>2221</v>
      </c>
      <c r="B701" t="s">
        <v>2192</v>
      </c>
      <c r="C701" t="s">
        <v>183</v>
      </c>
      <c r="D701" t="s">
        <v>1884</v>
      </c>
      <c r="E701" t="s">
        <v>1885</v>
      </c>
      <c r="F701" t="s">
        <v>254</v>
      </c>
      <c r="G701" t="s">
        <v>2081</v>
      </c>
      <c r="H701">
        <v>707.24</v>
      </c>
      <c r="I701">
        <v>5</v>
      </c>
      <c r="J701" t="s">
        <v>115</v>
      </c>
      <c r="N701" s="14" t="s">
        <v>2222</v>
      </c>
    </row>
    <row r="702" spans="1:14" x14ac:dyDescent="0.3">
      <c r="A702" t="s">
        <v>2223</v>
      </c>
      <c r="B702" t="s">
        <v>2224</v>
      </c>
      <c r="C702" t="s">
        <v>183</v>
      </c>
      <c r="D702" t="s">
        <v>1884</v>
      </c>
      <c r="E702" t="s">
        <v>1885</v>
      </c>
      <c r="F702" t="s">
        <v>254</v>
      </c>
      <c r="G702" t="s">
        <v>2077</v>
      </c>
      <c r="H702">
        <v>1293.6099999999999</v>
      </c>
      <c r="I702">
        <v>5</v>
      </c>
      <c r="J702" t="s">
        <v>115</v>
      </c>
      <c r="N702" s="14" t="s">
        <v>2225</v>
      </c>
    </row>
    <row r="703" spans="1:14" x14ac:dyDescent="0.3">
      <c r="A703" t="s">
        <v>2226</v>
      </c>
      <c r="B703" t="s">
        <v>2227</v>
      </c>
      <c r="C703" t="s">
        <v>183</v>
      </c>
      <c r="D703" t="s">
        <v>1884</v>
      </c>
      <c r="E703" t="s">
        <v>1885</v>
      </c>
      <c r="F703" t="s">
        <v>254</v>
      </c>
      <c r="G703" t="s">
        <v>2081</v>
      </c>
      <c r="H703">
        <v>514.54999999999995</v>
      </c>
      <c r="I703">
        <v>5</v>
      </c>
      <c r="J703" t="s">
        <v>115</v>
      </c>
      <c r="N703" s="14" t="s">
        <v>2228</v>
      </c>
    </row>
    <row r="704" spans="1:14" x14ac:dyDescent="0.3">
      <c r="A704" t="s">
        <v>2229</v>
      </c>
      <c r="B704" t="s">
        <v>2192</v>
      </c>
      <c r="C704" t="s">
        <v>183</v>
      </c>
      <c r="D704" t="s">
        <v>1884</v>
      </c>
      <c r="E704" t="s">
        <v>1885</v>
      </c>
      <c r="F704" t="s">
        <v>254</v>
      </c>
      <c r="G704" t="s">
        <v>2081</v>
      </c>
      <c r="H704">
        <v>857.68</v>
      </c>
      <c r="I704">
        <v>5</v>
      </c>
      <c r="J704" t="s">
        <v>115</v>
      </c>
      <c r="N704" s="14" t="s">
        <v>2230</v>
      </c>
    </row>
    <row r="705" spans="1:14" x14ac:dyDescent="0.3">
      <c r="A705" t="s">
        <v>2231</v>
      </c>
      <c r="B705" t="s">
        <v>2076</v>
      </c>
      <c r="C705" t="s">
        <v>183</v>
      </c>
      <c r="D705" t="s">
        <v>1884</v>
      </c>
      <c r="E705" t="s">
        <v>1885</v>
      </c>
      <c r="F705" t="s">
        <v>254</v>
      </c>
      <c r="G705" t="s">
        <v>2077</v>
      </c>
      <c r="H705">
        <v>1444.05</v>
      </c>
      <c r="I705">
        <v>5</v>
      </c>
      <c r="J705" t="s">
        <v>115</v>
      </c>
      <c r="N705" s="14" t="s">
        <v>2232</v>
      </c>
    </row>
    <row r="706" spans="1:14" x14ac:dyDescent="0.3">
      <c r="A706" t="s">
        <v>2233</v>
      </c>
      <c r="B706" t="s">
        <v>2192</v>
      </c>
      <c r="C706" t="s">
        <v>183</v>
      </c>
      <c r="D706" t="s">
        <v>1884</v>
      </c>
      <c r="E706" t="s">
        <v>1885</v>
      </c>
      <c r="F706" t="s">
        <v>254</v>
      </c>
      <c r="G706" t="s">
        <v>2081</v>
      </c>
      <c r="H706">
        <v>810.34</v>
      </c>
      <c r="I706">
        <v>5</v>
      </c>
      <c r="J706" t="s">
        <v>115</v>
      </c>
      <c r="N706" s="14" t="s">
        <v>2234</v>
      </c>
    </row>
    <row r="707" spans="1:14" x14ac:dyDescent="0.3">
      <c r="A707" t="s">
        <v>2235</v>
      </c>
      <c r="B707" t="s">
        <v>2076</v>
      </c>
      <c r="C707" t="s">
        <v>183</v>
      </c>
      <c r="D707" t="s">
        <v>1884</v>
      </c>
      <c r="E707" t="s">
        <v>1885</v>
      </c>
      <c r="F707" t="s">
        <v>254</v>
      </c>
      <c r="G707" t="s">
        <v>2077</v>
      </c>
      <c r="H707">
        <v>1396.71</v>
      </c>
      <c r="I707">
        <v>5</v>
      </c>
      <c r="J707" t="s">
        <v>115</v>
      </c>
      <c r="N707" s="14" t="s">
        <v>2236</v>
      </c>
    </row>
    <row r="708" spans="1:14" x14ac:dyDescent="0.3">
      <c r="A708" t="s">
        <v>2237</v>
      </c>
      <c r="B708" t="s">
        <v>2238</v>
      </c>
      <c r="C708" t="s">
        <v>183</v>
      </c>
      <c r="D708" t="s">
        <v>1884</v>
      </c>
      <c r="E708" t="s">
        <v>1885</v>
      </c>
      <c r="F708" t="s">
        <v>254</v>
      </c>
      <c r="G708" t="s">
        <v>2081</v>
      </c>
      <c r="H708">
        <v>735.87</v>
      </c>
      <c r="I708">
        <v>5</v>
      </c>
      <c r="J708" t="s">
        <v>115</v>
      </c>
      <c r="N708" s="14" t="s">
        <v>2239</v>
      </c>
    </row>
    <row r="709" spans="1:14" x14ac:dyDescent="0.3">
      <c r="A709" t="s">
        <v>2240</v>
      </c>
      <c r="B709" t="s">
        <v>2241</v>
      </c>
      <c r="C709" t="s">
        <v>183</v>
      </c>
      <c r="D709" t="s">
        <v>1884</v>
      </c>
      <c r="E709" t="s">
        <v>1885</v>
      </c>
      <c r="F709" t="s">
        <v>254</v>
      </c>
      <c r="G709" t="s">
        <v>2081</v>
      </c>
      <c r="H709">
        <v>714.33</v>
      </c>
      <c r="I709">
        <v>5</v>
      </c>
      <c r="J709" t="s">
        <v>115</v>
      </c>
      <c r="N709" s="14" t="s">
        <v>2242</v>
      </c>
    </row>
    <row r="710" spans="1:14" x14ac:dyDescent="0.3">
      <c r="A710" t="s">
        <v>2243</v>
      </c>
      <c r="B710" t="s">
        <v>2244</v>
      </c>
      <c r="C710" t="s">
        <v>183</v>
      </c>
      <c r="D710" t="s">
        <v>1884</v>
      </c>
      <c r="E710" t="s">
        <v>1885</v>
      </c>
      <c r="F710" t="s">
        <v>254</v>
      </c>
      <c r="G710" t="s">
        <v>2081</v>
      </c>
      <c r="H710">
        <v>838.31</v>
      </c>
      <c r="I710">
        <v>5</v>
      </c>
      <c r="J710" t="s">
        <v>115</v>
      </c>
      <c r="N710" s="14" t="s">
        <v>2245</v>
      </c>
    </row>
    <row r="711" spans="1:14" x14ac:dyDescent="0.3">
      <c r="A711" t="s">
        <v>2246</v>
      </c>
      <c r="B711" t="s">
        <v>2247</v>
      </c>
      <c r="C711" t="s">
        <v>183</v>
      </c>
      <c r="D711" t="s">
        <v>1884</v>
      </c>
      <c r="E711" t="s">
        <v>1885</v>
      </c>
      <c r="F711" t="s">
        <v>254</v>
      </c>
      <c r="G711" t="s">
        <v>2081</v>
      </c>
      <c r="H711">
        <v>3198.26</v>
      </c>
      <c r="I711">
        <v>5</v>
      </c>
      <c r="J711" t="s">
        <v>115</v>
      </c>
      <c r="N711" s="14" t="s">
        <v>2248</v>
      </c>
    </row>
    <row r="712" spans="1:14" x14ac:dyDescent="0.3">
      <c r="A712" t="s">
        <v>2249</v>
      </c>
      <c r="B712" t="s">
        <v>2250</v>
      </c>
      <c r="C712" t="s">
        <v>183</v>
      </c>
      <c r="D712" t="s">
        <v>1884</v>
      </c>
      <c r="E712" t="s">
        <v>1885</v>
      </c>
      <c r="F712" t="s">
        <v>254</v>
      </c>
      <c r="G712" t="s">
        <v>2081</v>
      </c>
      <c r="H712">
        <v>2546.21</v>
      </c>
      <c r="I712">
        <v>5</v>
      </c>
      <c r="J712" t="s">
        <v>115</v>
      </c>
      <c r="N712" s="14" t="s">
        <v>2251</v>
      </c>
    </row>
    <row r="713" spans="1:14" x14ac:dyDescent="0.3">
      <c r="A713" t="s">
        <v>2252</v>
      </c>
      <c r="B713" t="s">
        <v>2253</v>
      </c>
      <c r="C713" t="s">
        <v>183</v>
      </c>
      <c r="D713" t="s">
        <v>1884</v>
      </c>
      <c r="E713" t="s">
        <v>1885</v>
      </c>
      <c r="F713" t="s">
        <v>254</v>
      </c>
      <c r="G713" t="s">
        <v>2077</v>
      </c>
      <c r="H713">
        <v>3059.82</v>
      </c>
      <c r="I713">
        <v>5</v>
      </c>
      <c r="J713" t="s">
        <v>115</v>
      </c>
      <c r="N713" s="14" t="s">
        <v>2254</v>
      </c>
    </row>
    <row r="714" spans="1:14" x14ac:dyDescent="0.3">
      <c r="A714" t="s">
        <v>2255</v>
      </c>
      <c r="B714" t="s">
        <v>2256</v>
      </c>
      <c r="C714" t="s">
        <v>183</v>
      </c>
      <c r="D714" t="s">
        <v>1884</v>
      </c>
      <c r="E714" t="s">
        <v>1885</v>
      </c>
      <c r="F714" t="s">
        <v>254</v>
      </c>
      <c r="G714" t="s">
        <v>2081</v>
      </c>
      <c r="H714">
        <v>2510.6799999999998</v>
      </c>
      <c r="I714">
        <v>5</v>
      </c>
      <c r="J714" t="s">
        <v>115</v>
      </c>
      <c r="N714" s="14" t="s">
        <v>2257</v>
      </c>
    </row>
    <row r="715" spans="1:14" x14ac:dyDescent="0.3">
      <c r="A715" t="s">
        <v>2258</v>
      </c>
      <c r="B715" t="s">
        <v>2259</v>
      </c>
      <c r="C715" t="s">
        <v>183</v>
      </c>
      <c r="D715" t="s">
        <v>1884</v>
      </c>
      <c r="E715" t="s">
        <v>1885</v>
      </c>
      <c r="F715" t="s">
        <v>254</v>
      </c>
      <c r="G715" t="s">
        <v>2081</v>
      </c>
      <c r="H715">
        <v>1837.93</v>
      </c>
      <c r="I715">
        <v>5</v>
      </c>
      <c r="J715" t="s">
        <v>115</v>
      </c>
      <c r="N715" s="14" t="s">
        <v>2260</v>
      </c>
    </row>
    <row r="716" spans="1:14" x14ac:dyDescent="0.3">
      <c r="A716" t="s">
        <v>2261</v>
      </c>
      <c r="B716" t="s">
        <v>2262</v>
      </c>
      <c r="C716" t="s">
        <v>183</v>
      </c>
      <c r="D716" t="s">
        <v>1884</v>
      </c>
      <c r="E716" t="s">
        <v>1885</v>
      </c>
      <c r="F716" t="s">
        <v>254</v>
      </c>
      <c r="G716" t="s">
        <v>2081</v>
      </c>
      <c r="H716">
        <v>1395.39</v>
      </c>
      <c r="I716">
        <v>5</v>
      </c>
      <c r="J716" t="s">
        <v>115</v>
      </c>
      <c r="N716" s="14" t="s">
        <v>2263</v>
      </c>
    </row>
    <row r="717" spans="1:14" x14ac:dyDescent="0.3">
      <c r="A717" t="s">
        <v>2264</v>
      </c>
      <c r="B717" t="s">
        <v>2265</v>
      </c>
      <c r="C717" t="s">
        <v>183</v>
      </c>
      <c r="D717" t="s">
        <v>1884</v>
      </c>
      <c r="E717" t="s">
        <v>1885</v>
      </c>
      <c r="F717" t="s">
        <v>254</v>
      </c>
      <c r="G717" t="s">
        <v>2077</v>
      </c>
      <c r="H717">
        <v>1908.99</v>
      </c>
      <c r="I717">
        <v>5</v>
      </c>
      <c r="J717" t="s">
        <v>115</v>
      </c>
      <c r="N717" s="14" t="s">
        <v>2266</v>
      </c>
    </row>
    <row r="718" spans="1:14" x14ac:dyDescent="0.3">
      <c r="A718" t="s">
        <v>2267</v>
      </c>
      <c r="B718" t="s">
        <v>2268</v>
      </c>
      <c r="C718" t="s">
        <v>183</v>
      </c>
      <c r="D718" t="s">
        <v>1884</v>
      </c>
      <c r="E718" t="s">
        <v>1885</v>
      </c>
      <c r="F718" t="s">
        <v>254</v>
      </c>
      <c r="G718" t="s">
        <v>2081</v>
      </c>
      <c r="H718">
        <v>5658</v>
      </c>
      <c r="I718">
        <v>5</v>
      </c>
      <c r="J718" t="s">
        <v>115</v>
      </c>
      <c r="N718" s="14" t="s">
        <v>2269</v>
      </c>
    </row>
    <row r="719" spans="1:14" x14ac:dyDescent="0.3">
      <c r="A719" t="s">
        <v>2270</v>
      </c>
      <c r="B719" t="s">
        <v>2271</v>
      </c>
      <c r="C719" t="s">
        <v>183</v>
      </c>
      <c r="D719" t="s">
        <v>1884</v>
      </c>
      <c r="E719" t="s">
        <v>1885</v>
      </c>
      <c r="F719" t="s">
        <v>254</v>
      </c>
      <c r="G719" t="s">
        <v>2081</v>
      </c>
      <c r="H719">
        <v>1423.45</v>
      </c>
      <c r="I719">
        <v>5</v>
      </c>
      <c r="J719" t="s">
        <v>115</v>
      </c>
      <c r="N719" s="14" t="s">
        <v>2272</v>
      </c>
    </row>
    <row r="720" spans="1:14" x14ac:dyDescent="0.3">
      <c r="A720" t="s">
        <v>2273</v>
      </c>
      <c r="B720" t="s">
        <v>2274</v>
      </c>
      <c r="C720" t="s">
        <v>183</v>
      </c>
      <c r="D720" t="s">
        <v>1884</v>
      </c>
      <c r="E720" t="s">
        <v>1885</v>
      </c>
      <c r="F720" t="s">
        <v>254</v>
      </c>
      <c r="G720" t="s">
        <v>2077</v>
      </c>
      <c r="H720">
        <v>1937.06</v>
      </c>
      <c r="I720">
        <v>5</v>
      </c>
      <c r="J720" t="s">
        <v>115</v>
      </c>
      <c r="N720" s="14" t="s">
        <v>2275</v>
      </c>
    </row>
    <row r="721" spans="1:14" x14ac:dyDescent="0.3">
      <c r="A721" t="s">
        <v>2276</v>
      </c>
      <c r="B721" t="s">
        <v>2277</v>
      </c>
      <c r="C721" t="s">
        <v>183</v>
      </c>
      <c r="D721" t="s">
        <v>1884</v>
      </c>
      <c r="E721" t="s">
        <v>1885</v>
      </c>
      <c r="F721" t="s">
        <v>254</v>
      </c>
      <c r="G721" t="s">
        <v>2081</v>
      </c>
      <c r="H721">
        <v>1705.25</v>
      </c>
      <c r="I721">
        <v>5</v>
      </c>
      <c r="J721" t="s">
        <v>115</v>
      </c>
      <c r="N721" s="14" t="s">
        <v>2278</v>
      </c>
    </row>
    <row r="722" spans="1:14" x14ac:dyDescent="0.3">
      <c r="A722" t="s">
        <v>2279</v>
      </c>
      <c r="B722" t="s">
        <v>2280</v>
      </c>
      <c r="C722" t="s">
        <v>183</v>
      </c>
      <c r="D722" t="s">
        <v>1884</v>
      </c>
      <c r="E722" t="s">
        <v>1885</v>
      </c>
      <c r="F722" t="s">
        <v>254</v>
      </c>
      <c r="G722" t="s">
        <v>2081</v>
      </c>
      <c r="H722">
        <v>5117.6499999999996</v>
      </c>
      <c r="I722">
        <v>5</v>
      </c>
      <c r="J722" t="s">
        <v>115</v>
      </c>
      <c r="N722" s="14" t="s">
        <v>2281</v>
      </c>
    </row>
    <row r="723" spans="1:14" x14ac:dyDescent="0.3">
      <c r="A723" t="s">
        <v>2282</v>
      </c>
      <c r="B723" t="s">
        <v>2283</v>
      </c>
      <c r="C723" t="s">
        <v>183</v>
      </c>
      <c r="D723" t="s">
        <v>1884</v>
      </c>
      <c r="E723" t="s">
        <v>1885</v>
      </c>
      <c r="F723" t="s">
        <v>254</v>
      </c>
      <c r="H723">
        <v>66.06</v>
      </c>
      <c r="I723">
        <v>0</v>
      </c>
      <c r="J723" t="s">
        <v>115</v>
      </c>
      <c r="N723" s="14" t="s">
        <v>2284</v>
      </c>
    </row>
    <row r="724" spans="1:14" x14ac:dyDescent="0.3">
      <c r="A724" t="s">
        <v>2285</v>
      </c>
      <c r="B724" t="s">
        <v>2286</v>
      </c>
      <c r="C724" t="s">
        <v>183</v>
      </c>
      <c r="D724" t="s">
        <v>1884</v>
      </c>
      <c r="E724" t="s">
        <v>1885</v>
      </c>
      <c r="F724" t="s">
        <v>254</v>
      </c>
      <c r="G724" t="s">
        <v>2081</v>
      </c>
      <c r="H724">
        <v>4811.66</v>
      </c>
      <c r="I724">
        <v>5</v>
      </c>
      <c r="J724" t="s">
        <v>115</v>
      </c>
      <c r="N724" s="14" t="s">
        <v>2287</v>
      </c>
    </row>
    <row r="725" spans="1:14" x14ac:dyDescent="0.3">
      <c r="A725" t="s">
        <v>2288</v>
      </c>
      <c r="B725" t="s">
        <v>2289</v>
      </c>
      <c r="C725" t="s">
        <v>183</v>
      </c>
      <c r="D725" t="s">
        <v>1884</v>
      </c>
      <c r="E725" t="s">
        <v>1885</v>
      </c>
      <c r="F725" t="s">
        <v>254</v>
      </c>
      <c r="G725" t="s">
        <v>2081</v>
      </c>
      <c r="H725">
        <v>899.92</v>
      </c>
      <c r="I725">
        <v>5</v>
      </c>
      <c r="J725" t="s">
        <v>115</v>
      </c>
      <c r="N725" s="14" t="s">
        <v>2290</v>
      </c>
    </row>
    <row r="726" spans="1:14" x14ac:dyDescent="0.3">
      <c r="A726" t="s">
        <v>2291</v>
      </c>
      <c r="B726" t="s">
        <v>2292</v>
      </c>
      <c r="C726" t="s">
        <v>183</v>
      </c>
      <c r="D726" t="s">
        <v>1884</v>
      </c>
      <c r="E726" t="s">
        <v>1885</v>
      </c>
      <c r="F726" t="s">
        <v>254</v>
      </c>
      <c r="G726" t="s">
        <v>2081</v>
      </c>
      <c r="H726">
        <v>2236.5300000000002</v>
      </c>
      <c r="I726">
        <v>5</v>
      </c>
      <c r="J726" t="s">
        <v>115</v>
      </c>
      <c r="N726" s="14" t="s">
        <v>2293</v>
      </c>
    </row>
    <row r="727" spans="1:14" x14ac:dyDescent="0.3">
      <c r="A727" t="s">
        <v>2294</v>
      </c>
      <c r="B727" t="s">
        <v>2295</v>
      </c>
      <c r="C727" t="s">
        <v>183</v>
      </c>
      <c r="D727" t="s">
        <v>1884</v>
      </c>
      <c r="E727" t="s">
        <v>1885</v>
      </c>
      <c r="F727" t="s">
        <v>254</v>
      </c>
      <c r="G727" t="s">
        <v>2081</v>
      </c>
      <c r="H727">
        <v>3573.05</v>
      </c>
      <c r="I727">
        <v>5</v>
      </c>
      <c r="J727" t="s">
        <v>115</v>
      </c>
      <c r="N727" s="14" t="s">
        <v>2296</v>
      </c>
    </row>
    <row r="728" spans="1:14" x14ac:dyDescent="0.3">
      <c r="A728" t="s">
        <v>2297</v>
      </c>
      <c r="B728" t="s">
        <v>2298</v>
      </c>
      <c r="C728" t="s">
        <v>183</v>
      </c>
      <c r="D728" t="s">
        <v>1884</v>
      </c>
      <c r="E728" t="s">
        <v>1885</v>
      </c>
      <c r="F728" t="s">
        <v>254</v>
      </c>
      <c r="G728" t="s">
        <v>2081</v>
      </c>
      <c r="H728">
        <v>1078.43</v>
      </c>
      <c r="I728">
        <v>5</v>
      </c>
      <c r="J728" t="s">
        <v>115</v>
      </c>
      <c r="N728" s="14" t="s">
        <v>2299</v>
      </c>
    </row>
    <row r="729" spans="1:14" x14ac:dyDescent="0.3">
      <c r="A729" t="s">
        <v>2300</v>
      </c>
      <c r="B729" t="s">
        <v>2301</v>
      </c>
      <c r="C729" t="s">
        <v>183</v>
      </c>
      <c r="D729" t="s">
        <v>1884</v>
      </c>
      <c r="E729" t="s">
        <v>1885</v>
      </c>
      <c r="F729" t="s">
        <v>254</v>
      </c>
      <c r="G729" t="s">
        <v>2081</v>
      </c>
      <c r="H729">
        <v>2014.27</v>
      </c>
      <c r="I729">
        <v>5</v>
      </c>
      <c r="J729" t="s">
        <v>115</v>
      </c>
      <c r="N729" s="14" t="s">
        <v>2302</v>
      </c>
    </row>
    <row r="730" spans="1:14" x14ac:dyDescent="0.3">
      <c r="A730" t="s">
        <v>2303</v>
      </c>
      <c r="B730" t="s">
        <v>2192</v>
      </c>
      <c r="C730" t="s">
        <v>183</v>
      </c>
      <c r="D730" t="s">
        <v>1884</v>
      </c>
      <c r="E730" t="s">
        <v>1885</v>
      </c>
      <c r="F730" t="s">
        <v>254</v>
      </c>
      <c r="G730" t="s">
        <v>2081</v>
      </c>
      <c r="H730">
        <v>2905.21</v>
      </c>
      <c r="I730">
        <v>5</v>
      </c>
      <c r="J730" t="s">
        <v>115</v>
      </c>
      <c r="N730" s="14" t="s">
        <v>2304</v>
      </c>
    </row>
    <row r="731" spans="1:14" x14ac:dyDescent="0.3">
      <c r="A731" t="s">
        <v>2305</v>
      </c>
      <c r="B731" t="s">
        <v>2192</v>
      </c>
      <c r="C731" t="s">
        <v>183</v>
      </c>
      <c r="D731" t="s">
        <v>1884</v>
      </c>
      <c r="E731" t="s">
        <v>1885</v>
      </c>
      <c r="F731" t="s">
        <v>254</v>
      </c>
      <c r="G731" t="s">
        <v>2081</v>
      </c>
      <c r="H731">
        <v>3127.48</v>
      </c>
      <c r="I731">
        <v>5</v>
      </c>
      <c r="J731" t="s">
        <v>115</v>
      </c>
      <c r="N731" s="14" t="s">
        <v>2306</v>
      </c>
    </row>
    <row r="732" spans="1:14" x14ac:dyDescent="0.3">
      <c r="A732" t="s">
        <v>2307</v>
      </c>
      <c r="B732" t="s">
        <v>2308</v>
      </c>
      <c r="C732" t="s">
        <v>183</v>
      </c>
      <c r="D732" t="s">
        <v>1884</v>
      </c>
      <c r="E732" t="s">
        <v>1885</v>
      </c>
      <c r="F732" t="s">
        <v>254</v>
      </c>
      <c r="G732" t="s">
        <v>2081</v>
      </c>
      <c r="H732">
        <v>3796.25</v>
      </c>
      <c r="I732">
        <v>5</v>
      </c>
      <c r="J732" t="s">
        <v>115</v>
      </c>
      <c r="N732" s="14" t="s">
        <v>2309</v>
      </c>
    </row>
    <row r="733" spans="1:14" x14ac:dyDescent="0.3">
      <c r="A733" t="s">
        <v>2310</v>
      </c>
      <c r="B733" t="s">
        <v>2311</v>
      </c>
      <c r="C733" t="s">
        <v>183</v>
      </c>
      <c r="D733" t="s">
        <v>1884</v>
      </c>
      <c r="E733" t="s">
        <v>1885</v>
      </c>
      <c r="F733" t="s">
        <v>254</v>
      </c>
      <c r="G733" t="s">
        <v>2081</v>
      </c>
      <c r="H733">
        <v>4909.6499999999996</v>
      </c>
      <c r="I733">
        <v>5</v>
      </c>
      <c r="J733" t="s">
        <v>115</v>
      </c>
      <c r="N733" s="14" t="s">
        <v>2312</v>
      </c>
    </row>
    <row r="734" spans="1:14" x14ac:dyDescent="0.3">
      <c r="A734" t="s">
        <v>2313</v>
      </c>
      <c r="B734" t="s">
        <v>2314</v>
      </c>
      <c r="C734" t="s">
        <v>183</v>
      </c>
      <c r="D734" t="s">
        <v>1884</v>
      </c>
      <c r="E734" t="s">
        <v>1885</v>
      </c>
      <c r="F734" t="s">
        <v>254</v>
      </c>
      <c r="G734" t="s">
        <v>2081</v>
      </c>
      <c r="H734">
        <v>5132.7700000000004</v>
      </c>
      <c r="I734">
        <v>5</v>
      </c>
      <c r="J734" t="s">
        <v>115</v>
      </c>
      <c r="N734" s="14" t="s">
        <v>2315</v>
      </c>
    </row>
    <row r="735" spans="1:14" x14ac:dyDescent="0.3">
      <c r="A735" t="s">
        <v>2316</v>
      </c>
      <c r="B735" t="s">
        <v>2317</v>
      </c>
      <c r="C735" t="s">
        <v>183</v>
      </c>
      <c r="D735" t="s">
        <v>1884</v>
      </c>
      <c r="E735" t="s">
        <v>1885</v>
      </c>
      <c r="F735" t="s">
        <v>254</v>
      </c>
      <c r="G735" t="s">
        <v>2081</v>
      </c>
      <c r="H735">
        <v>5355.13</v>
      </c>
      <c r="I735">
        <v>5</v>
      </c>
      <c r="J735" t="s">
        <v>115</v>
      </c>
      <c r="N735" s="14" t="s">
        <v>2318</v>
      </c>
    </row>
    <row r="736" spans="1:14" x14ac:dyDescent="0.3">
      <c r="A736" t="s">
        <v>2319</v>
      </c>
      <c r="B736" t="s">
        <v>2320</v>
      </c>
      <c r="C736" t="s">
        <v>183</v>
      </c>
      <c r="D736" t="s">
        <v>1884</v>
      </c>
      <c r="E736" t="s">
        <v>1885</v>
      </c>
      <c r="F736" t="s">
        <v>254</v>
      </c>
      <c r="G736" t="s">
        <v>2081</v>
      </c>
      <c r="H736">
        <v>5578.43</v>
      </c>
      <c r="I736">
        <v>5</v>
      </c>
      <c r="J736" t="s">
        <v>115</v>
      </c>
      <c r="N736" s="14" t="s">
        <v>2321</v>
      </c>
    </row>
    <row r="737" spans="1:14" x14ac:dyDescent="0.3">
      <c r="A737" t="s">
        <v>2322</v>
      </c>
      <c r="B737" t="s">
        <v>2323</v>
      </c>
      <c r="C737" t="s">
        <v>183</v>
      </c>
      <c r="D737" t="s">
        <v>1884</v>
      </c>
      <c r="E737" t="s">
        <v>1885</v>
      </c>
      <c r="F737" t="s">
        <v>254</v>
      </c>
      <c r="G737" t="s">
        <v>2081</v>
      </c>
      <c r="H737">
        <v>6469.38</v>
      </c>
      <c r="I737">
        <v>5</v>
      </c>
      <c r="J737" t="s">
        <v>115</v>
      </c>
      <c r="N737" s="14" t="s">
        <v>2324</v>
      </c>
    </row>
    <row r="738" spans="1:14" x14ac:dyDescent="0.3">
      <c r="A738" t="s">
        <v>2325</v>
      </c>
      <c r="B738" t="s">
        <v>2326</v>
      </c>
      <c r="C738" t="s">
        <v>183</v>
      </c>
      <c r="D738" t="s">
        <v>1884</v>
      </c>
      <c r="E738" t="s">
        <v>1885</v>
      </c>
      <c r="F738" t="s">
        <v>254</v>
      </c>
      <c r="G738" t="s">
        <v>2081</v>
      </c>
      <c r="H738">
        <v>6691.64</v>
      </c>
      <c r="I738">
        <v>5</v>
      </c>
      <c r="J738" t="s">
        <v>115</v>
      </c>
      <c r="N738" s="14" t="s">
        <v>2327</v>
      </c>
    </row>
    <row r="739" spans="1:14" x14ac:dyDescent="0.3">
      <c r="A739" t="s">
        <v>2328</v>
      </c>
      <c r="B739" t="s">
        <v>2329</v>
      </c>
      <c r="C739" t="s">
        <v>183</v>
      </c>
      <c r="D739" t="s">
        <v>1884</v>
      </c>
      <c r="E739" t="s">
        <v>1885</v>
      </c>
      <c r="F739" t="s">
        <v>254</v>
      </c>
      <c r="G739" t="s">
        <v>2081</v>
      </c>
      <c r="H739">
        <v>7582.87</v>
      </c>
      <c r="I739">
        <v>5</v>
      </c>
      <c r="J739" t="s">
        <v>115</v>
      </c>
      <c r="N739" s="14" t="s">
        <v>2330</v>
      </c>
    </row>
    <row r="740" spans="1:14" x14ac:dyDescent="0.3">
      <c r="A740" t="s">
        <v>2331</v>
      </c>
      <c r="B740" t="s">
        <v>2332</v>
      </c>
      <c r="C740" t="s">
        <v>183</v>
      </c>
      <c r="D740" t="s">
        <v>1884</v>
      </c>
      <c r="E740" t="s">
        <v>1885</v>
      </c>
      <c r="F740" t="s">
        <v>254</v>
      </c>
      <c r="G740" t="s">
        <v>2081</v>
      </c>
      <c r="H740">
        <v>7805.98</v>
      </c>
      <c r="I740">
        <v>5</v>
      </c>
      <c r="J740" t="s">
        <v>115</v>
      </c>
      <c r="N740" s="14" t="s">
        <v>2333</v>
      </c>
    </row>
    <row r="741" spans="1:14" x14ac:dyDescent="0.3">
      <c r="A741" t="s">
        <v>2334</v>
      </c>
      <c r="B741" t="s">
        <v>2335</v>
      </c>
      <c r="C741" t="s">
        <v>183</v>
      </c>
      <c r="D741" t="s">
        <v>1884</v>
      </c>
      <c r="E741" t="s">
        <v>1885</v>
      </c>
      <c r="F741" t="s">
        <v>254</v>
      </c>
      <c r="G741" t="s">
        <v>2081</v>
      </c>
      <c r="H741">
        <v>8028.25</v>
      </c>
      <c r="I741">
        <v>5</v>
      </c>
      <c r="J741" t="s">
        <v>115</v>
      </c>
      <c r="N741" s="14" t="s">
        <v>2336</v>
      </c>
    </row>
    <row r="742" spans="1:14" x14ac:dyDescent="0.3">
      <c r="A742" t="s">
        <v>2337</v>
      </c>
      <c r="B742" t="s">
        <v>2338</v>
      </c>
      <c r="C742" t="s">
        <v>183</v>
      </c>
      <c r="D742" t="s">
        <v>1884</v>
      </c>
      <c r="E742" t="s">
        <v>1885</v>
      </c>
      <c r="F742" t="s">
        <v>254</v>
      </c>
      <c r="G742" t="s">
        <v>2081</v>
      </c>
      <c r="H742">
        <v>8697.1200000000008</v>
      </c>
      <c r="I742">
        <v>5</v>
      </c>
      <c r="J742" t="s">
        <v>115</v>
      </c>
      <c r="N742" s="14" t="s">
        <v>2339</v>
      </c>
    </row>
    <row r="743" spans="1:14" x14ac:dyDescent="0.3">
      <c r="A743" t="s">
        <v>2340</v>
      </c>
      <c r="B743" t="s">
        <v>2341</v>
      </c>
      <c r="C743" t="s">
        <v>183</v>
      </c>
      <c r="D743" t="s">
        <v>1884</v>
      </c>
      <c r="E743" t="s">
        <v>1885</v>
      </c>
      <c r="F743" t="s">
        <v>254</v>
      </c>
      <c r="G743" t="s">
        <v>2081</v>
      </c>
      <c r="H743">
        <v>492.35</v>
      </c>
      <c r="I743">
        <v>5</v>
      </c>
      <c r="J743" t="s">
        <v>115</v>
      </c>
      <c r="N743" s="14" t="s">
        <v>2342</v>
      </c>
    </row>
    <row r="744" spans="1:14" x14ac:dyDescent="0.3">
      <c r="A744" t="s">
        <v>2343</v>
      </c>
      <c r="B744" t="s">
        <v>2344</v>
      </c>
      <c r="C744" t="s">
        <v>183</v>
      </c>
      <c r="D744" t="s">
        <v>1884</v>
      </c>
      <c r="E744" t="s">
        <v>1885</v>
      </c>
      <c r="F744" t="s">
        <v>254</v>
      </c>
      <c r="G744" t="s">
        <v>2081</v>
      </c>
      <c r="H744">
        <v>1005.95</v>
      </c>
      <c r="I744">
        <v>5</v>
      </c>
      <c r="J744" t="s">
        <v>115</v>
      </c>
      <c r="N744" s="14" t="s">
        <v>2345</v>
      </c>
    </row>
    <row r="745" spans="1:14" x14ac:dyDescent="0.3">
      <c r="A745" t="s">
        <v>2346</v>
      </c>
      <c r="B745" t="s">
        <v>2347</v>
      </c>
      <c r="C745" t="s">
        <v>183</v>
      </c>
      <c r="D745" t="s">
        <v>1884</v>
      </c>
      <c r="E745" t="s">
        <v>1885</v>
      </c>
      <c r="F745" t="s">
        <v>254</v>
      </c>
      <c r="H745">
        <v>91.76</v>
      </c>
      <c r="I745">
        <v>0</v>
      </c>
      <c r="J745" t="s">
        <v>115</v>
      </c>
      <c r="N745" s="14" t="s">
        <v>2348</v>
      </c>
    </row>
    <row r="746" spans="1:14" x14ac:dyDescent="0.3">
      <c r="A746" t="s">
        <v>2349</v>
      </c>
      <c r="B746" t="s">
        <v>2350</v>
      </c>
      <c r="C746" t="s">
        <v>183</v>
      </c>
      <c r="D746" t="s">
        <v>1884</v>
      </c>
      <c r="E746" t="s">
        <v>1885</v>
      </c>
      <c r="F746" t="s">
        <v>254</v>
      </c>
      <c r="H746">
        <v>389.81</v>
      </c>
      <c r="I746">
        <v>0</v>
      </c>
      <c r="J746" t="s">
        <v>115</v>
      </c>
      <c r="N746" s="14" t="s">
        <v>2351</v>
      </c>
    </row>
    <row r="747" spans="1:14" x14ac:dyDescent="0.3">
      <c r="A747" t="s">
        <v>2352</v>
      </c>
      <c r="B747" t="s">
        <v>2353</v>
      </c>
      <c r="C747" t="s">
        <v>183</v>
      </c>
      <c r="D747" t="s">
        <v>1884</v>
      </c>
      <c r="E747" t="s">
        <v>1885</v>
      </c>
      <c r="F747" t="s">
        <v>254</v>
      </c>
      <c r="H747">
        <v>239.37</v>
      </c>
      <c r="I747">
        <v>0</v>
      </c>
      <c r="J747" t="s">
        <v>115</v>
      </c>
      <c r="N747" s="14" t="s">
        <v>2354</v>
      </c>
    </row>
    <row r="748" spans="1:14" x14ac:dyDescent="0.3">
      <c r="A748" t="s">
        <v>2355</v>
      </c>
      <c r="B748" t="s">
        <v>2356</v>
      </c>
      <c r="C748" t="s">
        <v>183</v>
      </c>
      <c r="D748" t="s">
        <v>1884</v>
      </c>
      <c r="E748" t="s">
        <v>1885</v>
      </c>
      <c r="F748" t="s">
        <v>254</v>
      </c>
      <c r="H748">
        <v>309.3</v>
      </c>
      <c r="I748">
        <v>0</v>
      </c>
      <c r="J748" t="s">
        <v>115</v>
      </c>
      <c r="N748" s="14" t="s">
        <v>2357</v>
      </c>
    </row>
    <row r="749" spans="1:14" x14ac:dyDescent="0.3">
      <c r="A749" t="s">
        <v>2358</v>
      </c>
      <c r="B749" t="s">
        <v>2359</v>
      </c>
      <c r="C749" t="s">
        <v>183</v>
      </c>
      <c r="D749" t="s">
        <v>1884</v>
      </c>
      <c r="E749" t="s">
        <v>1885</v>
      </c>
      <c r="F749" t="s">
        <v>254</v>
      </c>
      <c r="H749">
        <v>346.82</v>
      </c>
      <c r="I749">
        <v>0</v>
      </c>
      <c r="J749" t="s">
        <v>115</v>
      </c>
      <c r="N749" s="14" t="s">
        <v>2360</v>
      </c>
    </row>
    <row r="750" spans="1:14" x14ac:dyDescent="0.3">
      <c r="A750" t="s">
        <v>2361</v>
      </c>
      <c r="B750" t="s">
        <v>2362</v>
      </c>
      <c r="C750" t="s">
        <v>183</v>
      </c>
      <c r="D750" t="s">
        <v>1884</v>
      </c>
      <c r="E750" t="s">
        <v>1885</v>
      </c>
      <c r="F750" t="s">
        <v>254</v>
      </c>
      <c r="H750">
        <v>125.31</v>
      </c>
      <c r="I750">
        <v>0</v>
      </c>
      <c r="J750" t="s">
        <v>115</v>
      </c>
      <c r="N750" s="14" t="s">
        <v>2363</v>
      </c>
    </row>
    <row r="751" spans="1:14" x14ac:dyDescent="0.3">
      <c r="A751" t="s">
        <v>2364</v>
      </c>
      <c r="B751" t="s">
        <v>2365</v>
      </c>
      <c r="C751" t="s">
        <v>183</v>
      </c>
      <c r="D751" t="s">
        <v>1884</v>
      </c>
      <c r="E751" t="s">
        <v>1885</v>
      </c>
      <c r="F751" t="s">
        <v>254</v>
      </c>
      <c r="H751">
        <v>24.38</v>
      </c>
      <c r="I751">
        <v>0</v>
      </c>
      <c r="J751" t="s">
        <v>115</v>
      </c>
      <c r="N751" s="14" t="s">
        <v>2366</v>
      </c>
    </row>
    <row r="752" spans="1:14" x14ac:dyDescent="0.3">
      <c r="A752" t="s">
        <v>2367</v>
      </c>
      <c r="B752" t="s">
        <v>2368</v>
      </c>
      <c r="C752" t="s">
        <v>183</v>
      </c>
      <c r="D752" t="s">
        <v>1884</v>
      </c>
      <c r="E752" t="s">
        <v>1885</v>
      </c>
      <c r="F752" t="s">
        <v>254</v>
      </c>
      <c r="G752" t="s">
        <v>2144</v>
      </c>
      <c r="H752">
        <v>500.57</v>
      </c>
      <c r="I752">
        <v>5</v>
      </c>
      <c r="J752" t="s">
        <v>115</v>
      </c>
      <c r="N752" s="14" t="s">
        <v>2369</v>
      </c>
    </row>
    <row r="753" spans="1:14" x14ac:dyDescent="0.3">
      <c r="A753" t="s">
        <v>2370</v>
      </c>
      <c r="B753" t="s">
        <v>2371</v>
      </c>
      <c r="C753" t="s">
        <v>183</v>
      </c>
      <c r="D753" t="s">
        <v>1884</v>
      </c>
      <c r="E753" t="s">
        <v>1885</v>
      </c>
      <c r="F753" t="s">
        <v>254</v>
      </c>
      <c r="G753" t="s">
        <v>2144</v>
      </c>
      <c r="H753">
        <v>66.53</v>
      </c>
      <c r="I753">
        <v>5</v>
      </c>
      <c r="J753" t="s">
        <v>115</v>
      </c>
      <c r="N753" s="14" t="s">
        <v>2372</v>
      </c>
    </row>
    <row r="754" spans="1:14" x14ac:dyDescent="0.3">
      <c r="A754" t="s">
        <v>2373</v>
      </c>
      <c r="B754" t="s">
        <v>2374</v>
      </c>
      <c r="C754" t="s">
        <v>183</v>
      </c>
      <c r="D754" t="s">
        <v>1884</v>
      </c>
      <c r="E754" t="s">
        <v>1885</v>
      </c>
      <c r="F754" t="s">
        <v>254</v>
      </c>
      <c r="H754">
        <v>22.3</v>
      </c>
      <c r="I754">
        <v>0</v>
      </c>
      <c r="J754" t="s">
        <v>115</v>
      </c>
      <c r="N754" s="14" t="s">
        <v>2375</v>
      </c>
    </row>
    <row r="755" spans="1:14" x14ac:dyDescent="0.3">
      <c r="A755" t="s">
        <v>2376</v>
      </c>
      <c r="B755" t="s">
        <v>2377</v>
      </c>
      <c r="C755" t="s">
        <v>183</v>
      </c>
      <c r="D755" t="s">
        <v>1884</v>
      </c>
      <c r="E755" t="s">
        <v>1885</v>
      </c>
      <c r="F755" t="s">
        <v>254</v>
      </c>
      <c r="G755" t="s">
        <v>2144</v>
      </c>
      <c r="H755">
        <v>91.67</v>
      </c>
      <c r="I755">
        <v>5</v>
      </c>
      <c r="J755" t="s">
        <v>115</v>
      </c>
      <c r="N755" s="14" t="s">
        <v>2378</v>
      </c>
    </row>
    <row r="756" spans="1:14" x14ac:dyDescent="0.3">
      <c r="A756" t="s">
        <v>2379</v>
      </c>
      <c r="B756" t="s">
        <v>2380</v>
      </c>
      <c r="C756" t="s">
        <v>183</v>
      </c>
      <c r="D756" t="s">
        <v>1884</v>
      </c>
      <c r="E756" t="s">
        <v>1885</v>
      </c>
      <c r="F756" t="s">
        <v>254</v>
      </c>
      <c r="G756" t="s">
        <v>2144</v>
      </c>
      <c r="H756">
        <v>17.48</v>
      </c>
      <c r="I756">
        <v>5</v>
      </c>
      <c r="J756" t="s">
        <v>115</v>
      </c>
      <c r="N756" s="14" t="s">
        <v>2381</v>
      </c>
    </row>
    <row r="757" spans="1:14" x14ac:dyDescent="0.3">
      <c r="A757" t="s">
        <v>2382</v>
      </c>
      <c r="B757" t="s">
        <v>2383</v>
      </c>
      <c r="C757" t="s">
        <v>183</v>
      </c>
      <c r="D757" t="s">
        <v>1884</v>
      </c>
      <c r="E757" t="s">
        <v>1885</v>
      </c>
      <c r="F757" t="s">
        <v>254</v>
      </c>
      <c r="H757">
        <v>51.79</v>
      </c>
      <c r="I757">
        <v>0</v>
      </c>
      <c r="J757" t="s">
        <v>115</v>
      </c>
      <c r="N757" s="14" t="s">
        <v>2384</v>
      </c>
    </row>
    <row r="758" spans="1:14" x14ac:dyDescent="0.3">
      <c r="A758" t="s">
        <v>2385</v>
      </c>
      <c r="B758" t="s">
        <v>2386</v>
      </c>
      <c r="C758" t="s">
        <v>183</v>
      </c>
      <c r="D758" t="s">
        <v>1884</v>
      </c>
      <c r="E758" t="s">
        <v>1885</v>
      </c>
      <c r="F758" t="s">
        <v>254</v>
      </c>
      <c r="G758" t="s">
        <v>2144</v>
      </c>
      <c r="H758">
        <v>27.97</v>
      </c>
      <c r="I758">
        <v>5</v>
      </c>
      <c r="J758" t="s">
        <v>115</v>
      </c>
      <c r="N758" s="14" t="s">
        <v>2387</v>
      </c>
    </row>
    <row r="759" spans="1:14" x14ac:dyDescent="0.3">
      <c r="A759" t="s">
        <v>2388</v>
      </c>
      <c r="B759" t="s">
        <v>2389</v>
      </c>
      <c r="C759" t="s">
        <v>183</v>
      </c>
      <c r="D759" t="s">
        <v>1884</v>
      </c>
      <c r="E759" t="s">
        <v>1885</v>
      </c>
      <c r="F759" t="s">
        <v>254</v>
      </c>
      <c r="H759">
        <v>793.71</v>
      </c>
      <c r="I759">
        <v>0</v>
      </c>
      <c r="J759" t="s">
        <v>115</v>
      </c>
      <c r="N759" s="14" t="s">
        <v>2390</v>
      </c>
    </row>
    <row r="760" spans="1:14" x14ac:dyDescent="0.3">
      <c r="A760" t="s">
        <v>2391</v>
      </c>
      <c r="B760" t="s">
        <v>2392</v>
      </c>
      <c r="C760" t="s">
        <v>183</v>
      </c>
      <c r="D760" t="s">
        <v>1884</v>
      </c>
      <c r="E760" t="s">
        <v>1885</v>
      </c>
      <c r="F760" t="s">
        <v>254</v>
      </c>
      <c r="G760" t="s">
        <v>2144</v>
      </c>
      <c r="H760">
        <v>177.75</v>
      </c>
      <c r="I760">
        <v>5</v>
      </c>
      <c r="J760" t="s">
        <v>115</v>
      </c>
      <c r="N760" s="14" t="s">
        <v>2393</v>
      </c>
    </row>
    <row r="761" spans="1:14" x14ac:dyDescent="0.3">
      <c r="A761" t="s">
        <v>2394</v>
      </c>
      <c r="B761" t="s">
        <v>2395</v>
      </c>
      <c r="C761" t="s">
        <v>183</v>
      </c>
      <c r="D761" t="s">
        <v>1884</v>
      </c>
      <c r="E761" t="s">
        <v>1885</v>
      </c>
      <c r="F761" t="s">
        <v>254</v>
      </c>
      <c r="G761" t="s">
        <v>2144</v>
      </c>
      <c r="H761">
        <v>166.89</v>
      </c>
      <c r="I761">
        <v>5</v>
      </c>
      <c r="J761" t="s">
        <v>115</v>
      </c>
      <c r="N761" s="14" t="s">
        <v>2396</v>
      </c>
    </row>
    <row r="762" spans="1:14" x14ac:dyDescent="0.3">
      <c r="A762" t="s">
        <v>2397</v>
      </c>
      <c r="B762" t="s">
        <v>2398</v>
      </c>
      <c r="C762" t="s">
        <v>183</v>
      </c>
      <c r="D762" t="s">
        <v>1884</v>
      </c>
      <c r="E762" t="s">
        <v>1885</v>
      </c>
      <c r="F762" t="s">
        <v>254</v>
      </c>
      <c r="H762">
        <v>4.0599999999999996</v>
      </c>
      <c r="I762">
        <v>0</v>
      </c>
      <c r="J762" t="s">
        <v>115</v>
      </c>
      <c r="N762" s="14" t="s">
        <v>2399</v>
      </c>
    </row>
    <row r="763" spans="1:14" x14ac:dyDescent="0.3">
      <c r="A763" t="s">
        <v>2400</v>
      </c>
      <c r="B763" t="s">
        <v>2401</v>
      </c>
      <c r="C763" t="s">
        <v>183</v>
      </c>
      <c r="D763" t="s">
        <v>1884</v>
      </c>
      <c r="E763" t="s">
        <v>1885</v>
      </c>
      <c r="F763" t="s">
        <v>254</v>
      </c>
      <c r="G763" t="s">
        <v>2144</v>
      </c>
      <c r="H763">
        <v>372.99</v>
      </c>
      <c r="I763">
        <v>5</v>
      </c>
      <c r="J763" t="s">
        <v>115</v>
      </c>
      <c r="N763" s="14" t="s">
        <v>2402</v>
      </c>
    </row>
    <row r="764" spans="1:14" x14ac:dyDescent="0.3">
      <c r="A764" t="s">
        <v>2403</v>
      </c>
      <c r="B764" t="s">
        <v>2404</v>
      </c>
      <c r="C764" t="s">
        <v>183</v>
      </c>
      <c r="D764" t="s">
        <v>1884</v>
      </c>
      <c r="E764" t="s">
        <v>1885</v>
      </c>
      <c r="F764" t="s">
        <v>254</v>
      </c>
      <c r="G764" t="s">
        <v>2081</v>
      </c>
      <c r="H764">
        <v>2896.14</v>
      </c>
      <c r="I764">
        <v>5</v>
      </c>
      <c r="J764" t="s">
        <v>115</v>
      </c>
      <c r="N764" s="14" t="s">
        <v>2405</v>
      </c>
    </row>
    <row r="765" spans="1:14" x14ac:dyDescent="0.3">
      <c r="A765" t="s">
        <v>2406</v>
      </c>
      <c r="B765" t="s">
        <v>2407</v>
      </c>
      <c r="C765" t="s">
        <v>183</v>
      </c>
      <c r="D765" t="s">
        <v>1884</v>
      </c>
      <c r="E765" t="s">
        <v>1885</v>
      </c>
      <c r="F765" t="s">
        <v>254</v>
      </c>
      <c r="G765" t="s">
        <v>2081</v>
      </c>
      <c r="H765">
        <v>1209.32</v>
      </c>
      <c r="I765">
        <v>5</v>
      </c>
      <c r="J765" t="s">
        <v>115</v>
      </c>
      <c r="N765" s="14" t="s">
        <v>2408</v>
      </c>
    </row>
    <row r="766" spans="1:14" x14ac:dyDescent="0.3">
      <c r="A766" t="s">
        <v>2409</v>
      </c>
      <c r="B766" t="s">
        <v>2410</v>
      </c>
      <c r="C766" t="s">
        <v>183</v>
      </c>
      <c r="D766" t="s">
        <v>1884</v>
      </c>
      <c r="E766" t="s">
        <v>1885</v>
      </c>
      <c r="F766" t="s">
        <v>254</v>
      </c>
      <c r="G766" t="s">
        <v>2081</v>
      </c>
      <c r="H766">
        <v>2342.75</v>
      </c>
      <c r="I766">
        <v>5</v>
      </c>
      <c r="J766" t="s">
        <v>115</v>
      </c>
      <c r="N766" s="14" t="s">
        <v>2411</v>
      </c>
    </row>
    <row r="767" spans="1:14" x14ac:dyDescent="0.3">
      <c r="A767" t="s">
        <v>2412</v>
      </c>
      <c r="B767" t="s">
        <v>2413</v>
      </c>
      <c r="C767" t="s">
        <v>183</v>
      </c>
      <c r="D767" t="s">
        <v>1884</v>
      </c>
      <c r="E767" t="s">
        <v>1885</v>
      </c>
      <c r="F767" t="s">
        <v>254</v>
      </c>
      <c r="G767" t="s">
        <v>2081</v>
      </c>
      <c r="H767">
        <v>3553.58</v>
      </c>
      <c r="I767">
        <v>5</v>
      </c>
      <c r="J767" t="s">
        <v>115</v>
      </c>
      <c r="N767" s="14" t="s">
        <v>2414</v>
      </c>
    </row>
    <row r="768" spans="1:14" x14ac:dyDescent="0.3">
      <c r="A768" t="s">
        <v>2415</v>
      </c>
      <c r="B768" t="s">
        <v>2416</v>
      </c>
      <c r="C768" t="s">
        <v>183</v>
      </c>
      <c r="D768" t="s">
        <v>1884</v>
      </c>
      <c r="E768" t="s">
        <v>1885</v>
      </c>
      <c r="F768" t="s">
        <v>254</v>
      </c>
      <c r="H768">
        <v>27.69</v>
      </c>
      <c r="I768">
        <v>0</v>
      </c>
      <c r="J768" t="s">
        <v>115</v>
      </c>
      <c r="N768" s="14" t="s">
        <v>2417</v>
      </c>
    </row>
    <row r="769" spans="1:14" x14ac:dyDescent="0.3">
      <c r="A769" t="s">
        <v>2418</v>
      </c>
      <c r="B769" t="s">
        <v>2419</v>
      </c>
      <c r="C769" t="s">
        <v>183</v>
      </c>
      <c r="D769" t="s">
        <v>1884</v>
      </c>
      <c r="E769" t="s">
        <v>1885</v>
      </c>
      <c r="F769" t="s">
        <v>254</v>
      </c>
      <c r="G769" t="s">
        <v>2081</v>
      </c>
      <c r="H769">
        <v>1201</v>
      </c>
      <c r="I769">
        <v>5</v>
      </c>
      <c r="J769" t="s">
        <v>115</v>
      </c>
      <c r="N769" s="14" t="s">
        <v>2420</v>
      </c>
    </row>
    <row r="770" spans="1:14" x14ac:dyDescent="0.3">
      <c r="A770" t="s">
        <v>2421</v>
      </c>
      <c r="B770" t="s">
        <v>2422</v>
      </c>
      <c r="C770" t="s">
        <v>183</v>
      </c>
      <c r="D770" t="s">
        <v>1884</v>
      </c>
      <c r="E770" t="s">
        <v>1885</v>
      </c>
      <c r="F770" t="s">
        <v>254</v>
      </c>
      <c r="H770">
        <v>2406.12</v>
      </c>
      <c r="I770">
        <v>0</v>
      </c>
      <c r="J770" t="s">
        <v>115</v>
      </c>
      <c r="N770" s="14" t="s">
        <v>2423</v>
      </c>
    </row>
    <row r="771" spans="1:14" x14ac:dyDescent="0.3">
      <c r="A771" t="s">
        <v>2424</v>
      </c>
      <c r="B771" t="s">
        <v>2425</v>
      </c>
      <c r="C771" t="s">
        <v>241</v>
      </c>
      <c r="D771" t="s">
        <v>1884</v>
      </c>
      <c r="E771" t="s">
        <v>1885</v>
      </c>
      <c r="F771" t="s">
        <v>254</v>
      </c>
      <c r="G771" t="s">
        <v>2144</v>
      </c>
      <c r="H771">
        <v>200.45</v>
      </c>
      <c r="I771">
        <v>5</v>
      </c>
      <c r="J771" t="s">
        <v>115</v>
      </c>
      <c r="N771" s="14" t="s">
        <v>2426</v>
      </c>
    </row>
    <row r="772" spans="1:14" x14ac:dyDescent="0.3">
      <c r="A772" t="s">
        <v>2427</v>
      </c>
      <c r="B772" t="s">
        <v>2428</v>
      </c>
      <c r="C772" t="s">
        <v>241</v>
      </c>
      <c r="D772" t="s">
        <v>1884</v>
      </c>
      <c r="E772" t="s">
        <v>1885</v>
      </c>
      <c r="F772" t="s">
        <v>254</v>
      </c>
      <c r="G772" t="s">
        <v>2144</v>
      </c>
      <c r="H772">
        <v>150.34</v>
      </c>
      <c r="I772">
        <v>5</v>
      </c>
      <c r="J772" t="s">
        <v>115</v>
      </c>
      <c r="N772" s="14" t="s">
        <v>2429</v>
      </c>
    </row>
    <row r="773" spans="1:14" x14ac:dyDescent="0.3">
      <c r="A773" t="s">
        <v>2430</v>
      </c>
      <c r="B773" t="s">
        <v>2431</v>
      </c>
      <c r="C773" t="s">
        <v>241</v>
      </c>
      <c r="D773" t="s">
        <v>1884</v>
      </c>
      <c r="E773" t="s">
        <v>1885</v>
      </c>
      <c r="F773" t="s">
        <v>254</v>
      </c>
      <c r="G773" t="s">
        <v>2144</v>
      </c>
      <c r="H773">
        <v>143.55000000000001</v>
      </c>
      <c r="I773">
        <v>5</v>
      </c>
      <c r="J773" t="s">
        <v>115</v>
      </c>
      <c r="N773" s="14" t="s">
        <v>2432</v>
      </c>
    </row>
    <row r="774" spans="1:14" x14ac:dyDescent="0.3">
      <c r="A774" t="s">
        <v>2433</v>
      </c>
      <c r="B774" t="s">
        <v>2434</v>
      </c>
      <c r="C774" t="s">
        <v>241</v>
      </c>
      <c r="D774" t="s">
        <v>1884</v>
      </c>
      <c r="E774" t="s">
        <v>1885</v>
      </c>
      <c r="F774" t="s">
        <v>254</v>
      </c>
      <c r="G774" t="s">
        <v>2144</v>
      </c>
      <c r="H774">
        <v>124.41</v>
      </c>
      <c r="I774">
        <v>5</v>
      </c>
      <c r="J774" t="s">
        <v>115</v>
      </c>
      <c r="N774" s="14" t="s">
        <v>2435</v>
      </c>
    </row>
    <row r="775" spans="1:14" x14ac:dyDescent="0.3">
      <c r="A775" t="s">
        <v>2436</v>
      </c>
      <c r="B775" t="s">
        <v>2437</v>
      </c>
      <c r="C775" t="s">
        <v>241</v>
      </c>
      <c r="D775" t="s">
        <v>1884</v>
      </c>
      <c r="E775" t="s">
        <v>1885</v>
      </c>
      <c r="F775" t="s">
        <v>254</v>
      </c>
      <c r="G775" t="s">
        <v>2144</v>
      </c>
      <c r="H775">
        <v>129.46</v>
      </c>
      <c r="I775">
        <v>5</v>
      </c>
      <c r="J775" t="s">
        <v>115</v>
      </c>
      <c r="N775" s="14" t="s">
        <v>2438</v>
      </c>
    </row>
    <row r="776" spans="1:14" x14ac:dyDescent="0.3">
      <c r="A776" t="s">
        <v>2439</v>
      </c>
      <c r="B776" t="s">
        <v>2437</v>
      </c>
      <c r="C776" t="s">
        <v>241</v>
      </c>
      <c r="D776" t="s">
        <v>1884</v>
      </c>
      <c r="E776" t="s">
        <v>1885</v>
      </c>
      <c r="F776" t="s">
        <v>254</v>
      </c>
      <c r="G776" t="s">
        <v>2144</v>
      </c>
      <c r="H776">
        <v>110.06</v>
      </c>
      <c r="I776">
        <v>5</v>
      </c>
      <c r="J776" t="s">
        <v>115</v>
      </c>
      <c r="N776" s="14" t="s">
        <v>2440</v>
      </c>
    </row>
    <row r="777" spans="1:14" x14ac:dyDescent="0.3">
      <c r="A777" t="s">
        <v>2441</v>
      </c>
      <c r="B777" t="s">
        <v>2437</v>
      </c>
      <c r="C777" t="s">
        <v>241</v>
      </c>
      <c r="D777" t="s">
        <v>1884</v>
      </c>
      <c r="E777" t="s">
        <v>1885</v>
      </c>
      <c r="F777" t="s">
        <v>254</v>
      </c>
      <c r="G777" t="s">
        <v>2144</v>
      </c>
      <c r="H777">
        <v>100.22</v>
      </c>
      <c r="I777">
        <v>5</v>
      </c>
      <c r="J777" t="s">
        <v>115</v>
      </c>
      <c r="N777" s="14" t="s">
        <v>2442</v>
      </c>
    </row>
    <row r="778" spans="1:14" x14ac:dyDescent="0.3">
      <c r="A778" t="s">
        <v>2443</v>
      </c>
      <c r="B778" t="s">
        <v>2437</v>
      </c>
      <c r="C778" t="s">
        <v>241</v>
      </c>
      <c r="D778" t="s">
        <v>1884</v>
      </c>
      <c r="E778" t="s">
        <v>1885</v>
      </c>
      <c r="F778" t="s">
        <v>254</v>
      </c>
      <c r="G778" t="s">
        <v>2144</v>
      </c>
      <c r="H778">
        <v>90.48</v>
      </c>
      <c r="I778">
        <v>5</v>
      </c>
      <c r="J778" t="s">
        <v>115</v>
      </c>
      <c r="N778" s="14" t="s">
        <v>2444</v>
      </c>
    </row>
    <row r="779" spans="1:14" x14ac:dyDescent="0.3">
      <c r="A779" t="s">
        <v>2445</v>
      </c>
      <c r="B779" t="s">
        <v>2446</v>
      </c>
      <c r="C779" t="s">
        <v>241</v>
      </c>
      <c r="D779" t="s">
        <v>1884</v>
      </c>
      <c r="E779" t="s">
        <v>1885</v>
      </c>
      <c r="F779" t="s">
        <v>254</v>
      </c>
      <c r="G779" t="s">
        <v>2144</v>
      </c>
      <c r="H779">
        <v>334.95</v>
      </c>
      <c r="I779">
        <v>5</v>
      </c>
      <c r="J779" t="s">
        <v>115</v>
      </c>
      <c r="N779" s="14" t="s">
        <v>2447</v>
      </c>
    </row>
    <row r="780" spans="1:14" x14ac:dyDescent="0.3">
      <c r="A780" t="s">
        <v>2448</v>
      </c>
      <c r="B780" t="s">
        <v>2449</v>
      </c>
      <c r="C780" t="s">
        <v>241</v>
      </c>
      <c r="D780" t="s">
        <v>1884</v>
      </c>
      <c r="E780" t="s">
        <v>1885</v>
      </c>
      <c r="F780" t="s">
        <v>254</v>
      </c>
      <c r="G780" t="s">
        <v>2144</v>
      </c>
      <c r="H780">
        <v>226.2</v>
      </c>
      <c r="I780">
        <v>5</v>
      </c>
      <c r="J780" t="s">
        <v>115</v>
      </c>
      <c r="N780" s="14" t="s">
        <v>2450</v>
      </c>
    </row>
    <row r="781" spans="1:14" x14ac:dyDescent="0.3">
      <c r="A781" t="s">
        <v>2451</v>
      </c>
      <c r="B781" t="s">
        <v>2437</v>
      </c>
      <c r="C781" t="s">
        <v>241</v>
      </c>
      <c r="D781" t="s">
        <v>1884</v>
      </c>
      <c r="E781" t="s">
        <v>1885</v>
      </c>
      <c r="F781" t="s">
        <v>254</v>
      </c>
      <c r="G781" t="s">
        <v>2144</v>
      </c>
      <c r="H781">
        <v>209</v>
      </c>
      <c r="I781">
        <v>5</v>
      </c>
      <c r="J781" t="s">
        <v>115</v>
      </c>
      <c r="N781" s="14" t="s">
        <v>2452</v>
      </c>
    </row>
    <row r="782" spans="1:14" x14ac:dyDescent="0.3">
      <c r="A782" t="s">
        <v>2453</v>
      </c>
      <c r="B782" t="s">
        <v>2454</v>
      </c>
      <c r="C782" t="s">
        <v>241</v>
      </c>
      <c r="D782" t="s">
        <v>1884</v>
      </c>
      <c r="E782" t="s">
        <v>1885</v>
      </c>
      <c r="F782" t="s">
        <v>254</v>
      </c>
      <c r="G782" t="s">
        <v>2144</v>
      </c>
      <c r="H782">
        <v>198</v>
      </c>
      <c r="I782">
        <v>5</v>
      </c>
      <c r="J782" t="s">
        <v>115</v>
      </c>
      <c r="N782" s="14" t="s">
        <v>2455</v>
      </c>
    </row>
    <row r="783" spans="1:14" x14ac:dyDescent="0.3">
      <c r="A783" t="s">
        <v>2456</v>
      </c>
      <c r="B783" t="s">
        <v>2457</v>
      </c>
      <c r="C783" t="s">
        <v>241</v>
      </c>
      <c r="D783" t="s">
        <v>1884</v>
      </c>
      <c r="E783" t="s">
        <v>1885</v>
      </c>
      <c r="F783" t="s">
        <v>254</v>
      </c>
      <c r="G783" t="s">
        <v>2144</v>
      </c>
      <c r="H783">
        <v>132</v>
      </c>
      <c r="I783">
        <v>5</v>
      </c>
      <c r="J783" t="s">
        <v>115</v>
      </c>
      <c r="N783" s="14" t="s">
        <v>2458</v>
      </c>
    </row>
    <row r="784" spans="1:14" x14ac:dyDescent="0.3">
      <c r="A784" t="s">
        <v>2459</v>
      </c>
      <c r="B784" t="s">
        <v>2460</v>
      </c>
      <c r="C784" t="s">
        <v>241</v>
      </c>
      <c r="D784" t="s">
        <v>1884</v>
      </c>
      <c r="E784" t="s">
        <v>1885</v>
      </c>
      <c r="F784" t="s">
        <v>254</v>
      </c>
      <c r="G784" t="s">
        <v>2144</v>
      </c>
      <c r="H784">
        <v>118.67</v>
      </c>
      <c r="I784">
        <v>5</v>
      </c>
      <c r="J784" t="s">
        <v>115</v>
      </c>
      <c r="N784" s="14" t="s">
        <v>2461</v>
      </c>
    </row>
    <row r="785" spans="1:14" x14ac:dyDescent="0.3">
      <c r="A785" t="s">
        <v>2462</v>
      </c>
      <c r="B785" t="s">
        <v>2437</v>
      </c>
      <c r="C785" t="s">
        <v>241</v>
      </c>
      <c r="D785" t="s">
        <v>1884</v>
      </c>
      <c r="E785" t="s">
        <v>1885</v>
      </c>
      <c r="F785" t="s">
        <v>254</v>
      </c>
      <c r="G785" t="s">
        <v>2144</v>
      </c>
      <c r="H785">
        <v>138.5</v>
      </c>
      <c r="I785">
        <v>5</v>
      </c>
      <c r="J785" t="s">
        <v>115</v>
      </c>
      <c r="N785" s="14" t="s">
        <v>2463</v>
      </c>
    </row>
    <row r="786" spans="1:14" x14ac:dyDescent="0.3">
      <c r="A786" t="s">
        <v>2464</v>
      </c>
      <c r="B786" t="s">
        <v>2437</v>
      </c>
      <c r="C786" t="s">
        <v>241</v>
      </c>
      <c r="D786" t="s">
        <v>1884</v>
      </c>
      <c r="E786" t="s">
        <v>1885</v>
      </c>
      <c r="F786" t="s">
        <v>254</v>
      </c>
      <c r="G786" t="s">
        <v>2144</v>
      </c>
      <c r="H786">
        <v>145.51</v>
      </c>
      <c r="I786">
        <v>5</v>
      </c>
      <c r="J786" t="s">
        <v>115</v>
      </c>
      <c r="N786" s="14" t="s">
        <v>2465</v>
      </c>
    </row>
    <row r="787" spans="1:14" x14ac:dyDescent="0.3">
      <c r="A787" t="s">
        <v>2466</v>
      </c>
      <c r="B787" t="s">
        <v>2467</v>
      </c>
      <c r="C787" t="s">
        <v>183</v>
      </c>
      <c r="D787" t="s">
        <v>1884</v>
      </c>
      <c r="E787" t="s">
        <v>1885</v>
      </c>
      <c r="F787" t="s">
        <v>254</v>
      </c>
      <c r="G787" t="s">
        <v>2144</v>
      </c>
      <c r="H787">
        <v>1045</v>
      </c>
      <c r="I787">
        <v>5</v>
      </c>
      <c r="J787" t="s">
        <v>115</v>
      </c>
      <c r="N787" s="14" t="s">
        <v>2468</v>
      </c>
    </row>
    <row r="788" spans="1:14" x14ac:dyDescent="0.3">
      <c r="A788" t="s">
        <v>2469</v>
      </c>
      <c r="B788" t="s">
        <v>2437</v>
      </c>
      <c r="C788" t="s">
        <v>183</v>
      </c>
      <c r="D788" t="s">
        <v>1884</v>
      </c>
      <c r="E788" t="s">
        <v>1885</v>
      </c>
      <c r="F788" t="s">
        <v>254</v>
      </c>
      <c r="G788" t="s">
        <v>2144</v>
      </c>
      <c r="H788">
        <v>1210</v>
      </c>
      <c r="I788">
        <v>5</v>
      </c>
      <c r="J788" t="s">
        <v>115</v>
      </c>
      <c r="N788" s="14" t="s">
        <v>2470</v>
      </c>
    </row>
    <row r="789" spans="1:14" x14ac:dyDescent="0.3">
      <c r="A789" t="s">
        <v>2471</v>
      </c>
      <c r="B789" t="s">
        <v>2472</v>
      </c>
      <c r="C789" t="s">
        <v>183</v>
      </c>
      <c r="D789" t="s">
        <v>1884</v>
      </c>
      <c r="E789" t="s">
        <v>1885</v>
      </c>
      <c r="F789" t="s">
        <v>254</v>
      </c>
      <c r="G789" t="s">
        <v>2473</v>
      </c>
      <c r="H789">
        <v>2592.6</v>
      </c>
      <c r="I789">
        <v>5</v>
      </c>
      <c r="J789" t="s">
        <v>115</v>
      </c>
      <c r="N789" s="14" t="s">
        <v>2474</v>
      </c>
    </row>
    <row r="790" spans="1:14" x14ac:dyDescent="0.3">
      <c r="A790" t="s">
        <v>2475</v>
      </c>
      <c r="B790" t="s">
        <v>2122</v>
      </c>
      <c r="C790" t="s">
        <v>183</v>
      </c>
      <c r="D790" t="s">
        <v>1884</v>
      </c>
      <c r="E790" t="s">
        <v>1885</v>
      </c>
      <c r="F790" t="s">
        <v>254</v>
      </c>
      <c r="G790" t="s">
        <v>2123</v>
      </c>
      <c r="H790">
        <v>3125.04</v>
      </c>
      <c r="I790">
        <v>5</v>
      </c>
      <c r="J790" t="s">
        <v>115</v>
      </c>
      <c r="N790" s="14" t="s">
        <v>2476</v>
      </c>
    </row>
    <row r="791" spans="1:14" x14ac:dyDescent="0.3">
      <c r="A791" t="s">
        <v>2477</v>
      </c>
      <c r="B791" t="s">
        <v>2478</v>
      </c>
      <c r="C791" t="s">
        <v>241</v>
      </c>
      <c r="D791" t="s">
        <v>1884</v>
      </c>
      <c r="E791" t="s">
        <v>1885</v>
      </c>
      <c r="F791" t="s">
        <v>254</v>
      </c>
      <c r="G791" t="s">
        <v>2085</v>
      </c>
      <c r="H791">
        <v>256</v>
      </c>
      <c r="I791">
        <v>5</v>
      </c>
      <c r="J791" t="s">
        <v>115</v>
      </c>
      <c r="N791" s="14" t="s">
        <v>2479</v>
      </c>
    </row>
    <row r="792" spans="1:14" x14ac:dyDescent="0.3">
      <c r="A792" t="s">
        <v>2480</v>
      </c>
      <c r="B792" t="s">
        <v>2481</v>
      </c>
      <c r="C792" t="s">
        <v>183</v>
      </c>
      <c r="D792" t="s">
        <v>1884</v>
      </c>
      <c r="E792" t="s">
        <v>1885</v>
      </c>
      <c r="F792" t="s">
        <v>254</v>
      </c>
      <c r="G792" t="s">
        <v>2144</v>
      </c>
      <c r="H792">
        <v>250.56</v>
      </c>
      <c r="I792">
        <v>5</v>
      </c>
      <c r="J792" t="s">
        <v>115</v>
      </c>
      <c r="N792" s="14" t="s">
        <v>2482</v>
      </c>
    </row>
    <row r="793" spans="1:14" x14ac:dyDescent="0.3">
      <c r="A793" t="s">
        <v>2483</v>
      </c>
      <c r="B793" t="s">
        <v>2484</v>
      </c>
      <c r="C793" t="s">
        <v>183</v>
      </c>
      <c r="D793" t="s">
        <v>1884</v>
      </c>
      <c r="E793" t="s">
        <v>1885</v>
      </c>
      <c r="F793" t="s">
        <v>303</v>
      </c>
      <c r="H793">
        <v>12000</v>
      </c>
      <c r="I793">
        <v>0</v>
      </c>
      <c r="J793" t="s">
        <v>115</v>
      </c>
      <c r="N793" s="14" t="s">
        <v>2485</v>
      </c>
    </row>
    <row r="794" spans="1:14" x14ac:dyDescent="0.3">
      <c r="A794" t="s">
        <v>2486</v>
      </c>
      <c r="B794" t="s">
        <v>2487</v>
      </c>
      <c r="C794" t="s">
        <v>183</v>
      </c>
      <c r="D794" t="s">
        <v>1884</v>
      </c>
      <c r="E794" t="s">
        <v>1885</v>
      </c>
      <c r="F794" t="s">
        <v>303</v>
      </c>
      <c r="G794" t="s">
        <v>1886</v>
      </c>
      <c r="H794">
        <v>6878.97</v>
      </c>
      <c r="I794">
        <v>5</v>
      </c>
      <c r="J794" t="s">
        <v>115</v>
      </c>
      <c r="N794" s="14" t="s">
        <v>2488</v>
      </c>
    </row>
    <row r="795" spans="1:14" x14ac:dyDescent="0.3">
      <c r="A795" t="s">
        <v>2489</v>
      </c>
      <c r="B795" t="s">
        <v>2490</v>
      </c>
      <c r="C795" t="s">
        <v>183</v>
      </c>
      <c r="D795" t="s">
        <v>1884</v>
      </c>
      <c r="E795" t="s">
        <v>1885</v>
      </c>
      <c r="F795" t="s">
        <v>355</v>
      </c>
      <c r="G795" t="s">
        <v>2077</v>
      </c>
      <c r="H795">
        <v>1591.19</v>
      </c>
      <c r="I795">
        <v>5</v>
      </c>
      <c r="J795" t="s">
        <v>115</v>
      </c>
      <c r="N795" s="14" t="s">
        <v>2491</v>
      </c>
    </row>
    <row r="796" spans="1:14" x14ac:dyDescent="0.3">
      <c r="A796" t="s">
        <v>2492</v>
      </c>
      <c r="B796" t="s">
        <v>2493</v>
      </c>
      <c r="C796" t="s">
        <v>241</v>
      </c>
      <c r="D796" t="s">
        <v>1884</v>
      </c>
      <c r="E796" t="s">
        <v>1885</v>
      </c>
      <c r="F796" t="s">
        <v>355</v>
      </c>
      <c r="G796" t="s">
        <v>2085</v>
      </c>
      <c r="H796">
        <v>75.8</v>
      </c>
      <c r="I796">
        <v>5</v>
      </c>
      <c r="J796" t="s">
        <v>115</v>
      </c>
      <c r="N796" s="14" t="s">
        <v>2494</v>
      </c>
    </row>
    <row r="797" spans="1:14" x14ac:dyDescent="0.3">
      <c r="A797" t="s">
        <v>2495</v>
      </c>
      <c r="B797" t="s">
        <v>2088</v>
      </c>
      <c r="C797" t="s">
        <v>241</v>
      </c>
      <c r="D797" t="s">
        <v>1884</v>
      </c>
      <c r="E797" t="s">
        <v>1885</v>
      </c>
      <c r="F797" t="s">
        <v>355</v>
      </c>
      <c r="G797" t="s">
        <v>2085</v>
      </c>
      <c r="H797">
        <v>113.3</v>
      </c>
      <c r="I797">
        <v>5</v>
      </c>
      <c r="J797" t="s">
        <v>115</v>
      </c>
      <c r="N797" s="14" t="s">
        <v>2496</v>
      </c>
    </row>
    <row r="798" spans="1:14" x14ac:dyDescent="0.3">
      <c r="A798" t="s">
        <v>2497</v>
      </c>
      <c r="B798" t="s">
        <v>2498</v>
      </c>
      <c r="C798" t="s">
        <v>241</v>
      </c>
      <c r="D798" t="s">
        <v>1884</v>
      </c>
      <c r="E798" t="s">
        <v>1885</v>
      </c>
      <c r="F798" t="s">
        <v>355</v>
      </c>
      <c r="G798" t="s">
        <v>2104</v>
      </c>
      <c r="H798">
        <v>469.8</v>
      </c>
      <c r="I798">
        <v>5</v>
      </c>
      <c r="J798" t="s">
        <v>115</v>
      </c>
      <c r="N798" s="14" t="s">
        <v>2499</v>
      </c>
    </row>
    <row r="799" spans="1:14" x14ac:dyDescent="0.3">
      <c r="A799" t="s">
        <v>2500</v>
      </c>
      <c r="B799" t="s">
        <v>2501</v>
      </c>
      <c r="C799" t="s">
        <v>183</v>
      </c>
      <c r="D799" t="s">
        <v>1884</v>
      </c>
      <c r="E799" t="s">
        <v>1885</v>
      </c>
      <c r="F799" t="s">
        <v>355</v>
      </c>
      <c r="H799">
        <v>10.45</v>
      </c>
      <c r="I799">
        <v>0</v>
      </c>
      <c r="J799" t="s">
        <v>115</v>
      </c>
      <c r="N799" s="14" t="s">
        <v>2502</v>
      </c>
    </row>
    <row r="800" spans="1:14" x14ac:dyDescent="0.3">
      <c r="A800" t="s">
        <v>2503</v>
      </c>
      <c r="B800" t="s">
        <v>2504</v>
      </c>
      <c r="C800" t="s">
        <v>241</v>
      </c>
      <c r="D800" t="s">
        <v>1884</v>
      </c>
      <c r="E800" t="s">
        <v>1885</v>
      </c>
      <c r="F800" t="s">
        <v>355</v>
      </c>
      <c r="G800" t="s">
        <v>2144</v>
      </c>
      <c r="H800">
        <v>126.67</v>
      </c>
      <c r="I800">
        <v>5</v>
      </c>
      <c r="J800" t="s">
        <v>115</v>
      </c>
      <c r="N800" s="14" t="s">
        <v>2505</v>
      </c>
    </row>
    <row r="801" spans="1:14" x14ac:dyDescent="0.3">
      <c r="A801" t="s">
        <v>2506</v>
      </c>
      <c r="B801" t="s">
        <v>2507</v>
      </c>
      <c r="C801" t="s">
        <v>241</v>
      </c>
      <c r="D801" t="s">
        <v>1884</v>
      </c>
      <c r="E801" t="s">
        <v>1885</v>
      </c>
      <c r="F801" t="s">
        <v>355</v>
      </c>
      <c r="G801" t="s">
        <v>2144</v>
      </c>
      <c r="H801">
        <v>87.7</v>
      </c>
      <c r="I801">
        <v>5</v>
      </c>
      <c r="J801" t="s">
        <v>115</v>
      </c>
      <c r="N801" s="14" t="s">
        <v>2508</v>
      </c>
    </row>
    <row r="802" spans="1:14" x14ac:dyDescent="0.3">
      <c r="A802" t="s">
        <v>2509</v>
      </c>
      <c r="B802" t="s">
        <v>2122</v>
      </c>
      <c r="C802" t="s">
        <v>183</v>
      </c>
      <c r="D802" t="s">
        <v>1884</v>
      </c>
      <c r="E802" t="s">
        <v>1885</v>
      </c>
      <c r="F802" t="s">
        <v>355</v>
      </c>
      <c r="G802" t="s">
        <v>2123</v>
      </c>
      <c r="H802">
        <v>679.25</v>
      </c>
      <c r="I802">
        <v>5</v>
      </c>
      <c r="J802" t="s">
        <v>115</v>
      </c>
      <c r="N802" s="14" t="s">
        <v>2510</v>
      </c>
    </row>
    <row r="803" spans="1:14" x14ac:dyDescent="0.3">
      <c r="A803" t="s">
        <v>2511</v>
      </c>
      <c r="B803" t="s">
        <v>2512</v>
      </c>
      <c r="C803" t="s">
        <v>183</v>
      </c>
      <c r="D803" t="s">
        <v>1884</v>
      </c>
      <c r="E803" t="s">
        <v>1885</v>
      </c>
      <c r="F803" t="s">
        <v>355</v>
      </c>
      <c r="G803" t="s">
        <v>2129</v>
      </c>
      <c r="H803">
        <v>698.42</v>
      </c>
      <c r="I803">
        <v>5</v>
      </c>
      <c r="J803" t="s">
        <v>115</v>
      </c>
      <c r="N803" s="14" t="s">
        <v>2513</v>
      </c>
    </row>
    <row r="804" spans="1:14" x14ac:dyDescent="0.3">
      <c r="A804" t="s">
        <v>2514</v>
      </c>
      <c r="B804" t="s">
        <v>2140</v>
      </c>
      <c r="C804" t="s">
        <v>137</v>
      </c>
      <c r="D804" t="s">
        <v>1884</v>
      </c>
      <c r="E804" t="s">
        <v>1885</v>
      </c>
      <c r="F804" t="s">
        <v>355</v>
      </c>
      <c r="H804">
        <v>25099.8</v>
      </c>
      <c r="I804">
        <v>0</v>
      </c>
      <c r="J804" t="s">
        <v>115</v>
      </c>
      <c r="N804" s="14" t="s">
        <v>2515</v>
      </c>
    </row>
    <row r="805" spans="1:14" x14ac:dyDescent="0.3">
      <c r="A805" t="s">
        <v>2516</v>
      </c>
      <c r="B805" t="s">
        <v>1687</v>
      </c>
      <c r="C805" t="s">
        <v>137</v>
      </c>
      <c r="D805" t="s">
        <v>1884</v>
      </c>
      <c r="E805" t="s">
        <v>1885</v>
      </c>
      <c r="F805" t="s">
        <v>355</v>
      </c>
      <c r="H805">
        <v>0</v>
      </c>
      <c r="I805">
        <v>0</v>
      </c>
      <c r="J805" t="s">
        <v>115</v>
      </c>
      <c r="N805" s="14" t="s">
        <v>2517</v>
      </c>
    </row>
    <row r="806" spans="1:14" x14ac:dyDescent="0.3">
      <c r="A806" t="s">
        <v>2518</v>
      </c>
      <c r="B806" t="s">
        <v>2162</v>
      </c>
      <c r="C806" t="s">
        <v>183</v>
      </c>
      <c r="D806" t="s">
        <v>1884</v>
      </c>
      <c r="E806" t="s">
        <v>1885</v>
      </c>
      <c r="F806" t="s">
        <v>355</v>
      </c>
      <c r="H806">
        <v>295.19</v>
      </c>
      <c r="I806">
        <v>0</v>
      </c>
      <c r="J806" t="s">
        <v>115</v>
      </c>
      <c r="N806" s="14" t="s">
        <v>2519</v>
      </c>
    </row>
    <row r="807" spans="1:14" x14ac:dyDescent="0.3">
      <c r="A807" t="s">
        <v>2520</v>
      </c>
      <c r="B807" t="s">
        <v>2437</v>
      </c>
      <c r="C807" t="s">
        <v>241</v>
      </c>
      <c r="D807" t="s">
        <v>1884</v>
      </c>
      <c r="E807" t="s">
        <v>1885</v>
      </c>
      <c r="F807" t="s">
        <v>355</v>
      </c>
      <c r="G807" t="s">
        <v>2144</v>
      </c>
      <c r="H807">
        <v>124.41</v>
      </c>
      <c r="I807">
        <v>5</v>
      </c>
      <c r="J807" t="s">
        <v>115</v>
      </c>
      <c r="N807" s="14" t="s">
        <v>2521</v>
      </c>
    </row>
    <row r="808" spans="1:14" x14ac:dyDescent="0.3">
      <c r="A808" t="s">
        <v>2522</v>
      </c>
      <c r="B808" t="s">
        <v>2437</v>
      </c>
      <c r="C808" t="s">
        <v>241</v>
      </c>
      <c r="D808" t="s">
        <v>1884</v>
      </c>
      <c r="E808" t="s">
        <v>1885</v>
      </c>
      <c r="F808" t="s">
        <v>355</v>
      </c>
      <c r="G808" t="s">
        <v>2144</v>
      </c>
      <c r="H808">
        <v>108.58</v>
      </c>
      <c r="I808">
        <v>5</v>
      </c>
      <c r="J808" t="s">
        <v>115</v>
      </c>
      <c r="N808" s="14" t="s">
        <v>2523</v>
      </c>
    </row>
    <row r="809" spans="1:14" x14ac:dyDescent="0.3">
      <c r="A809" t="s">
        <v>2524</v>
      </c>
      <c r="B809" t="s">
        <v>2525</v>
      </c>
      <c r="C809" t="s">
        <v>241</v>
      </c>
      <c r="D809" t="s">
        <v>1884</v>
      </c>
      <c r="E809" t="s">
        <v>1885</v>
      </c>
      <c r="F809" t="s">
        <v>380</v>
      </c>
      <c r="G809" t="s">
        <v>2526</v>
      </c>
      <c r="H809">
        <v>51.97</v>
      </c>
      <c r="I809">
        <v>5</v>
      </c>
      <c r="J809" t="s">
        <v>115</v>
      </c>
      <c r="N809" s="14" t="s">
        <v>2527</v>
      </c>
    </row>
    <row r="810" spans="1:14" x14ac:dyDescent="0.3">
      <c r="A810" t="s">
        <v>2528</v>
      </c>
      <c r="B810" t="s">
        <v>2529</v>
      </c>
      <c r="C810" t="s">
        <v>241</v>
      </c>
      <c r="D810" t="s">
        <v>1884</v>
      </c>
      <c r="E810" t="s">
        <v>1885</v>
      </c>
      <c r="F810" t="s">
        <v>380</v>
      </c>
      <c r="G810" t="s">
        <v>2526</v>
      </c>
      <c r="H810">
        <v>12.29</v>
      </c>
      <c r="I810">
        <v>5</v>
      </c>
      <c r="J810" t="s">
        <v>115</v>
      </c>
      <c r="N810" s="14" t="s">
        <v>2530</v>
      </c>
    </row>
    <row r="811" spans="1:14" x14ac:dyDescent="0.3">
      <c r="A811" t="s">
        <v>2531</v>
      </c>
      <c r="B811" t="s">
        <v>2532</v>
      </c>
      <c r="C811" t="s">
        <v>183</v>
      </c>
      <c r="D811" t="s">
        <v>1884</v>
      </c>
      <c r="E811" t="s">
        <v>1885</v>
      </c>
      <c r="F811" t="s">
        <v>380</v>
      </c>
      <c r="G811" t="s">
        <v>2526</v>
      </c>
      <c r="H811">
        <v>34.659999999999997</v>
      </c>
      <c r="I811">
        <v>5</v>
      </c>
      <c r="J811" t="s">
        <v>115</v>
      </c>
      <c r="N811" s="14" t="s">
        <v>2533</v>
      </c>
    </row>
    <row r="812" spans="1:14" x14ac:dyDescent="0.3">
      <c r="A812" t="s">
        <v>2534</v>
      </c>
      <c r="B812" t="s">
        <v>2535</v>
      </c>
      <c r="C812" t="s">
        <v>183</v>
      </c>
      <c r="D812" t="s">
        <v>1884</v>
      </c>
      <c r="E812" t="s">
        <v>1885</v>
      </c>
      <c r="F812" t="s">
        <v>380</v>
      </c>
      <c r="G812" t="s">
        <v>2526</v>
      </c>
      <c r="H812">
        <v>24.27</v>
      </c>
      <c r="I812">
        <v>5</v>
      </c>
      <c r="J812" t="s">
        <v>92</v>
      </c>
      <c r="N812" s="14" t="s">
        <v>2536</v>
      </c>
    </row>
    <row r="813" spans="1:14" x14ac:dyDescent="0.3">
      <c r="A813" t="s">
        <v>2537</v>
      </c>
      <c r="B813" t="s">
        <v>2538</v>
      </c>
      <c r="C813" t="s">
        <v>183</v>
      </c>
      <c r="D813" t="s">
        <v>1884</v>
      </c>
      <c r="E813" t="s">
        <v>1885</v>
      </c>
      <c r="F813" t="s">
        <v>380</v>
      </c>
      <c r="G813" t="s">
        <v>2526</v>
      </c>
      <c r="H813">
        <v>22.45</v>
      </c>
      <c r="I813">
        <v>5</v>
      </c>
      <c r="J813" t="s">
        <v>92</v>
      </c>
      <c r="N813" s="14" t="s">
        <v>2539</v>
      </c>
    </row>
    <row r="814" spans="1:14" x14ac:dyDescent="0.3">
      <c r="A814" t="s">
        <v>2540</v>
      </c>
      <c r="B814" t="s">
        <v>2541</v>
      </c>
      <c r="C814" t="s">
        <v>183</v>
      </c>
      <c r="D814" t="s">
        <v>1884</v>
      </c>
      <c r="E814" t="s">
        <v>1885</v>
      </c>
      <c r="F814" t="s">
        <v>380</v>
      </c>
      <c r="G814" t="s">
        <v>2526</v>
      </c>
      <c r="H814">
        <v>474.27</v>
      </c>
      <c r="I814">
        <v>5</v>
      </c>
      <c r="J814" t="s">
        <v>115</v>
      </c>
      <c r="N814" s="14" t="s">
        <v>2542</v>
      </c>
    </row>
    <row r="815" spans="1:14" x14ac:dyDescent="0.3">
      <c r="A815" t="s">
        <v>2543</v>
      </c>
      <c r="B815" t="s">
        <v>2544</v>
      </c>
      <c r="C815" t="s">
        <v>183</v>
      </c>
      <c r="D815" t="s">
        <v>1884</v>
      </c>
      <c r="E815" t="s">
        <v>1885</v>
      </c>
      <c r="F815" t="s">
        <v>380</v>
      </c>
      <c r="H815">
        <v>14.45</v>
      </c>
      <c r="I815">
        <v>0</v>
      </c>
      <c r="J815" t="s">
        <v>115</v>
      </c>
      <c r="N815" s="14" t="s">
        <v>2545</v>
      </c>
    </row>
    <row r="816" spans="1:14" x14ac:dyDescent="0.3">
      <c r="A816" t="s">
        <v>2546</v>
      </c>
      <c r="B816" t="s">
        <v>2547</v>
      </c>
      <c r="C816" t="s">
        <v>183</v>
      </c>
      <c r="D816" t="s">
        <v>1884</v>
      </c>
      <c r="E816" t="s">
        <v>1885</v>
      </c>
      <c r="F816" t="s">
        <v>380</v>
      </c>
      <c r="G816" t="s">
        <v>2526</v>
      </c>
      <c r="H816">
        <v>17.079999999999998</v>
      </c>
      <c r="I816">
        <v>5</v>
      </c>
      <c r="J816" t="s">
        <v>115</v>
      </c>
      <c r="N816" s="14" t="s">
        <v>2548</v>
      </c>
    </row>
    <row r="817" spans="1:14" x14ac:dyDescent="0.3">
      <c r="A817" t="s">
        <v>2549</v>
      </c>
      <c r="B817" t="s">
        <v>2550</v>
      </c>
      <c r="C817" t="s">
        <v>183</v>
      </c>
      <c r="D817" t="s">
        <v>1884</v>
      </c>
      <c r="E817" t="s">
        <v>1885</v>
      </c>
      <c r="F817" t="s">
        <v>380</v>
      </c>
      <c r="G817" t="s">
        <v>2526</v>
      </c>
      <c r="H817">
        <v>27.98</v>
      </c>
      <c r="I817">
        <v>5</v>
      </c>
      <c r="J817" t="s">
        <v>115</v>
      </c>
      <c r="N817" s="14" t="s">
        <v>2551</v>
      </c>
    </row>
    <row r="818" spans="1:14" x14ac:dyDescent="0.3">
      <c r="A818" t="s">
        <v>2552</v>
      </c>
      <c r="B818" t="s">
        <v>2553</v>
      </c>
      <c r="C818" t="s">
        <v>183</v>
      </c>
      <c r="D818" t="s">
        <v>1884</v>
      </c>
      <c r="E818" t="s">
        <v>1885</v>
      </c>
      <c r="F818" t="s">
        <v>380</v>
      </c>
      <c r="H818">
        <v>48.99</v>
      </c>
      <c r="I818">
        <v>0</v>
      </c>
      <c r="J818" t="s">
        <v>115</v>
      </c>
      <c r="N818" s="14" t="s">
        <v>2554</v>
      </c>
    </row>
    <row r="819" spans="1:14" x14ac:dyDescent="0.3">
      <c r="A819" t="s">
        <v>2555</v>
      </c>
      <c r="B819" t="s">
        <v>2556</v>
      </c>
      <c r="C819" t="s">
        <v>183</v>
      </c>
      <c r="D819" t="s">
        <v>1884</v>
      </c>
      <c r="E819" t="s">
        <v>1885</v>
      </c>
      <c r="F819" t="s">
        <v>380</v>
      </c>
      <c r="H819">
        <v>48.51</v>
      </c>
      <c r="I819">
        <v>0</v>
      </c>
      <c r="J819" t="s">
        <v>115</v>
      </c>
      <c r="N819" s="14" t="s">
        <v>2557</v>
      </c>
    </row>
    <row r="820" spans="1:14" x14ac:dyDescent="0.3">
      <c r="A820" t="s">
        <v>2558</v>
      </c>
      <c r="B820" t="s">
        <v>2559</v>
      </c>
      <c r="C820" t="s">
        <v>183</v>
      </c>
      <c r="D820" t="s">
        <v>1884</v>
      </c>
      <c r="E820" t="s">
        <v>1885</v>
      </c>
      <c r="F820" t="s">
        <v>380</v>
      </c>
      <c r="G820" t="s">
        <v>2526</v>
      </c>
      <c r="H820">
        <v>35.299999999999997</v>
      </c>
      <c r="I820">
        <v>5</v>
      </c>
      <c r="J820" t="s">
        <v>115</v>
      </c>
      <c r="N820" s="14" t="s">
        <v>2560</v>
      </c>
    </row>
    <row r="821" spans="1:14" x14ac:dyDescent="0.3">
      <c r="A821" t="s">
        <v>2561</v>
      </c>
      <c r="B821" t="s">
        <v>2562</v>
      </c>
      <c r="C821" t="s">
        <v>137</v>
      </c>
      <c r="D821" t="s">
        <v>2563</v>
      </c>
      <c r="E821" t="s">
        <v>2564</v>
      </c>
      <c r="F821" t="s">
        <v>91</v>
      </c>
      <c r="H821">
        <v>217152</v>
      </c>
      <c r="I821">
        <v>0</v>
      </c>
      <c r="J821" t="s">
        <v>92</v>
      </c>
      <c r="N821" s="14" t="s">
        <v>2565</v>
      </c>
    </row>
    <row r="822" spans="1:14" x14ac:dyDescent="0.3">
      <c r="A822" t="s">
        <v>2566</v>
      </c>
      <c r="B822" t="s">
        <v>2567</v>
      </c>
      <c r="C822" t="s">
        <v>137</v>
      </c>
      <c r="D822" t="s">
        <v>2563</v>
      </c>
      <c r="E822" t="s">
        <v>2564</v>
      </c>
      <c r="F822" t="s">
        <v>91</v>
      </c>
      <c r="H822">
        <v>162864</v>
      </c>
      <c r="I822">
        <v>0</v>
      </c>
      <c r="J822" t="s">
        <v>92</v>
      </c>
      <c r="N822" s="14" t="s">
        <v>2568</v>
      </c>
    </row>
    <row r="823" spans="1:14" x14ac:dyDescent="0.3">
      <c r="A823" t="s">
        <v>2569</v>
      </c>
      <c r="B823" t="s">
        <v>2570</v>
      </c>
      <c r="C823" t="s">
        <v>137</v>
      </c>
      <c r="D823" t="s">
        <v>2563</v>
      </c>
      <c r="E823" t="s">
        <v>2564</v>
      </c>
      <c r="F823" t="s">
        <v>91</v>
      </c>
      <c r="G823" t="s">
        <v>2571</v>
      </c>
      <c r="H823">
        <v>678.6</v>
      </c>
      <c r="I823">
        <v>5</v>
      </c>
      <c r="J823" t="s">
        <v>92</v>
      </c>
      <c r="N823" s="14" t="s">
        <v>2572</v>
      </c>
    </row>
    <row r="824" spans="1:14" x14ac:dyDescent="0.3">
      <c r="A824" t="s">
        <v>2573</v>
      </c>
      <c r="B824" t="s">
        <v>2574</v>
      </c>
      <c r="C824" t="s">
        <v>241</v>
      </c>
      <c r="D824" t="s">
        <v>2563</v>
      </c>
      <c r="E824" t="s">
        <v>2564</v>
      </c>
      <c r="F824" t="s">
        <v>91</v>
      </c>
      <c r="H824">
        <v>393.59</v>
      </c>
      <c r="I824">
        <v>0</v>
      </c>
      <c r="J824" t="s">
        <v>92</v>
      </c>
      <c r="N824" s="14" t="s">
        <v>2575</v>
      </c>
    </row>
    <row r="825" spans="1:14" x14ac:dyDescent="0.3">
      <c r="A825" t="s">
        <v>2576</v>
      </c>
      <c r="B825" t="s">
        <v>2577</v>
      </c>
      <c r="C825" t="s">
        <v>183</v>
      </c>
      <c r="D825" t="s">
        <v>2563</v>
      </c>
      <c r="E825" t="s">
        <v>2564</v>
      </c>
      <c r="F825" t="s">
        <v>91</v>
      </c>
      <c r="G825" t="s">
        <v>2571</v>
      </c>
      <c r="H825">
        <v>1413.71</v>
      </c>
      <c r="I825">
        <v>5</v>
      </c>
      <c r="J825" t="s">
        <v>92</v>
      </c>
      <c r="N825" s="14" t="s">
        <v>2578</v>
      </c>
    </row>
    <row r="826" spans="1:14" x14ac:dyDescent="0.3">
      <c r="A826" t="s">
        <v>2579</v>
      </c>
      <c r="B826" t="s">
        <v>2580</v>
      </c>
      <c r="C826" t="s">
        <v>183</v>
      </c>
      <c r="D826" t="s">
        <v>2563</v>
      </c>
      <c r="E826" t="s">
        <v>2564</v>
      </c>
      <c r="F826" t="s">
        <v>91</v>
      </c>
      <c r="G826" t="s">
        <v>2571</v>
      </c>
      <c r="H826">
        <v>1414.58</v>
      </c>
      <c r="I826">
        <v>5</v>
      </c>
      <c r="J826" t="s">
        <v>92</v>
      </c>
      <c r="N826" s="14" t="s">
        <v>2581</v>
      </c>
    </row>
    <row r="827" spans="1:14" x14ac:dyDescent="0.3">
      <c r="A827" t="s">
        <v>2582</v>
      </c>
      <c r="B827" t="s">
        <v>2583</v>
      </c>
      <c r="C827" t="s">
        <v>183</v>
      </c>
      <c r="D827" t="s">
        <v>2563</v>
      </c>
      <c r="E827" t="s">
        <v>2564</v>
      </c>
      <c r="F827" t="s">
        <v>91</v>
      </c>
      <c r="G827" t="s">
        <v>2571</v>
      </c>
      <c r="H827">
        <v>1415.45</v>
      </c>
      <c r="I827">
        <v>5</v>
      </c>
      <c r="J827" t="s">
        <v>92</v>
      </c>
      <c r="N827" s="14" t="s">
        <v>2584</v>
      </c>
    </row>
    <row r="828" spans="1:14" x14ac:dyDescent="0.3">
      <c r="A828" t="s">
        <v>2585</v>
      </c>
      <c r="B828" t="s">
        <v>2586</v>
      </c>
      <c r="C828" t="s">
        <v>183</v>
      </c>
      <c r="D828" t="s">
        <v>2563</v>
      </c>
      <c r="E828" t="s">
        <v>2564</v>
      </c>
      <c r="F828" t="s">
        <v>91</v>
      </c>
      <c r="G828" t="s">
        <v>2571</v>
      </c>
      <c r="H828">
        <v>1416.32</v>
      </c>
      <c r="I828">
        <v>5</v>
      </c>
      <c r="J828" t="s">
        <v>92</v>
      </c>
      <c r="N828" s="14" t="s">
        <v>2587</v>
      </c>
    </row>
    <row r="829" spans="1:14" x14ac:dyDescent="0.3">
      <c r="A829" t="s">
        <v>2588</v>
      </c>
      <c r="B829" t="s">
        <v>2589</v>
      </c>
      <c r="C829" t="s">
        <v>183</v>
      </c>
      <c r="D829" t="s">
        <v>2563</v>
      </c>
      <c r="E829" t="s">
        <v>2564</v>
      </c>
      <c r="F829" t="s">
        <v>91</v>
      </c>
      <c r="G829" t="s">
        <v>2571</v>
      </c>
      <c r="H829">
        <v>1417.19</v>
      </c>
      <c r="I829">
        <v>5</v>
      </c>
      <c r="J829" t="s">
        <v>92</v>
      </c>
      <c r="N829" s="14" t="s">
        <v>2590</v>
      </c>
    </row>
    <row r="830" spans="1:14" x14ac:dyDescent="0.3">
      <c r="A830" t="s">
        <v>2591</v>
      </c>
      <c r="B830" t="s">
        <v>2592</v>
      </c>
      <c r="C830" t="s">
        <v>183</v>
      </c>
      <c r="D830" t="s">
        <v>2563</v>
      </c>
      <c r="E830" t="s">
        <v>2564</v>
      </c>
      <c r="F830" t="s">
        <v>91</v>
      </c>
      <c r="H830">
        <v>271.44</v>
      </c>
      <c r="I830">
        <v>0</v>
      </c>
      <c r="J830" t="s">
        <v>92</v>
      </c>
      <c r="N830" s="14" t="s">
        <v>2593</v>
      </c>
    </row>
    <row r="831" spans="1:14" x14ac:dyDescent="0.3">
      <c r="A831" t="s">
        <v>2594</v>
      </c>
      <c r="B831" t="s">
        <v>2595</v>
      </c>
      <c r="C831" t="s">
        <v>2596</v>
      </c>
      <c r="D831" t="s">
        <v>2563</v>
      </c>
      <c r="E831" t="s">
        <v>2564</v>
      </c>
      <c r="F831" t="s">
        <v>91</v>
      </c>
      <c r="H831">
        <v>0</v>
      </c>
      <c r="I831">
        <v>0</v>
      </c>
      <c r="J831" t="s">
        <v>92</v>
      </c>
      <c r="N831" s="14" t="s">
        <v>2597</v>
      </c>
    </row>
    <row r="832" spans="1:14" x14ac:dyDescent="0.3">
      <c r="A832" t="s">
        <v>2598</v>
      </c>
      <c r="B832" t="s">
        <v>2599</v>
      </c>
      <c r="C832" t="s">
        <v>2600</v>
      </c>
      <c r="D832" t="s">
        <v>2563</v>
      </c>
      <c r="E832" t="s">
        <v>2564</v>
      </c>
      <c r="F832" t="s">
        <v>91</v>
      </c>
      <c r="H832">
        <v>0</v>
      </c>
      <c r="I832">
        <v>0</v>
      </c>
      <c r="J832" t="s">
        <v>92</v>
      </c>
      <c r="N832" s="14" t="s">
        <v>2601</v>
      </c>
    </row>
    <row r="833" spans="1:14" x14ac:dyDescent="0.3">
      <c r="A833" t="s">
        <v>2602</v>
      </c>
      <c r="B833" t="s">
        <v>2603</v>
      </c>
      <c r="C833" t="s">
        <v>2604</v>
      </c>
      <c r="D833" t="s">
        <v>2605</v>
      </c>
      <c r="E833" t="s">
        <v>2606</v>
      </c>
      <c r="F833" t="s">
        <v>91</v>
      </c>
      <c r="H833">
        <v>0</v>
      </c>
      <c r="I833">
        <v>0</v>
      </c>
      <c r="J833" t="s">
        <v>92</v>
      </c>
      <c r="K833" t="s">
        <v>2607</v>
      </c>
      <c r="N833" s="14" t="s">
        <v>2608</v>
      </c>
    </row>
    <row r="834" spans="1:14" x14ac:dyDescent="0.3">
      <c r="A834" t="s">
        <v>2609</v>
      </c>
      <c r="B834" t="s">
        <v>2610</v>
      </c>
      <c r="C834" t="s">
        <v>2604</v>
      </c>
      <c r="D834" t="s">
        <v>2605</v>
      </c>
      <c r="E834" t="s">
        <v>2606</v>
      </c>
      <c r="F834" t="s">
        <v>91</v>
      </c>
      <c r="H834">
        <v>0</v>
      </c>
      <c r="I834">
        <v>0</v>
      </c>
      <c r="J834" t="s">
        <v>92</v>
      </c>
      <c r="K834" t="s">
        <v>2607</v>
      </c>
      <c r="N834" s="14" t="s">
        <v>2611</v>
      </c>
    </row>
    <row r="835" spans="1:14" x14ac:dyDescent="0.3">
      <c r="A835" t="s">
        <v>2612</v>
      </c>
      <c r="B835" t="s">
        <v>2613</v>
      </c>
      <c r="C835" t="s">
        <v>2604</v>
      </c>
      <c r="D835" t="s">
        <v>2605</v>
      </c>
      <c r="E835" t="s">
        <v>2606</v>
      </c>
      <c r="F835" t="s">
        <v>254</v>
      </c>
      <c r="H835">
        <v>0</v>
      </c>
      <c r="I835">
        <v>0</v>
      </c>
      <c r="J835" t="s">
        <v>92</v>
      </c>
      <c r="K835" t="s">
        <v>2607</v>
      </c>
      <c r="N835" s="14" t="s">
        <v>2614</v>
      </c>
    </row>
    <row r="836" spans="1:14" x14ac:dyDescent="0.3">
      <c r="A836" t="s">
        <v>2615</v>
      </c>
      <c r="B836" t="s">
        <v>2616</v>
      </c>
      <c r="C836" t="s">
        <v>2604</v>
      </c>
      <c r="D836" t="s">
        <v>2605</v>
      </c>
      <c r="E836" t="s">
        <v>2606</v>
      </c>
      <c r="F836" t="s">
        <v>254</v>
      </c>
      <c r="H836">
        <v>0</v>
      </c>
      <c r="I836">
        <v>0</v>
      </c>
      <c r="J836" t="s">
        <v>92</v>
      </c>
      <c r="K836" t="s">
        <v>2607</v>
      </c>
      <c r="N836" s="14" t="s">
        <v>2617</v>
      </c>
    </row>
    <row r="837" spans="1:14" x14ac:dyDescent="0.3">
      <c r="A837" t="s">
        <v>2618</v>
      </c>
      <c r="B837" t="s">
        <v>2619</v>
      </c>
      <c r="C837" t="s">
        <v>2604</v>
      </c>
      <c r="D837" t="s">
        <v>2605</v>
      </c>
      <c r="E837" t="s">
        <v>2606</v>
      </c>
      <c r="F837" t="s">
        <v>254</v>
      </c>
      <c r="H837">
        <v>0</v>
      </c>
      <c r="I837">
        <v>0</v>
      </c>
      <c r="J837" t="s">
        <v>92</v>
      </c>
      <c r="K837" t="s">
        <v>2607</v>
      </c>
      <c r="N837" s="14" t="s">
        <v>2620</v>
      </c>
    </row>
    <row r="838" spans="1:14" x14ac:dyDescent="0.3">
      <c r="A838" t="s">
        <v>2621</v>
      </c>
      <c r="B838" t="s">
        <v>2622</v>
      </c>
      <c r="C838" t="s">
        <v>2604</v>
      </c>
      <c r="D838" t="s">
        <v>2605</v>
      </c>
      <c r="E838" t="s">
        <v>2606</v>
      </c>
      <c r="F838" t="s">
        <v>254</v>
      </c>
      <c r="H838">
        <v>0</v>
      </c>
      <c r="I838">
        <v>0</v>
      </c>
      <c r="J838" t="s">
        <v>92</v>
      </c>
      <c r="K838" t="s">
        <v>2607</v>
      </c>
      <c r="N838" s="14" t="s">
        <v>2623</v>
      </c>
    </row>
    <row r="839" spans="1:14" x14ac:dyDescent="0.3">
      <c r="A839" t="s">
        <v>2624</v>
      </c>
      <c r="B839" t="s">
        <v>2625</v>
      </c>
      <c r="C839" t="s">
        <v>2604</v>
      </c>
      <c r="D839" t="s">
        <v>2605</v>
      </c>
      <c r="E839" t="s">
        <v>2606</v>
      </c>
      <c r="F839" t="s">
        <v>303</v>
      </c>
      <c r="H839">
        <v>0</v>
      </c>
      <c r="I839">
        <v>0</v>
      </c>
      <c r="J839" t="s">
        <v>92</v>
      </c>
      <c r="K839" t="s">
        <v>2607</v>
      </c>
      <c r="N839" s="14" t="s">
        <v>2626</v>
      </c>
    </row>
    <row r="840" spans="1:14" x14ac:dyDescent="0.3">
      <c r="A840" t="s">
        <v>2627</v>
      </c>
      <c r="B840" t="s">
        <v>2628</v>
      </c>
      <c r="C840" t="s">
        <v>241</v>
      </c>
      <c r="D840" t="s">
        <v>2605</v>
      </c>
      <c r="E840" t="s">
        <v>2606</v>
      </c>
      <c r="F840" t="s">
        <v>303</v>
      </c>
      <c r="H840">
        <v>0</v>
      </c>
      <c r="I840">
        <v>0</v>
      </c>
      <c r="J840" t="s">
        <v>115</v>
      </c>
      <c r="K840" t="s">
        <v>2629</v>
      </c>
      <c r="N840" s="14" t="s">
        <v>2630</v>
      </c>
    </row>
    <row r="841" spans="1:14" x14ac:dyDescent="0.3">
      <c r="A841" t="s">
        <v>2631</v>
      </c>
      <c r="B841" t="s">
        <v>2632</v>
      </c>
      <c r="C841" t="s">
        <v>2604</v>
      </c>
      <c r="D841" t="s">
        <v>2605</v>
      </c>
      <c r="E841" t="s">
        <v>2606</v>
      </c>
      <c r="F841" t="s">
        <v>487</v>
      </c>
      <c r="H841">
        <v>0</v>
      </c>
      <c r="I841">
        <v>0</v>
      </c>
      <c r="J841" t="s">
        <v>92</v>
      </c>
      <c r="K841" t="s">
        <v>2633</v>
      </c>
      <c r="N841" s="14" t="s">
        <v>2634</v>
      </c>
    </row>
    <row r="842" spans="1:14" x14ac:dyDescent="0.3">
      <c r="A842" t="s">
        <v>2635</v>
      </c>
      <c r="B842" t="s">
        <v>2636</v>
      </c>
      <c r="C842" t="s">
        <v>2604</v>
      </c>
      <c r="D842" t="s">
        <v>2637</v>
      </c>
      <c r="E842" t="s">
        <v>2638</v>
      </c>
      <c r="F842" t="s">
        <v>91</v>
      </c>
      <c r="H842">
        <v>0</v>
      </c>
      <c r="I842">
        <v>0</v>
      </c>
      <c r="J842" t="s">
        <v>115</v>
      </c>
      <c r="K842" t="s">
        <v>2639</v>
      </c>
      <c r="N842" s="14" t="s">
        <v>2640</v>
      </c>
    </row>
    <row r="843" spans="1:14" x14ac:dyDescent="0.3">
      <c r="A843" t="s">
        <v>2641</v>
      </c>
      <c r="B843" t="s">
        <v>2642</v>
      </c>
      <c r="C843" t="s">
        <v>2604</v>
      </c>
      <c r="D843" t="s">
        <v>2637</v>
      </c>
      <c r="E843" t="s">
        <v>2638</v>
      </c>
      <c r="F843" t="s">
        <v>91</v>
      </c>
      <c r="H843">
        <v>0</v>
      </c>
      <c r="I843">
        <v>0</v>
      </c>
      <c r="J843" t="s">
        <v>115</v>
      </c>
      <c r="K843" t="s">
        <v>2639</v>
      </c>
      <c r="N843" s="14" t="s">
        <v>2643</v>
      </c>
    </row>
    <row r="844" spans="1:14" x14ac:dyDescent="0.3">
      <c r="A844" t="s">
        <v>2644</v>
      </c>
      <c r="B844" t="s">
        <v>2645</v>
      </c>
      <c r="C844" t="s">
        <v>241</v>
      </c>
      <c r="D844" t="s">
        <v>2637</v>
      </c>
      <c r="E844" t="s">
        <v>2638</v>
      </c>
      <c r="F844" t="s">
        <v>91</v>
      </c>
      <c r="H844">
        <v>0</v>
      </c>
      <c r="I844">
        <v>0</v>
      </c>
      <c r="J844" t="s">
        <v>115</v>
      </c>
      <c r="K844" t="s">
        <v>2639</v>
      </c>
      <c r="N844" s="14" t="s">
        <v>2646</v>
      </c>
    </row>
    <row r="845" spans="1:14" x14ac:dyDescent="0.3">
      <c r="A845" t="s">
        <v>2647</v>
      </c>
      <c r="B845" t="s">
        <v>2648</v>
      </c>
      <c r="C845" t="s">
        <v>2649</v>
      </c>
      <c r="D845" t="s">
        <v>2637</v>
      </c>
      <c r="E845" t="s">
        <v>2638</v>
      </c>
      <c r="F845" t="s">
        <v>91</v>
      </c>
      <c r="H845">
        <v>0</v>
      </c>
      <c r="I845">
        <v>0</v>
      </c>
      <c r="J845" t="s">
        <v>115</v>
      </c>
      <c r="K845" t="s">
        <v>2650</v>
      </c>
      <c r="N845" s="14" t="s">
        <v>2651</v>
      </c>
    </row>
    <row r="846" spans="1:14" x14ac:dyDescent="0.3">
      <c r="A846" t="s">
        <v>2652</v>
      </c>
      <c r="B846" t="s">
        <v>2653</v>
      </c>
      <c r="C846" t="s">
        <v>2649</v>
      </c>
      <c r="D846" t="s">
        <v>2637</v>
      </c>
      <c r="E846" t="s">
        <v>2638</v>
      </c>
      <c r="F846" t="s">
        <v>91</v>
      </c>
      <c r="H846">
        <v>0</v>
      </c>
      <c r="I846">
        <v>0</v>
      </c>
      <c r="J846" t="s">
        <v>115</v>
      </c>
      <c r="K846" t="s">
        <v>2654</v>
      </c>
      <c r="N846" s="14" t="s">
        <v>2655</v>
      </c>
    </row>
    <row r="847" spans="1:14" x14ac:dyDescent="0.3">
      <c r="A847" t="s">
        <v>2656</v>
      </c>
      <c r="B847" t="s">
        <v>2657</v>
      </c>
      <c r="C847" t="s">
        <v>2604</v>
      </c>
      <c r="D847" t="s">
        <v>2637</v>
      </c>
      <c r="E847" t="s">
        <v>2638</v>
      </c>
      <c r="F847" t="s">
        <v>91</v>
      </c>
      <c r="H847">
        <v>0</v>
      </c>
      <c r="I847">
        <v>0</v>
      </c>
      <c r="J847" t="s">
        <v>115</v>
      </c>
      <c r="K847" t="s">
        <v>2658</v>
      </c>
      <c r="N847" s="14" t="s">
        <v>2659</v>
      </c>
    </row>
    <row r="848" spans="1:14" x14ac:dyDescent="0.3">
      <c r="A848" t="s">
        <v>2660</v>
      </c>
      <c r="B848" t="s">
        <v>2661</v>
      </c>
      <c r="C848" t="s">
        <v>2604</v>
      </c>
      <c r="D848" t="s">
        <v>2637</v>
      </c>
      <c r="E848" t="s">
        <v>2638</v>
      </c>
      <c r="F848" t="s">
        <v>254</v>
      </c>
      <c r="H848">
        <v>0</v>
      </c>
      <c r="I848">
        <v>0</v>
      </c>
      <c r="J848" t="s">
        <v>115</v>
      </c>
      <c r="K848" t="s">
        <v>2639</v>
      </c>
      <c r="N848" s="14" t="s">
        <v>2662</v>
      </c>
    </row>
    <row r="849" spans="1:14" x14ac:dyDescent="0.3">
      <c r="A849" t="s">
        <v>2663</v>
      </c>
      <c r="B849" t="s">
        <v>1864</v>
      </c>
      <c r="C849" t="s">
        <v>2604</v>
      </c>
      <c r="D849" t="s">
        <v>2637</v>
      </c>
      <c r="E849" t="s">
        <v>2638</v>
      </c>
      <c r="F849" t="s">
        <v>254</v>
      </c>
      <c r="H849">
        <v>0</v>
      </c>
      <c r="I849">
        <v>0</v>
      </c>
      <c r="J849" t="s">
        <v>115</v>
      </c>
      <c r="K849" t="s">
        <v>2639</v>
      </c>
      <c r="N849" s="14" t="s">
        <v>2664</v>
      </c>
    </row>
    <row r="850" spans="1:14" x14ac:dyDescent="0.3">
      <c r="A850" t="s">
        <v>2665</v>
      </c>
      <c r="B850" t="s">
        <v>2666</v>
      </c>
      <c r="C850" t="s">
        <v>2604</v>
      </c>
      <c r="D850" t="s">
        <v>2637</v>
      </c>
      <c r="E850" t="s">
        <v>2638</v>
      </c>
      <c r="F850" t="s">
        <v>254</v>
      </c>
      <c r="H850">
        <v>0</v>
      </c>
      <c r="I850">
        <v>0</v>
      </c>
      <c r="J850" t="s">
        <v>115</v>
      </c>
      <c r="K850" t="s">
        <v>2639</v>
      </c>
      <c r="N850" s="14" t="s">
        <v>2667</v>
      </c>
    </row>
    <row r="851" spans="1:14" x14ac:dyDescent="0.3">
      <c r="A851" t="s">
        <v>2668</v>
      </c>
      <c r="B851" t="s">
        <v>2669</v>
      </c>
      <c r="C851" t="s">
        <v>2604</v>
      </c>
      <c r="D851" t="s">
        <v>2637</v>
      </c>
      <c r="E851" t="s">
        <v>2638</v>
      </c>
      <c r="F851" t="s">
        <v>254</v>
      </c>
      <c r="H851">
        <v>0</v>
      </c>
      <c r="I851">
        <v>0</v>
      </c>
      <c r="J851" t="s">
        <v>115</v>
      </c>
      <c r="K851" t="s">
        <v>2639</v>
      </c>
      <c r="N851" s="14" t="s">
        <v>2670</v>
      </c>
    </row>
    <row r="852" spans="1:14" x14ac:dyDescent="0.3">
      <c r="A852" t="s">
        <v>2671</v>
      </c>
      <c r="B852" t="s">
        <v>2672</v>
      </c>
      <c r="C852" t="s">
        <v>2604</v>
      </c>
      <c r="D852" t="s">
        <v>2637</v>
      </c>
      <c r="E852" t="s">
        <v>2638</v>
      </c>
      <c r="F852" t="s">
        <v>254</v>
      </c>
      <c r="H852">
        <v>0</v>
      </c>
      <c r="I852">
        <v>0</v>
      </c>
      <c r="J852" t="s">
        <v>92</v>
      </c>
      <c r="K852" t="s">
        <v>2639</v>
      </c>
      <c r="N852" s="14" t="s">
        <v>2673</v>
      </c>
    </row>
    <row r="853" spans="1:14" x14ac:dyDescent="0.3">
      <c r="A853" t="s">
        <v>2674</v>
      </c>
      <c r="B853" t="s">
        <v>2675</v>
      </c>
      <c r="C853" t="s">
        <v>2604</v>
      </c>
      <c r="D853" t="s">
        <v>2637</v>
      </c>
      <c r="E853" t="s">
        <v>2638</v>
      </c>
      <c r="F853" t="s">
        <v>303</v>
      </c>
      <c r="H853">
        <v>0</v>
      </c>
      <c r="I853">
        <v>0</v>
      </c>
      <c r="J853" t="s">
        <v>115</v>
      </c>
      <c r="K853" t="s">
        <v>2676</v>
      </c>
      <c r="N853" s="14" t="s">
        <v>2677</v>
      </c>
    </row>
    <row r="854" spans="1:14" x14ac:dyDescent="0.3">
      <c r="A854" t="s">
        <v>2678</v>
      </c>
      <c r="B854" t="s">
        <v>2679</v>
      </c>
      <c r="C854" t="s">
        <v>2604</v>
      </c>
      <c r="D854" t="s">
        <v>2637</v>
      </c>
      <c r="E854" t="s">
        <v>2638</v>
      </c>
      <c r="F854" t="s">
        <v>303</v>
      </c>
      <c r="H854">
        <v>0</v>
      </c>
      <c r="I854">
        <v>0</v>
      </c>
      <c r="J854" t="s">
        <v>115</v>
      </c>
      <c r="K854" t="s">
        <v>2639</v>
      </c>
      <c r="N854" s="14" t="s">
        <v>2680</v>
      </c>
    </row>
    <row r="855" spans="1:14" x14ac:dyDescent="0.3">
      <c r="A855" t="s">
        <v>2681</v>
      </c>
      <c r="B855" t="s">
        <v>2682</v>
      </c>
      <c r="C855" t="s">
        <v>88</v>
      </c>
      <c r="D855" t="s">
        <v>2637</v>
      </c>
      <c r="E855" t="s">
        <v>2638</v>
      </c>
      <c r="F855" t="s">
        <v>303</v>
      </c>
      <c r="H855">
        <v>0</v>
      </c>
      <c r="I855">
        <v>0</v>
      </c>
      <c r="J855" t="s">
        <v>115</v>
      </c>
      <c r="K855" t="s">
        <v>2639</v>
      </c>
      <c r="N855" s="14" t="s">
        <v>2683</v>
      </c>
    </row>
    <row r="856" spans="1:14" x14ac:dyDescent="0.3">
      <c r="A856" t="s">
        <v>2684</v>
      </c>
      <c r="B856" t="s">
        <v>2685</v>
      </c>
      <c r="C856" t="s">
        <v>88</v>
      </c>
      <c r="D856" t="s">
        <v>2637</v>
      </c>
      <c r="E856" t="s">
        <v>2638</v>
      </c>
      <c r="F856" t="s">
        <v>355</v>
      </c>
      <c r="H856">
        <v>0</v>
      </c>
      <c r="I856">
        <v>0</v>
      </c>
      <c r="J856" t="s">
        <v>115</v>
      </c>
      <c r="K856" t="s">
        <v>2686</v>
      </c>
      <c r="N856" s="14" t="s">
        <v>2687</v>
      </c>
    </row>
    <row r="857" spans="1:14" x14ac:dyDescent="0.3">
      <c r="A857" t="s">
        <v>2688</v>
      </c>
      <c r="B857" t="s">
        <v>2689</v>
      </c>
      <c r="C857" t="s">
        <v>237</v>
      </c>
      <c r="D857" t="s">
        <v>2637</v>
      </c>
      <c r="E857" t="s">
        <v>2638</v>
      </c>
      <c r="F857" t="s">
        <v>355</v>
      </c>
      <c r="H857">
        <v>0</v>
      </c>
      <c r="I857">
        <v>0</v>
      </c>
      <c r="J857" t="s">
        <v>115</v>
      </c>
      <c r="K857" t="s">
        <v>2639</v>
      </c>
      <c r="N857" s="14" t="s">
        <v>2690</v>
      </c>
    </row>
    <row r="858" spans="1:14" x14ac:dyDescent="0.3">
      <c r="A858" t="s">
        <v>2691</v>
      </c>
      <c r="B858" t="s">
        <v>2692</v>
      </c>
      <c r="C858" t="s">
        <v>2596</v>
      </c>
      <c r="D858" t="s">
        <v>2637</v>
      </c>
      <c r="E858" t="s">
        <v>2638</v>
      </c>
      <c r="F858" t="s">
        <v>380</v>
      </c>
      <c r="H858">
        <v>0</v>
      </c>
      <c r="I858">
        <v>0</v>
      </c>
      <c r="J858" t="s">
        <v>92</v>
      </c>
      <c r="K858" t="s">
        <v>2693</v>
      </c>
      <c r="N858" s="14" t="s">
        <v>2694</v>
      </c>
    </row>
  </sheetData>
  <autoFilter ref="A1:N85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M201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56" customWidth="1"/>
    <col min="3" max="3" width="16" customWidth="1"/>
    <col min="4" max="4" width="18" customWidth="1"/>
    <col min="5" max="5" width="20" customWidth="1"/>
    <col min="6" max="6" width="8" customWidth="1"/>
    <col min="7" max="7" width="16" customWidth="1"/>
    <col min="8" max="8" width="14" customWidth="1"/>
    <col min="9" max="9" width="8" customWidth="1"/>
    <col min="10" max="10" width="30" customWidth="1"/>
    <col min="11" max="11" width="14" customWidth="1"/>
    <col min="12" max="12" width="30" customWidth="1"/>
    <col min="13" max="13" width="60" customWidth="1"/>
  </cols>
  <sheetData>
    <row r="1" spans="1:13" ht="28.8" x14ac:dyDescent="0.3">
      <c r="A1" s="3" t="s">
        <v>2695</v>
      </c>
      <c r="B1" s="3" t="s">
        <v>2696</v>
      </c>
      <c r="C1" s="3" t="s">
        <v>2697</v>
      </c>
      <c r="D1" s="3" t="s">
        <v>2698</v>
      </c>
      <c r="E1" s="3" t="s">
        <v>2699</v>
      </c>
      <c r="F1" s="3" t="s">
        <v>75</v>
      </c>
      <c r="G1" s="3" t="s">
        <v>78</v>
      </c>
      <c r="H1" s="3" t="s">
        <v>2700</v>
      </c>
      <c r="I1" s="3" t="s">
        <v>2701</v>
      </c>
      <c r="J1" s="3" t="s">
        <v>82</v>
      </c>
      <c r="K1" s="3" t="s">
        <v>83</v>
      </c>
      <c r="L1" s="3" t="s">
        <v>84</v>
      </c>
      <c r="M1" s="3" t="s">
        <v>2702</v>
      </c>
    </row>
    <row r="2" spans="1:13" x14ac:dyDescent="0.3">
      <c r="A2" t="s">
        <v>2703</v>
      </c>
      <c r="B2" t="s">
        <v>2704</v>
      </c>
      <c r="C2" t="s">
        <v>2705</v>
      </c>
      <c r="D2" t="s">
        <v>2706</v>
      </c>
      <c r="E2" t="s">
        <v>2707</v>
      </c>
      <c r="F2" t="s">
        <v>950</v>
      </c>
      <c r="G2" t="s">
        <v>1832</v>
      </c>
      <c r="H2">
        <v>1791.3</v>
      </c>
      <c r="I2" t="s">
        <v>2708</v>
      </c>
      <c r="M2" s="14" t="s">
        <v>2709</v>
      </c>
    </row>
    <row r="3" spans="1:13" x14ac:dyDescent="0.3">
      <c r="A3" t="s">
        <v>2710</v>
      </c>
      <c r="B3" t="s">
        <v>2711</v>
      </c>
      <c r="C3" t="s">
        <v>2712</v>
      </c>
      <c r="D3" t="s">
        <v>2706</v>
      </c>
      <c r="E3" t="s">
        <v>2707</v>
      </c>
      <c r="F3" t="s">
        <v>950</v>
      </c>
      <c r="G3" t="s">
        <v>1832</v>
      </c>
      <c r="H3">
        <v>294</v>
      </c>
      <c r="I3" t="s">
        <v>2708</v>
      </c>
      <c r="M3" s="14" t="s">
        <v>2713</v>
      </c>
    </row>
    <row r="4" spans="1:13" x14ac:dyDescent="0.3">
      <c r="A4" t="s">
        <v>2714</v>
      </c>
      <c r="B4" t="s">
        <v>2715</v>
      </c>
      <c r="D4" t="s">
        <v>2716</v>
      </c>
      <c r="E4" t="s">
        <v>2717</v>
      </c>
      <c r="F4" t="s">
        <v>950</v>
      </c>
      <c r="G4" t="s">
        <v>1832</v>
      </c>
      <c r="H4">
        <v>1014.13</v>
      </c>
      <c r="I4" t="s">
        <v>2708</v>
      </c>
      <c r="J4" t="s">
        <v>2718</v>
      </c>
      <c r="M4" s="14" t="s">
        <v>2719</v>
      </c>
    </row>
    <row r="5" spans="1:13" x14ac:dyDescent="0.3">
      <c r="A5" t="s">
        <v>2720</v>
      </c>
      <c r="B5" t="s">
        <v>2721</v>
      </c>
      <c r="D5" t="s">
        <v>2716</v>
      </c>
      <c r="E5" t="s">
        <v>2717</v>
      </c>
      <c r="F5" t="s">
        <v>950</v>
      </c>
      <c r="G5" t="s">
        <v>1832</v>
      </c>
      <c r="H5">
        <v>1135.82</v>
      </c>
      <c r="I5" t="s">
        <v>2708</v>
      </c>
      <c r="J5" t="s">
        <v>2718</v>
      </c>
      <c r="M5" s="14" t="s">
        <v>2722</v>
      </c>
    </row>
    <row r="6" spans="1:13" x14ac:dyDescent="0.3">
      <c r="A6" t="s">
        <v>2723</v>
      </c>
      <c r="B6" t="s">
        <v>2724</v>
      </c>
      <c r="D6" t="s">
        <v>2716</v>
      </c>
      <c r="E6" t="s">
        <v>2717</v>
      </c>
      <c r="F6" t="s">
        <v>950</v>
      </c>
      <c r="G6" t="s">
        <v>1832</v>
      </c>
      <c r="H6">
        <v>1182.3599999999999</v>
      </c>
      <c r="I6" t="s">
        <v>2708</v>
      </c>
      <c r="J6" t="s">
        <v>2725</v>
      </c>
      <c r="M6" s="14" t="s">
        <v>2726</v>
      </c>
    </row>
    <row r="7" spans="1:13" x14ac:dyDescent="0.3">
      <c r="A7" t="s">
        <v>2727</v>
      </c>
      <c r="B7" t="s">
        <v>2728</v>
      </c>
      <c r="D7" t="s">
        <v>2716</v>
      </c>
      <c r="E7" t="s">
        <v>2717</v>
      </c>
      <c r="F7" t="s">
        <v>950</v>
      </c>
      <c r="G7" t="s">
        <v>1832</v>
      </c>
      <c r="H7">
        <v>1166.1400000000001</v>
      </c>
      <c r="I7" t="s">
        <v>2708</v>
      </c>
      <c r="J7" t="s">
        <v>2725</v>
      </c>
      <c r="M7" s="14" t="s">
        <v>2729</v>
      </c>
    </row>
    <row r="8" spans="1:13" x14ac:dyDescent="0.3">
      <c r="A8" t="s">
        <v>2730</v>
      </c>
      <c r="B8" t="s">
        <v>2731</v>
      </c>
      <c r="D8" t="s">
        <v>2716</v>
      </c>
      <c r="E8" t="s">
        <v>2717</v>
      </c>
      <c r="F8" t="s">
        <v>950</v>
      </c>
      <c r="G8" t="s">
        <v>1832</v>
      </c>
      <c r="H8">
        <v>877.49</v>
      </c>
      <c r="I8" t="s">
        <v>2708</v>
      </c>
      <c r="J8" t="s">
        <v>2725</v>
      </c>
      <c r="M8" s="14" t="s">
        <v>2732</v>
      </c>
    </row>
    <row r="9" spans="1:13" x14ac:dyDescent="0.3">
      <c r="A9" t="s">
        <v>2733</v>
      </c>
      <c r="B9" t="s">
        <v>2734</v>
      </c>
      <c r="D9" t="s">
        <v>2716</v>
      </c>
      <c r="E9" t="s">
        <v>2717</v>
      </c>
      <c r="F9" t="s">
        <v>950</v>
      </c>
      <c r="G9" t="s">
        <v>1832</v>
      </c>
      <c r="H9">
        <v>802.76</v>
      </c>
      <c r="I9" t="s">
        <v>2708</v>
      </c>
      <c r="J9" t="s">
        <v>2725</v>
      </c>
      <c r="M9" s="14" t="s">
        <v>2735</v>
      </c>
    </row>
    <row r="10" spans="1:13" x14ac:dyDescent="0.3">
      <c r="A10" t="s">
        <v>2736</v>
      </c>
      <c r="B10" t="s">
        <v>2737</v>
      </c>
      <c r="D10" t="s">
        <v>2716</v>
      </c>
      <c r="E10" t="s">
        <v>2717</v>
      </c>
      <c r="F10" t="s">
        <v>950</v>
      </c>
      <c r="G10" t="s">
        <v>1832</v>
      </c>
      <c r="H10">
        <v>1099.95</v>
      </c>
      <c r="I10" t="s">
        <v>2708</v>
      </c>
      <c r="J10" t="s">
        <v>2725</v>
      </c>
      <c r="M10" s="14" t="s">
        <v>2738</v>
      </c>
    </row>
    <row r="11" spans="1:13" x14ac:dyDescent="0.3">
      <c r="A11" t="s">
        <v>2739</v>
      </c>
      <c r="B11" t="s">
        <v>2740</v>
      </c>
      <c r="D11" t="s">
        <v>2716</v>
      </c>
      <c r="E11" t="s">
        <v>2717</v>
      </c>
      <c r="F11" t="s">
        <v>950</v>
      </c>
      <c r="G11" t="s">
        <v>1832</v>
      </c>
      <c r="H11">
        <v>1221.22</v>
      </c>
      <c r="I11" t="s">
        <v>2708</v>
      </c>
      <c r="J11" t="s">
        <v>2741</v>
      </c>
      <c r="M11" s="14" t="s">
        <v>2742</v>
      </c>
    </row>
    <row r="12" spans="1:13" x14ac:dyDescent="0.3">
      <c r="A12" t="s">
        <v>2743</v>
      </c>
      <c r="B12" t="s">
        <v>2744</v>
      </c>
      <c r="D12" t="s">
        <v>2716</v>
      </c>
      <c r="E12" t="s">
        <v>2717</v>
      </c>
      <c r="F12" t="s">
        <v>950</v>
      </c>
      <c r="G12" t="s">
        <v>1832</v>
      </c>
      <c r="H12">
        <v>821.12</v>
      </c>
      <c r="I12" t="s">
        <v>2708</v>
      </c>
      <c r="J12" t="s">
        <v>2741</v>
      </c>
      <c r="M12" s="14" t="s">
        <v>2745</v>
      </c>
    </row>
    <row r="13" spans="1:13" x14ac:dyDescent="0.3">
      <c r="A13" t="s">
        <v>2746</v>
      </c>
      <c r="B13" t="s">
        <v>2747</v>
      </c>
      <c r="D13" t="s">
        <v>2716</v>
      </c>
      <c r="E13" t="s">
        <v>2717</v>
      </c>
      <c r="F13" t="s">
        <v>950</v>
      </c>
      <c r="G13" t="s">
        <v>1832</v>
      </c>
      <c r="H13">
        <v>1133.26</v>
      </c>
      <c r="I13" t="s">
        <v>2708</v>
      </c>
      <c r="J13" t="s">
        <v>2741</v>
      </c>
      <c r="M13" s="14" t="s">
        <v>2748</v>
      </c>
    </row>
    <row r="14" spans="1:13" x14ac:dyDescent="0.3">
      <c r="A14" t="s">
        <v>2749</v>
      </c>
      <c r="B14" t="s">
        <v>2750</v>
      </c>
      <c r="D14" t="s">
        <v>2716</v>
      </c>
      <c r="E14" t="s">
        <v>2717</v>
      </c>
      <c r="F14" t="s">
        <v>950</v>
      </c>
      <c r="G14" t="s">
        <v>1832</v>
      </c>
      <c r="H14">
        <v>1228.9100000000001</v>
      </c>
      <c r="I14" t="s">
        <v>2708</v>
      </c>
      <c r="J14" t="s">
        <v>2751</v>
      </c>
      <c r="M14" s="14" t="s">
        <v>2752</v>
      </c>
    </row>
    <row r="15" spans="1:13" x14ac:dyDescent="0.3">
      <c r="A15" t="s">
        <v>2753</v>
      </c>
      <c r="B15" t="s">
        <v>2754</v>
      </c>
      <c r="D15" t="s">
        <v>2716</v>
      </c>
      <c r="E15" t="s">
        <v>2717</v>
      </c>
      <c r="F15" t="s">
        <v>950</v>
      </c>
      <c r="G15" t="s">
        <v>1832</v>
      </c>
      <c r="H15">
        <v>1233.5999999999999</v>
      </c>
      <c r="I15" t="s">
        <v>2708</v>
      </c>
      <c r="J15" t="s">
        <v>2751</v>
      </c>
      <c r="M15" s="14" t="s">
        <v>2755</v>
      </c>
    </row>
    <row r="16" spans="1:13" x14ac:dyDescent="0.3">
      <c r="A16" t="s">
        <v>2756</v>
      </c>
      <c r="B16" t="s">
        <v>2757</v>
      </c>
      <c r="D16" t="s">
        <v>2716</v>
      </c>
      <c r="E16" t="s">
        <v>2717</v>
      </c>
      <c r="F16" t="s">
        <v>950</v>
      </c>
      <c r="G16" t="s">
        <v>1832</v>
      </c>
      <c r="H16">
        <v>825.82</v>
      </c>
      <c r="I16" t="s">
        <v>2708</v>
      </c>
      <c r="J16" t="s">
        <v>2751</v>
      </c>
      <c r="M16" s="14" t="s">
        <v>2758</v>
      </c>
    </row>
    <row r="17" spans="1:13" x14ac:dyDescent="0.3">
      <c r="A17" t="s">
        <v>2759</v>
      </c>
      <c r="B17" t="s">
        <v>2760</v>
      </c>
      <c r="D17" t="s">
        <v>2716</v>
      </c>
      <c r="E17" t="s">
        <v>2717</v>
      </c>
      <c r="F17" t="s">
        <v>950</v>
      </c>
      <c r="G17" t="s">
        <v>1832</v>
      </c>
      <c r="H17">
        <v>1181.08</v>
      </c>
      <c r="I17" t="s">
        <v>2708</v>
      </c>
      <c r="J17" t="s">
        <v>2751</v>
      </c>
      <c r="M17" s="14" t="s">
        <v>2761</v>
      </c>
    </row>
    <row r="18" spans="1:13" x14ac:dyDescent="0.3">
      <c r="A18" t="s">
        <v>2762</v>
      </c>
      <c r="B18" t="s">
        <v>2763</v>
      </c>
      <c r="D18" t="s">
        <v>2716</v>
      </c>
      <c r="E18" t="s">
        <v>2717</v>
      </c>
      <c r="F18" t="s">
        <v>950</v>
      </c>
      <c r="G18" t="s">
        <v>1832</v>
      </c>
      <c r="H18">
        <v>1066.22</v>
      </c>
      <c r="I18" t="s">
        <v>2708</v>
      </c>
      <c r="J18" t="s">
        <v>2751</v>
      </c>
      <c r="M18" s="14" t="s">
        <v>2764</v>
      </c>
    </row>
    <row r="19" spans="1:13" x14ac:dyDescent="0.3">
      <c r="A19" t="s">
        <v>2765</v>
      </c>
      <c r="B19" t="s">
        <v>2766</v>
      </c>
      <c r="D19" t="s">
        <v>2716</v>
      </c>
      <c r="E19" t="s">
        <v>2717</v>
      </c>
      <c r="F19" t="s">
        <v>950</v>
      </c>
      <c r="G19" t="s">
        <v>1832</v>
      </c>
      <c r="H19">
        <v>464.58</v>
      </c>
      <c r="I19" t="s">
        <v>2708</v>
      </c>
      <c r="J19" t="s">
        <v>2767</v>
      </c>
      <c r="M19" s="14" t="s">
        <v>2768</v>
      </c>
    </row>
    <row r="20" spans="1:13" x14ac:dyDescent="0.3">
      <c r="A20" t="s">
        <v>2769</v>
      </c>
      <c r="B20" t="s">
        <v>2770</v>
      </c>
      <c r="D20" t="s">
        <v>2716</v>
      </c>
      <c r="E20" t="s">
        <v>2717</v>
      </c>
      <c r="F20" t="s">
        <v>950</v>
      </c>
      <c r="G20" t="s">
        <v>1832</v>
      </c>
      <c r="H20">
        <v>501.73</v>
      </c>
      <c r="I20" t="s">
        <v>2708</v>
      </c>
      <c r="J20" t="s">
        <v>2767</v>
      </c>
      <c r="M20" s="14" t="s">
        <v>2771</v>
      </c>
    </row>
    <row r="21" spans="1:13" x14ac:dyDescent="0.3">
      <c r="A21" t="s">
        <v>2772</v>
      </c>
      <c r="B21" t="s">
        <v>2773</v>
      </c>
      <c r="D21" t="s">
        <v>2716</v>
      </c>
      <c r="E21" t="s">
        <v>2717</v>
      </c>
      <c r="F21" t="s">
        <v>950</v>
      </c>
      <c r="G21" t="s">
        <v>1832</v>
      </c>
      <c r="H21">
        <v>509.84</v>
      </c>
      <c r="I21" t="s">
        <v>2708</v>
      </c>
      <c r="J21" t="s">
        <v>2767</v>
      </c>
      <c r="M21" s="14" t="s">
        <v>2774</v>
      </c>
    </row>
    <row r="22" spans="1:13" x14ac:dyDescent="0.3">
      <c r="A22" t="s">
        <v>2775</v>
      </c>
      <c r="B22" t="s">
        <v>2776</v>
      </c>
      <c r="D22" t="s">
        <v>2716</v>
      </c>
      <c r="E22" t="s">
        <v>2717</v>
      </c>
      <c r="F22" t="s">
        <v>950</v>
      </c>
      <c r="G22" t="s">
        <v>1832</v>
      </c>
      <c r="H22">
        <v>424.87</v>
      </c>
      <c r="I22" t="s">
        <v>2708</v>
      </c>
      <c r="J22" t="s">
        <v>2767</v>
      </c>
      <c r="M22" s="14" t="s">
        <v>2777</v>
      </c>
    </row>
    <row r="23" spans="1:13" x14ac:dyDescent="0.3">
      <c r="A23" t="s">
        <v>2778</v>
      </c>
      <c r="B23" t="s">
        <v>2779</v>
      </c>
      <c r="D23" t="s">
        <v>2716</v>
      </c>
      <c r="E23" t="s">
        <v>2717</v>
      </c>
      <c r="F23" t="s">
        <v>950</v>
      </c>
      <c r="G23" t="s">
        <v>1832</v>
      </c>
      <c r="H23">
        <v>504.71</v>
      </c>
      <c r="I23" t="s">
        <v>2708</v>
      </c>
      <c r="J23" t="s">
        <v>2767</v>
      </c>
      <c r="M23" s="14" t="s">
        <v>2780</v>
      </c>
    </row>
    <row r="24" spans="1:13" x14ac:dyDescent="0.3">
      <c r="A24" t="s">
        <v>2781</v>
      </c>
      <c r="B24" t="s">
        <v>2782</v>
      </c>
      <c r="D24" t="s">
        <v>2716</v>
      </c>
      <c r="E24" t="s">
        <v>2717</v>
      </c>
      <c r="F24" t="s">
        <v>950</v>
      </c>
      <c r="G24" t="s">
        <v>1832</v>
      </c>
      <c r="H24">
        <v>1240.44</v>
      </c>
      <c r="I24" t="s">
        <v>2708</v>
      </c>
      <c r="J24" t="s">
        <v>2783</v>
      </c>
      <c r="M24" s="14" t="s">
        <v>2784</v>
      </c>
    </row>
    <row r="25" spans="1:13" x14ac:dyDescent="0.3">
      <c r="A25" t="s">
        <v>2785</v>
      </c>
      <c r="B25" t="s">
        <v>2786</v>
      </c>
      <c r="D25" t="s">
        <v>2716</v>
      </c>
      <c r="E25" t="s">
        <v>2717</v>
      </c>
      <c r="F25" t="s">
        <v>950</v>
      </c>
      <c r="G25" t="s">
        <v>1832</v>
      </c>
      <c r="H25">
        <v>968.01</v>
      </c>
      <c r="I25" t="s">
        <v>2708</v>
      </c>
      <c r="J25" t="s">
        <v>2783</v>
      </c>
      <c r="M25" s="14" t="s">
        <v>2787</v>
      </c>
    </row>
    <row r="26" spans="1:13" x14ac:dyDescent="0.3">
      <c r="A26" t="s">
        <v>2788</v>
      </c>
      <c r="B26" t="s">
        <v>2789</v>
      </c>
      <c r="D26" t="s">
        <v>2716</v>
      </c>
      <c r="E26" t="s">
        <v>2717</v>
      </c>
      <c r="F26" t="s">
        <v>950</v>
      </c>
      <c r="G26" t="s">
        <v>1832</v>
      </c>
      <c r="H26">
        <v>1240.01</v>
      </c>
      <c r="I26" t="s">
        <v>2708</v>
      </c>
      <c r="J26" t="s">
        <v>2783</v>
      </c>
      <c r="M26" s="14" t="s">
        <v>2790</v>
      </c>
    </row>
    <row r="27" spans="1:13" x14ac:dyDescent="0.3">
      <c r="A27" t="s">
        <v>2791</v>
      </c>
      <c r="B27" t="s">
        <v>2792</v>
      </c>
      <c r="D27" t="s">
        <v>2716</v>
      </c>
      <c r="E27" t="s">
        <v>2717</v>
      </c>
      <c r="F27" t="s">
        <v>950</v>
      </c>
      <c r="G27" t="s">
        <v>1832</v>
      </c>
      <c r="H27">
        <v>1146.49</v>
      </c>
      <c r="I27" t="s">
        <v>2708</v>
      </c>
      <c r="J27" t="s">
        <v>2783</v>
      </c>
      <c r="M27" s="14" t="s">
        <v>2793</v>
      </c>
    </row>
    <row r="28" spans="1:13" x14ac:dyDescent="0.3">
      <c r="A28" t="s">
        <v>2794</v>
      </c>
      <c r="B28" t="s">
        <v>2795</v>
      </c>
      <c r="D28" t="s">
        <v>2716</v>
      </c>
      <c r="E28" t="s">
        <v>2717</v>
      </c>
      <c r="F28" t="s">
        <v>950</v>
      </c>
      <c r="G28" t="s">
        <v>1832</v>
      </c>
      <c r="H28">
        <v>1271.6099999999999</v>
      </c>
      <c r="I28" t="s">
        <v>2708</v>
      </c>
      <c r="J28" t="s">
        <v>2796</v>
      </c>
      <c r="M28" s="14" t="s">
        <v>2797</v>
      </c>
    </row>
    <row r="29" spans="1:13" x14ac:dyDescent="0.3">
      <c r="A29" t="s">
        <v>2798</v>
      </c>
      <c r="B29" t="s">
        <v>2799</v>
      </c>
      <c r="D29" t="s">
        <v>2716</v>
      </c>
      <c r="E29" t="s">
        <v>2717</v>
      </c>
      <c r="F29" t="s">
        <v>950</v>
      </c>
      <c r="G29" t="s">
        <v>1832</v>
      </c>
      <c r="H29">
        <v>569.62</v>
      </c>
      <c r="I29" t="s">
        <v>2708</v>
      </c>
      <c r="J29" t="s">
        <v>2800</v>
      </c>
      <c r="M29" s="14" t="s">
        <v>2801</v>
      </c>
    </row>
    <row r="30" spans="1:13" x14ac:dyDescent="0.3">
      <c r="A30" t="s">
        <v>2802</v>
      </c>
      <c r="B30" t="s">
        <v>2803</v>
      </c>
      <c r="D30" t="s">
        <v>2716</v>
      </c>
      <c r="E30" t="s">
        <v>2717</v>
      </c>
      <c r="F30" t="s">
        <v>950</v>
      </c>
      <c r="G30" t="s">
        <v>1832</v>
      </c>
      <c r="H30">
        <v>1664.45</v>
      </c>
      <c r="I30" t="s">
        <v>2708</v>
      </c>
      <c r="J30" t="s">
        <v>2804</v>
      </c>
      <c r="M30" s="14" t="s">
        <v>2805</v>
      </c>
    </row>
    <row r="31" spans="1:13" x14ac:dyDescent="0.3">
      <c r="A31" t="s">
        <v>2806</v>
      </c>
      <c r="B31" t="s">
        <v>2807</v>
      </c>
      <c r="D31" t="s">
        <v>2716</v>
      </c>
      <c r="E31" t="s">
        <v>2717</v>
      </c>
      <c r="F31" t="s">
        <v>950</v>
      </c>
      <c r="G31" t="s">
        <v>1832</v>
      </c>
      <c r="H31">
        <v>2631.6</v>
      </c>
      <c r="I31" t="s">
        <v>2708</v>
      </c>
      <c r="J31" t="s">
        <v>2804</v>
      </c>
      <c r="M31" s="14" t="s">
        <v>2808</v>
      </c>
    </row>
    <row r="32" spans="1:13" x14ac:dyDescent="0.3">
      <c r="A32" t="s">
        <v>2809</v>
      </c>
      <c r="B32" t="s">
        <v>2810</v>
      </c>
      <c r="D32" t="s">
        <v>2716</v>
      </c>
      <c r="E32" t="s">
        <v>2717</v>
      </c>
      <c r="F32" t="s">
        <v>950</v>
      </c>
      <c r="G32" t="s">
        <v>1832</v>
      </c>
      <c r="H32">
        <v>1720.81</v>
      </c>
      <c r="I32" t="s">
        <v>2708</v>
      </c>
      <c r="J32" t="s">
        <v>2811</v>
      </c>
      <c r="M32" s="14" t="s">
        <v>2812</v>
      </c>
    </row>
    <row r="33" spans="1:13" x14ac:dyDescent="0.3">
      <c r="A33" t="s">
        <v>2813</v>
      </c>
      <c r="B33" t="s">
        <v>2814</v>
      </c>
      <c r="D33" t="s">
        <v>2716</v>
      </c>
      <c r="E33" t="s">
        <v>2717</v>
      </c>
      <c r="F33" t="s">
        <v>950</v>
      </c>
      <c r="G33" t="s">
        <v>1832</v>
      </c>
      <c r="H33">
        <v>2680.71</v>
      </c>
      <c r="I33" t="s">
        <v>2708</v>
      </c>
      <c r="J33" t="s">
        <v>2811</v>
      </c>
      <c r="M33" s="14" t="s">
        <v>2815</v>
      </c>
    </row>
    <row r="34" spans="1:13" x14ac:dyDescent="0.3">
      <c r="A34" t="s">
        <v>2816</v>
      </c>
      <c r="B34" t="s">
        <v>2817</v>
      </c>
      <c r="D34" t="s">
        <v>2716</v>
      </c>
      <c r="E34" t="s">
        <v>2717</v>
      </c>
      <c r="F34" t="s">
        <v>950</v>
      </c>
      <c r="G34" t="s">
        <v>1832</v>
      </c>
      <c r="H34">
        <v>1466.74</v>
      </c>
      <c r="I34" t="s">
        <v>2708</v>
      </c>
      <c r="J34" t="s">
        <v>2811</v>
      </c>
      <c r="M34" s="14" t="s">
        <v>2818</v>
      </c>
    </row>
    <row r="35" spans="1:13" x14ac:dyDescent="0.3">
      <c r="A35" t="s">
        <v>2819</v>
      </c>
      <c r="B35" t="s">
        <v>2820</v>
      </c>
      <c r="D35" t="s">
        <v>2716</v>
      </c>
      <c r="E35" t="s">
        <v>2717</v>
      </c>
      <c r="F35" t="s">
        <v>950</v>
      </c>
      <c r="G35" t="s">
        <v>1832</v>
      </c>
      <c r="H35">
        <v>608.9</v>
      </c>
      <c r="I35" t="s">
        <v>2708</v>
      </c>
      <c r="J35" t="s">
        <v>2821</v>
      </c>
      <c r="M35" s="14" t="s">
        <v>2822</v>
      </c>
    </row>
    <row r="36" spans="1:13" x14ac:dyDescent="0.3">
      <c r="A36" t="s">
        <v>2823</v>
      </c>
      <c r="B36" t="s">
        <v>2824</v>
      </c>
      <c r="D36" t="s">
        <v>2716</v>
      </c>
      <c r="E36" t="s">
        <v>2717</v>
      </c>
      <c r="F36" t="s">
        <v>950</v>
      </c>
      <c r="G36" t="s">
        <v>1832</v>
      </c>
      <c r="H36">
        <v>703.7</v>
      </c>
      <c r="I36" t="s">
        <v>2708</v>
      </c>
      <c r="J36" t="s">
        <v>2821</v>
      </c>
      <c r="M36" s="14" t="s">
        <v>2825</v>
      </c>
    </row>
    <row r="37" spans="1:13" x14ac:dyDescent="0.3">
      <c r="A37" t="s">
        <v>2826</v>
      </c>
      <c r="B37" t="s">
        <v>2827</v>
      </c>
      <c r="D37" t="s">
        <v>2716</v>
      </c>
      <c r="E37" t="s">
        <v>2717</v>
      </c>
      <c r="F37" t="s">
        <v>950</v>
      </c>
      <c r="G37" t="s">
        <v>1832</v>
      </c>
      <c r="H37">
        <v>537.16999999999996</v>
      </c>
      <c r="I37" t="s">
        <v>2708</v>
      </c>
      <c r="J37" t="s">
        <v>2821</v>
      </c>
      <c r="M37" s="14" t="s">
        <v>2828</v>
      </c>
    </row>
    <row r="38" spans="1:13" x14ac:dyDescent="0.3">
      <c r="A38" t="s">
        <v>2829</v>
      </c>
      <c r="B38" t="s">
        <v>2830</v>
      </c>
      <c r="D38" t="s">
        <v>2716</v>
      </c>
      <c r="E38" t="s">
        <v>2717</v>
      </c>
      <c r="F38" t="s">
        <v>950</v>
      </c>
      <c r="G38" t="s">
        <v>1832</v>
      </c>
      <c r="H38">
        <v>545.71</v>
      </c>
      <c r="I38" t="s">
        <v>2708</v>
      </c>
      <c r="J38" t="s">
        <v>2821</v>
      </c>
      <c r="M38" s="14" t="s">
        <v>2831</v>
      </c>
    </row>
    <row r="39" spans="1:13" x14ac:dyDescent="0.3">
      <c r="A39" t="s">
        <v>2832</v>
      </c>
      <c r="B39" t="s">
        <v>2833</v>
      </c>
      <c r="D39" t="s">
        <v>2716</v>
      </c>
      <c r="E39" t="s">
        <v>2717</v>
      </c>
      <c r="F39" t="s">
        <v>950</v>
      </c>
      <c r="G39" t="s">
        <v>1832</v>
      </c>
      <c r="H39">
        <v>524.78</v>
      </c>
      <c r="I39" t="s">
        <v>2708</v>
      </c>
      <c r="J39" t="s">
        <v>2821</v>
      </c>
      <c r="M39" s="14" t="s">
        <v>2834</v>
      </c>
    </row>
    <row r="40" spans="1:13" x14ac:dyDescent="0.3">
      <c r="A40" t="s">
        <v>2835</v>
      </c>
      <c r="B40" t="s">
        <v>2836</v>
      </c>
      <c r="D40" t="s">
        <v>2716</v>
      </c>
      <c r="E40" t="s">
        <v>2717</v>
      </c>
      <c r="F40" t="s">
        <v>950</v>
      </c>
      <c r="G40" t="s">
        <v>1832</v>
      </c>
      <c r="H40">
        <v>687.47</v>
      </c>
      <c r="I40" t="s">
        <v>2708</v>
      </c>
      <c r="J40" t="s">
        <v>2821</v>
      </c>
      <c r="M40" s="14" t="s">
        <v>2837</v>
      </c>
    </row>
    <row r="41" spans="1:13" x14ac:dyDescent="0.3">
      <c r="A41" t="s">
        <v>2838</v>
      </c>
      <c r="B41" t="s">
        <v>2839</v>
      </c>
      <c r="D41" t="s">
        <v>2716</v>
      </c>
      <c r="E41" t="s">
        <v>2717</v>
      </c>
      <c r="F41" t="s">
        <v>950</v>
      </c>
      <c r="G41" t="s">
        <v>1832</v>
      </c>
      <c r="H41">
        <v>757.93</v>
      </c>
      <c r="I41" t="s">
        <v>2708</v>
      </c>
      <c r="J41" t="s">
        <v>2821</v>
      </c>
      <c r="M41" s="14" t="s">
        <v>2840</v>
      </c>
    </row>
    <row r="42" spans="1:13" x14ac:dyDescent="0.3">
      <c r="A42" t="s">
        <v>2841</v>
      </c>
      <c r="B42" t="s">
        <v>2842</v>
      </c>
      <c r="D42" t="s">
        <v>2716</v>
      </c>
      <c r="E42" t="s">
        <v>2717</v>
      </c>
      <c r="F42" t="s">
        <v>950</v>
      </c>
      <c r="G42" t="s">
        <v>1832</v>
      </c>
      <c r="H42">
        <v>752.8</v>
      </c>
      <c r="I42" t="s">
        <v>2708</v>
      </c>
      <c r="J42" t="s">
        <v>2821</v>
      </c>
      <c r="M42" s="14" t="s">
        <v>2843</v>
      </c>
    </row>
    <row r="43" spans="1:13" x14ac:dyDescent="0.3">
      <c r="A43" t="s">
        <v>2844</v>
      </c>
      <c r="B43" t="s">
        <v>2845</v>
      </c>
      <c r="D43" t="s">
        <v>2716</v>
      </c>
      <c r="E43" t="s">
        <v>2717</v>
      </c>
      <c r="F43" t="s">
        <v>950</v>
      </c>
      <c r="G43" t="s">
        <v>1832</v>
      </c>
      <c r="H43">
        <v>432.12</v>
      </c>
      <c r="I43" t="s">
        <v>2708</v>
      </c>
      <c r="J43" t="s">
        <v>2821</v>
      </c>
      <c r="M43" s="14" t="s">
        <v>2846</v>
      </c>
    </row>
    <row r="44" spans="1:13" x14ac:dyDescent="0.3">
      <c r="A44" t="s">
        <v>2847</v>
      </c>
      <c r="B44" t="s">
        <v>2848</v>
      </c>
      <c r="D44" t="s">
        <v>2716</v>
      </c>
      <c r="E44" t="s">
        <v>2717</v>
      </c>
      <c r="F44" t="s">
        <v>950</v>
      </c>
      <c r="G44" t="s">
        <v>1832</v>
      </c>
      <c r="H44">
        <v>583.71</v>
      </c>
      <c r="I44" t="s">
        <v>2708</v>
      </c>
      <c r="J44" t="s">
        <v>2821</v>
      </c>
      <c r="M44" s="14" t="s">
        <v>2849</v>
      </c>
    </row>
    <row r="45" spans="1:13" x14ac:dyDescent="0.3">
      <c r="A45" t="s">
        <v>2850</v>
      </c>
      <c r="B45" t="s">
        <v>2851</v>
      </c>
      <c r="D45" t="s">
        <v>2716</v>
      </c>
      <c r="E45" t="s">
        <v>2717</v>
      </c>
      <c r="F45" t="s">
        <v>950</v>
      </c>
      <c r="G45" t="s">
        <v>1832</v>
      </c>
      <c r="H45">
        <v>1735.75</v>
      </c>
      <c r="I45" t="s">
        <v>2708</v>
      </c>
      <c r="J45" t="s">
        <v>2852</v>
      </c>
      <c r="M45" s="14" t="s">
        <v>2853</v>
      </c>
    </row>
    <row r="46" spans="1:13" x14ac:dyDescent="0.3">
      <c r="A46" t="s">
        <v>2854</v>
      </c>
      <c r="B46" t="s">
        <v>2855</v>
      </c>
      <c r="D46" t="s">
        <v>2716</v>
      </c>
      <c r="E46" t="s">
        <v>2717</v>
      </c>
      <c r="F46" t="s">
        <v>950</v>
      </c>
      <c r="G46" t="s">
        <v>1832</v>
      </c>
      <c r="H46">
        <v>2718.28</v>
      </c>
      <c r="I46" t="s">
        <v>2708</v>
      </c>
      <c r="J46" t="s">
        <v>2852</v>
      </c>
      <c r="M46" s="14" t="s">
        <v>2856</v>
      </c>
    </row>
    <row r="47" spans="1:13" x14ac:dyDescent="0.3">
      <c r="A47" t="s">
        <v>2857</v>
      </c>
      <c r="B47" t="s">
        <v>2858</v>
      </c>
      <c r="D47" t="s">
        <v>2716</v>
      </c>
      <c r="E47" t="s">
        <v>2717</v>
      </c>
      <c r="F47" t="s">
        <v>950</v>
      </c>
      <c r="G47" t="s">
        <v>1832</v>
      </c>
      <c r="H47">
        <v>1759.67</v>
      </c>
      <c r="I47" t="s">
        <v>2708</v>
      </c>
      <c r="J47" t="s">
        <v>2859</v>
      </c>
      <c r="M47" s="14" t="s">
        <v>2860</v>
      </c>
    </row>
    <row r="48" spans="1:13" x14ac:dyDescent="0.3">
      <c r="A48" t="s">
        <v>2861</v>
      </c>
      <c r="B48" t="s">
        <v>2862</v>
      </c>
      <c r="D48" t="s">
        <v>2716</v>
      </c>
      <c r="E48" t="s">
        <v>2717</v>
      </c>
      <c r="F48" t="s">
        <v>950</v>
      </c>
      <c r="G48" t="s">
        <v>1832</v>
      </c>
      <c r="H48">
        <v>2746.89</v>
      </c>
      <c r="I48" t="s">
        <v>2708</v>
      </c>
      <c r="J48" t="s">
        <v>2859</v>
      </c>
      <c r="M48" s="14" t="s">
        <v>2863</v>
      </c>
    </row>
    <row r="49" spans="1:13" x14ac:dyDescent="0.3">
      <c r="A49" t="s">
        <v>2864</v>
      </c>
      <c r="B49" t="s">
        <v>2865</v>
      </c>
      <c r="D49" t="s">
        <v>2716</v>
      </c>
      <c r="E49" t="s">
        <v>2717</v>
      </c>
      <c r="F49" t="s">
        <v>950</v>
      </c>
      <c r="G49" t="s">
        <v>1832</v>
      </c>
      <c r="H49">
        <v>1582.46</v>
      </c>
      <c r="I49" t="s">
        <v>2708</v>
      </c>
      <c r="J49" t="s">
        <v>2859</v>
      </c>
      <c r="M49" s="14" t="s">
        <v>2866</v>
      </c>
    </row>
    <row r="50" spans="1:13" x14ac:dyDescent="0.3">
      <c r="A50" t="s">
        <v>2867</v>
      </c>
      <c r="B50" t="s">
        <v>2868</v>
      </c>
      <c r="D50" t="s">
        <v>2716</v>
      </c>
      <c r="E50" t="s">
        <v>2717</v>
      </c>
      <c r="F50" t="s">
        <v>950</v>
      </c>
      <c r="G50" t="s">
        <v>1832</v>
      </c>
      <c r="H50">
        <v>660.57</v>
      </c>
      <c r="I50" t="s">
        <v>2708</v>
      </c>
      <c r="J50" t="s">
        <v>2869</v>
      </c>
      <c r="M50" s="14" t="s">
        <v>2870</v>
      </c>
    </row>
    <row r="51" spans="1:13" x14ac:dyDescent="0.3">
      <c r="A51" t="s">
        <v>2871</v>
      </c>
      <c r="B51" t="s">
        <v>2872</v>
      </c>
      <c r="D51" t="s">
        <v>2716</v>
      </c>
      <c r="E51" t="s">
        <v>2717</v>
      </c>
      <c r="F51" t="s">
        <v>950</v>
      </c>
      <c r="G51" t="s">
        <v>1832</v>
      </c>
      <c r="H51">
        <v>754.51</v>
      </c>
      <c r="I51" t="s">
        <v>2708</v>
      </c>
      <c r="J51" t="s">
        <v>2869</v>
      </c>
      <c r="M51" s="14" t="s">
        <v>2873</v>
      </c>
    </row>
    <row r="52" spans="1:13" x14ac:dyDescent="0.3">
      <c r="A52" t="s">
        <v>2874</v>
      </c>
      <c r="B52" t="s">
        <v>2875</v>
      </c>
      <c r="D52" t="s">
        <v>2716</v>
      </c>
      <c r="E52" t="s">
        <v>2717</v>
      </c>
      <c r="F52" t="s">
        <v>950</v>
      </c>
      <c r="G52" t="s">
        <v>1832</v>
      </c>
      <c r="H52">
        <v>544.42999999999995</v>
      </c>
      <c r="I52" t="s">
        <v>2708</v>
      </c>
      <c r="J52" t="s">
        <v>2869</v>
      </c>
      <c r="M52" s="14" t="s">
        <v>2876</v>
      </c>
    </row>
    <row r="53" spans="1:13" x14ac:dyDescent="0.3">
      <c r="A53" t="s">
        <v>2877</v>
      </c>
      <c r="B53" t="s">
        <v>2878</v>
      </c>
      <c r="D53" t="s">
        <v>2716</v>
      </c>
      <c r="E53" t="s">
        <v>2717</v>
      </c>
      <c r="F53" t="s">
        <v>950</v>
      </c>
      <c r="G53" t="s">
        <v>1832</v>
      </c>
      <c r="H53">
        <v>619.58000000000004</v>
      </c>
      <c r="I53" t="s">
        <v>2708</v>
      </c>
      <c r="J53" t="s">
        <v>2869</v>
      </c>
      <c r="M53" s="14" t="s">
        <v>2879</v>
      </c>
    </row>
    <row r="54" spans="1:13" x14ac:dyDescent="0.3">
      <c r="A54" t="s">
        <v>2880</v>
      </c>
      <c r="B54" t="s">
        <v>2881</v>
      </c>
      <c r="D54" t="s">
        <v>2716</v>
      </c>
      <c r="E54" t="s">
        <v>2717</v>
      </c>
      <c r="F54" t="s">
        <v>950</v>
      </c>
      <c r="G54" t="s">
        <v>1832</v>
      </c>
      <c r="H54">
        <v>559.79999999999995</v>
      </c>
      <c r="I54" t="s">
        <v>2708</v>
      </c>
      <c r="J54" t="s">
        <v>2869</v>
      </c>
      <c r="M54" s="14" t="s">
        <v>2882</v>
      </c>
    </row>
    <row r="55" spans="1:13" x14ac:dyDescent="0.3">
      <c r="A55" t="s">
        <v>2883</v>
      </c>
      <c r="B55" t="s">
        <v>2884</v>
      </c>
      <c r="D55" t="s">
        <v>2716</v>
      </c>
      <c r="E55" t="s">
        <v>2717</v>
      </c>
      <c r="F55" t="s">
        <v>950</v>
      </c>
      <c r="G55" t="s">
        <v>1832</v>
      </c>
      <c r="H55">
        <v>538.45000000000005</v>
      </c>
      <c r="I55" t="s">
        <v>2708</v>
      </c>
      <c r="J55" t="s">
        <v>2869</v>
      </c>
      <c r="M55" s="14" t="s">
        <v>2885</v>
      </c>
    </row>
    <row r="56" spans="1:13" x14ac:dyDescent="0.3">
      <c r="A56" t="s">
        <v>2886</v>
      </c>
      <c r="B56" t="s">
        <v>2887</v>
      </c>
      <c r="D56" t="s">
        <v>2716</v>
      </c>
      <c r="E56" t="s">
        <v>2717</v>
      </c>
      <c r="F56" t="s">
        <v>950</v>
      </c>
      <c r="G56" t="s">
        <v>1832</v>
      </c>
      <c r="H56">
        <v>694.3</v>
      </c>
      <c r="I56" t="s">
        <v>2708</v>
      </c>
      <c r="J56" t="s">
        <v>2869</v>
      </c>
      <c r="M56" s="14" t="s">
        <v>2888</v>
      </c>
    </row>
    <row r="57" spans="1:13" x14ac:dyDescent="0.3">
      <c r="A57" t="s">
        <v>2889</v>
      </c>
      <c r="B57" t="s">
        <v>2890</v>
      </c>
      <c r="D57" t="s">
        <v>2716</v>
      </c>
      <c r="E57" t="s">
        <v>2717</v>
      </c>
      <c r="F57" t="s">
        <v>950</v>
      </c>
      <c r="G57" t="s">
        <v>1832</v>
      </c>
      <c r="H57">
        <v>762.62</v>
      </c>
      <c r="I57" t="s">
        <v>2708</v>
      </c>
      <c r="J57" t="s">
        <v>2869</v>
      </c>
      <c r="M57" s="14" t="s">
        <v>2891</v>
      </c>
    </row>
    <row r="58" spans="1:13" x14ac:dyDescent="0.3">
      <c r="A58" t="s">
        <v>2892</v>
      </c>
      <c r="B58" t="s">
        <v>2893</v>
      </c>
      <c r="D58" t="s">
        <v>2716</v>
      </c>
      <c r="E58" t="s">
        <v>2717</v>
      </c>
      <c r="F58" t="s">
        <v>950</v>
      </c>
      <c r="G58" t="s">
        <v>1832</v>
      </c>
      <c r="H58">
        <v>762.62</v>
      </c>
      <c r="I58" t="s">
        <v>2708</v>
      </c>
      <c r="J58" t="s">
        <v>2869</v>
      </c>
      <c r="M58" s="14" t="s">
        <v>2894</v>
      </c>
    </row>
    <row r="59" spans="1:13" x14ac:dyDescent="0.3">
      <c r="A59" t="s">
        <v>2895</v>
      </c>
      <c r="B59" t="s">
        <v>2896</v>
      </c>
      <c r="D59" t="s">
        <v>2716</v>
      </c>
      <c r="E59" t="s">
        <v>2717</v>
      </c>
      <c r="F59" t="s">
        <v>950</v>
      </c>
      <c r="G59" t="s">
        <v>1832</v>
      </c>
      <c r="H59">
        <v>455.61</v>
      </c>
      <c r="I59" t="s">
        <v>2708</v>
      </c>
      <c r="J59" t="s">
        <v>2869</v>
      </c>
      <c r="M59" s="14" t="s">
        <v>2897</v>
      </c>
    </row>
    <row r="60" spans="1:13" x14ac:dyDescent="0.3">
      <c r="A60" t="s">
        <v>2898</v>
      </c>
      <c r="B60" t="s">
        <v>2899</v>
      </c>
      <c r="D60" t="s">
        <v>2716</v>
      </c>
      <c r="E60" t="s">
        <v>2717</v>
      </c>
      <c r="F60" t="s">
        <v>950</v>
      </c>
      <c r="G60" t="s">
        <v>1832</v>
      </c>
      <c r="H60">
        <v>605.91</v>
      </c>
      <c r="I60" t="s">
        <v>2708</v>
      </c>
      <c r="J60" t="s">
        <v>2869</v>
      </c>
      <c r="M60" s="14" t="s">
        <v>2900</v>
      </c>
    </row>
    <row r="61" spans="1:13" x14ac:dyDescent="0.3">
      <c r="A61" t="s">
        <v>2901</v>
      </c>
      <c r="B61" t="s">
        <v>2902</v>
      </c>
      <c r="D61" t="s">
        <v>2716</v>
      </c>
      <c r="E61" t="s">
        <v>2717</v>
      </c>
      <c r="F61" t="s">
        <v>950</v>
      </c>
      <c r="G61" t="s">
        <v>1832</v>
      </c>
      <c r="H61">
        <v>2509.0500000000002</v>
      </c>
      <c r="I61" t="s">
        <v>2708</v>
      </c>
      <c r="J61" t="s">
        <v>2903</v>
      </c>
      <c r="M61" s="14" t="s">
        <v>2904</v>
      </c>
    </row>
    <row r="62" spans="1:13" x14ac:dyDescent="0.3">
      <c r="A62" t="s">
        <v>2905</v>
      </c>
      <c r="B62" t="s">
        <v>2906</v>
      </c>
      <c r="D62" t="s">
        <v>2716</v>
      </c>
      <c r="E62" t="s">
        <v>2717</v>
      </c>
      <c r="F62" t="s">
        <v>950</v>
      </c>
      <c r="G62" t="s">
        <v>1832</v>
      </c>
      <c r="H62">
        <v>2787.46</v>
      </c>
      <c r="I62" t="s">
        <v>2708</v>
      </c>
      <c r="J62" t="s">
        <v>2903</v>
      </c>
      <c r="M62" s="14" t="s">
        <v>2907</v>
      </c>
    </row>
    <row r="63" spans="1:13" x14ac:dyDescent="0.3">
      <c r="A63" t="s">
        <v>2908</v>
      </c>
      <c r="B63" t="s">
        <v>2909</v>
      </c>
      <c r="D63" t="s">
        <v>2716</v>
      </c>
      <c r="E63" t="s">
        <v>2717</v>
      </c>
      <c r="F63" t="s">
        <v>950</v>
      </c>
      <c r="G63" t="s">
        <v>1832</v>
      </c>
      <c r="H63">
        <v>686.62</v>
      </c>
      <c r="I63" t="s">
        <v>2708</v>
      </c>
      <c r="J63" t="s">
        <v>2910</v>
      </c>
      <c r="M63" s="14" t="s">
        <v>2911</v>
      </c>
    </row>
    <row r="64" spans="1:13" x14ac:dyDescent="0.3">
      <c r="A64" t="s">
        <v>2912</v>
      </c>
      <c r="B64" t="s">
        <v>2913</v>
      </c>
      <c r="D64" t="s">
        <v>2716</v>
      </c>
      <c r="E64" t="s">
        <v>2717</v>
      </c>
      <c r="F64" t="s">
        <v>950</v>
      </c>
      <c r="G64" t="s">
        <v>1832</v>
      </c>
      <c r="H64">
        <v>802.76</v>
      </c>
      <c r="I64" t="s">
        <v>2708</v>
      </c>
      <c r="J64" t="s">
        <v>2910</v>
      </c>
      <c r="M64" s="14" t="s">
        <v>2914</v>
      </c>
    </row>
    <row r="65" spans="1:13" x14ac:dyDescent="0.3">
      <c r="A65" t="s">
        <v>2915</v>
      </c>
      <c r="B65" t="s">
        <v>2916</v>
      </c>
      <c r="D65" t="s">
        <v>2716</v>
      </c>
      <c r="E65" t="s">
        <v>2717</v>
      </c>
      <c r="F65" t="s">
        <v>950</v>
      </c>
      <c r="G65" t="s">
        <v>1832</v>
      </c>
      <c r="H65">
        <v>579.44000000000005</v>
      </c>
      <c r="I65" t="s">
        <v>2708</v>
      </c>
      <c r="J65" t="s">
        <v>2910</v>
      </c>
      <c r="M65" s="14" t="s">
        <v>2917</v>
      </c>
    </row>
    <row r="66" spans="1:13" x14ac:dyDescent="0.3">
      <c r="A66" t="s">
        <v>2918</v>
      </c>
      <c r="B66" t="s">
        <v>2919</v>
      </c>
      <c r="D66" t="s">
        <v>2716</v>
      </c>
      <c r="E66" t="s">
        <v>2717</v>
      </c>
      <c r="F66" t="s">
        <v>950</v>
      </c>
      <c r="G66" t="s">
        <v>1832</v>
      </c>
      <c r="H66">
        <v>629.83000000000004</v>
      </c>
      <c r="I66" t="s">
        <v>2708</v>
      </c>
      <c r="J66" t="s">
        <v>2910</v>
      </c>
      <c r="M66" s="14" t="s">
        <v>2920</v>
      </c>
    </row>
    <row r="67" spans="1:13" x14ac:dyDescent="0.3">
      <c r="A67" t="s">
        <v>2921</v>
      </c>
      <c r="B67" t="s">
        <v>2922</v>
      </c>
      <c r="D67" t="s">
        <v>2716</v>
      </c>
      <c r="E67" t="s">
        <v>2717</v>
      </c>
      <c r="F67" t="s">
        <v>950</v>
      </c>
      <c r="G67" t="s">
        <v>1832</v>
      </c>
      <c r="H67">
        <v>850.16</v>
      </c>
      <c r="I67" t="s">
        <v>2708</v>
      </c>
      <c r="J67" t="s">
        <v>2910</v>
      </c>
      <c r="M67" s="14" t="s">
        <v>2923</v>
      </c>
    </row>
    <row r="68" spans="1:13" x14ac:dyDescent="0.3">
      <c r="A68" t="s">
        <v>2924</v>
      </c>
      <c r="B68" t="s">
        <v>2925</v>
      </c>
      <c r="D68" t="s">
        <v>2716</v>
      </c>
      <c r="E68" t="s">
        <v>2717</v>
      </c>
      <c r="F68" t="s">
        <v>950</v>
      </c>
      <c r="G68" t="s">
        <v>1832</v>
      </c>
      <c r="H68">
        <v>573.46</v>
      </c>
      <c r="I68" t="s">
        <v>2708</v>
      </c>
      <c r="J68" t="s">
        <v>2910</v>
      </c>
      <c r="M68" s="14" t="s">
        <v>2926</v>
      </c>
    </row>
    <row r="69" spans="1:13" x14ac:dyDescent="0.3">
      <c r="A69" t="s">
        <v>2927</v>
      </c>
      <c r="B69" t="s">
        <v>2928</v>
      </c>
      <c r="D69" t="s">
        <v>2716</v>
      </c>
      <c r="E69" t="s">
        <v>2717</v>
      </c>
      <c r="F69" t="s">
        <v>950</v>
      </c>
      <c r="G69" t="s">
        <v>1832</v>
      </c>
      <c r="H69">
        <v>551.67999999999995</v>
      </c>
      <c r="I69" t="s">
        <v>2708</v>
      </c>
      <c r="J69" t="s">
        <v>2910</v>
      </c>
      <c r="M69" s="14" t="s">
        <v>2929</v>
      </c>
    </row>
    <row r="70" spans="1:13" x14ac:dyDescent="0.3">
      <c r="A70" t="s">
        <v>2930</v>
      </c>
      <c r="B70" t="s">
        <v>2931</v>
      </c>
      <c r="D70" t="s">
        <v>2716</v>
      </c>
      <c r="E70" t="s">
        <v>2717</v>
      </c>
      <c r="F70" t="s">
        <v>950</v>
      </c>
      <c r="G70" t="s">
        <v>1832</v>
      </c>
      <c r="H70">
        <v>778.42</v>
      </c>
      <c r="I70" t="s">
        <v>2708</v>
      </c>
      <c r="J70" t="s">
        <v>2910</v>
      </c>
      <c r="M70" s="14" t="s">
        <v>2932</v>
      </c>
    </row>
    <row r="71" spans="1:13" x14ac:dyDescent="0.3">
      <c r="A71" t="s">
        <v>2933</v>
      </c>
      <c r="B71" t="s">
        <v>2934</v>
      </c>
      <c r="D71" t="s">
        <v>2716</v>
      </c>
      <c r="E71" t="s">
        <v>2717</v>
      </c>
      <c r="F71" t="s">
        <v>950</v>
      </c>
      <c r="G71" t="s">
        <v>1832</v>
      </c>
      <c r="H71">
        <v>839.06</v>
      </c>
      <c r="I71" t="s">
        <v>2708</v>
      </c>
      <c r="J71" t="s">
        <v>2910</v>
      </c>
      <c r="M71" s="14" t="s">
        <v>2935</v>
      </c>
    </row>
    <row r="72" spans="1:13" x14ac:dyDescent="0.3">
      <c r="A72" t="s">
        <v>2936</v>
      </c>
      <c r="B72" t="s">
        <v>2937</v>
      </c>
      <c r="D72" t="s">
        <v>2716</v>
      </c>
      <c r="E72" t="s">
        <v>2717</v>
      </c>
      <c r="F72" t="s">
        <v>950</v>
      </c>
      <c r="G72" t="s">
        <v>1832</v>
      </c>
      <c r="H72">
        <v>839.06</v>
      </c>
      <c r="I72" t="s">
        <v>2708</v>
      </c>
      <c r="J72" t="s">
        <v>2910</v>
      </c>
      <c r="M72" s="14" t="s">
        <v>2938</v>
      </c>
    </row>
    <row r="73" spans="1:13" x14ac:dyDescent="0.3">
      <c r="A73" t="s">
        <v>2939</v>
      </c>
      <c r="B73" t="s">
        <v>2940</v>
      </c>
      <c r="D73" t="s">
        <v>2716</v>
      </c>
      <c r="E73" t="s">
        <v>2717</v>
      </c>
      <c r="F73" t="s">
        <v>950</v>
      </c>
      <c r="G73" t="s">
        <v>1832</v>
      </c>
      <c r="H73">
        <v>505.14</v>
      </c>
      <c r="I73" t="s">
        <v>2708</v>
      </c>
      <c r="J73" t="s">
        <v>2910</v>
      </c>
      <c r="M73" s="14" t="s">
        <v>2941</v>
      </c>
    </row>
    <row r="74" spans="1:13" x14ac:dyDescent="0.3">
      <c r="A74" t="s">
        <v>2942</v>
      </c>
      <c r="B74" t="s">
        <v>2943</v>
      </c>
      <c r="D74" t="s">
        <v>2716</v>
      </c>
      <c r="E74" t="s">
        <v>2717</v>
      </c>
      <c r="F74" t="s">
        <v>950</v>
      </c>
      <c r="G74" t="s">
        <v>1832</v>
      </c>
      <c r="H74">
        <v>650.32000000000005</v>
      </c>
      <c r="I74" t="s">
        <v>2708</v>
      </c>
      <c r="J74" t="s">
        <v>2910</v>
      </c>
      <c r="M74" s="14" t="s">
        <v>2944</v>
      </c>
    </row>
    <row r="75" spans="1:13" x14ac:dyDescent="0.3">
      <c r="A75" t="s">
        <v>2945</v>
      </c>
      <c r="B75" t="s">
        <v>2946</v>
      </c>
      <c r="D75" t="s">
        <v>2716</v>
      </c>
      <c r="E75" t="s">
        <v>2717</v>
      </c>
      <c r="F75" t="s">
        <v>950</v>
      </c>
      <c r="G75" t="s">
        <v>1832</v>
      </c>
      <c r="H75">
        <v>3907.48</v>
      </c>
      <c r="I75" t="s">
        <v>2708</v>
      </c>
      <c r="J75" t="s">
        <v>2947</v>
      </c>
      <c r="M75" s="14" t="s">
        <v>2948</v>
      </c>
    </row>
    <row r="76" spans="1:13" x14ac:dyDescent="0.3">
      <c r="A76" t="s">
        <v>2949</v>
      </c>
      <c r="B76" t="s">
        <v>2950</v>
      </c>
      <c r="D76" t="s">
        <v>2716</v>
      </c>
      <c r="E76" t="s">
        <v>2717</v>
      </c>
      <c r="F76" t="s">
        <v>950</v>
      </c>
      <c r="G76" t="s">
        <v>1832</v>
      </c>
      <c r="H76">
        <v>3396.79</v>
      </c>
      <c r="I76" t="s">
        <v>2708</v>
      </c>
      <c r="J76" t="s">
        <v>2947</v>
      </c>
      <c r="M76" s="14" t="s">
        <v>2951</v>
      </c>
    </row>
    <row r="77" spans="1:13" x14ac:dyDescent="0.3">
      <c r="A77" t="s">
        <v>2952</v>
      </c>
      <c r="B77" t="s">
        <v>2953</v>
      </c>
      <c r="D77" t="s">
        <v>2716</v>
      </c>
      <c r="E77" t="s">
        <v>2717</v>
      </c>
      <c r="F77" t="s">
        <v>950</v>
      </c>
      <c r="G77" t="s">
        <v>1832</v>
      </c>
      <c r="H77">
        <v>4088.53</v>
      </c>
      <c r="I77" t="s">
        <v>2708</v>
      </c>
      <c r="J77" t="s">
        <v>2954</v>
      </c>
      <c r="M77" s="14" t="s">
        <v>2955</v>
      </c>
    </row>
    <row r="78" spans="1:13" x14ac:dyDescent="0.3">
      <c r="A78" t="s">
        <v>2956</v>
      </c>
      <c r="B78" t="s">
        <v>2957</v>
      </c>
      <c r="D78" t="s">
        <v>2716</v>
      </c>
      <c r="E78" t="s">
        <v>2717</v>
      </c>
      <c r="F78" t="s">
        <v>950</v>
      </c>
      <c r="G78" t="s">
        <v>1832</v>
      </c>
      <c r="H78">
        <v>3547.09</v>
      </c>
      <c r="I78" t="s">
        <v>2708</v>
      </c>
      <c r="J78" t="s">
        <v>2954</v>
      </c>
      <c r="M78" s="14" t="s">
        <v>2958</v>
      </c>
    </row>
    <row r="79" spans="1:13" x14ac:dyDescent="0.3">
      <c r="A79" t="s">
        <v>2959</v>
      </c>
      <c r="B79" t="s">
        <v>2960</v>
      </c>
      <c r="D79" t="s">
        <v>2716</v>
      </c>
      <c r="E79" t="s">
        <v>2717</v>
      </c>
      <c r="F79" t="s">
        <v>950</v>
      </c>
      <c r="G79" t="s">
        <v>1832</v>
      </c>
      <c r="H79">
        <v>732.73</v>
      </c>
      <c r="I79" t="s">
        <v>2708</v>
      </c>
      <c r="J79" t="s">
        <v>2961</v>
      </c>
      <c r="M79" s="14" t="s">
        <v>2962</v>
      </c>
    </row>
    <row r="80" spans="1:13" x14ac:dyDescent="0.3">
      <c r="A80" t="s">
        <v>2963</v>
      </c>
      <c r="B80" t="s">
        <v>2964</v>
      </c>
      <c r="D80" t="s">
        <v>2716</v>
      </c>
      <c r="E80" t="s">
        <v>2717</v>
      </c>
      <c r="F80" t="s">
        <v>950</v>
      </c>
      <c r="G80" t="s">
        <v>1832</v>
      </c>
      <c r="H80">
        <v>817.71</v>
      </c>
      <c r="I80" t="s">
        <v>2708</v>
      </c>
      <c r="J80" t="s">
        <v>2961</v>
      </c>
      <c r="M80" s="14" t="s">
        <v>2965</v>
      </c>
    </row>
    <row r="81" spans="1:13" x14ac:dyDescent="0.3">
      <c r="A81" t="s">
        <v>2966</v>
      </c>
      <c r="B81" t="s">
        <v>2967</v>
      </c>
      <c r="D81" t="s">
        <v>2716</v>
      </c>
      <c r="E81" t="s">
        <v>2717</v>
      </c>
      <c r="F81" t="s">
        <v>950</v>
      </c>
      <c r="G81" t="s">
        <v>1832</v>
      </c>
      <c r="H81">
        <v>633.66999999999996</v>
      </c>
      <c r="I81" t="s">
        <v>2708</v>
      </c>
      <c r="J81" t="s">
        <v>2961</v>
      </c>
      <c r="M81" s="14" t="s">
        <v>2968</v>
      </c>
    </row>
    <row r="82" spans="1:13" x14ac:dyDescent="0.3">
      <c r="A82" t="s">
        <v>2969</v>
      </c>
      <c r="B82" t="s">
        <v>2970</v>
      </c>
      <c r="D82" t="s">
        <v>2716</v>
      </c>
      <c r="E82" t="s">
        <v>2717</v>
      </c>
      <c r="F82" t="s">
        <v>950</v>
      </c>
      <c r="G82" t="s">
        <v>1832</v>
      </c>
      <c r="H82">
        <v>664.84</v>
      </c>
      <c r="I82" t="s">
        <v>2708</v>
      </c>
      <c r="J82" t="s">
        <v>2961</v>
      </c>
      <c r="M82" s="14" t="s">
        <v>2971</v>
      </c>
    </row>
    <row r="83" spans="1:13" x14ac:dyDescent="0.3">
      <c r="A83" t="s">
        <v>2972</v>
      </c>
      <c r="B83" t="s">
        <v>2973</v>
      </c>
      <c r="D83" t="s">
        <v>2716</v>
      </c>
      <c r="E83" t="s">
        <v>2717</v>
      </c>
      <c r="F83" t="s">
        <v>950</v>
      </c>
      <c r="G83" t="s">
        <v>1832</v>
      </c>
      <c r="H83">
        <v>832.65</v>
      </c>
      <c r="I83" t="s">
        <v>2708</v>
      </c>
      <c r="J83" t="s">
        <v>2961</v>
      </c>
      <c r="M83" s="14" t="s">
        <v>2974</v>
      </c>
    </row>
    <row r="84" spans="1:13" x14ac:dyDescent="0.3">
      <c r="A84" t="s">
        <v>2975</v>
      </c>
      <c r="B84" t="s">
        <v>2976</v>
      </c>
      <c r="D84" t="s">
        <v>2716</v>
      </c>
      <c r="E84" t="s">
        <v>2717</v>
      </c>
      <c r="F84" t="s">
        <v>950</v>
      </c>
      <c r="G84" t="s">
        <v>1832</v>
      </c>
      <c r="H84">
        <v>671.24</v>
      </c>
      <c r="I84" t="s">
        <v>2708</v>
      </c>
      <c r="J84" t="s">
        <v>2961</v>
      </c>
      <c r="M84" s="14" t="s">
        <v>2977</v>
      </c>
    </row>
    <row r="85" spans="1:13" x14ac:dyDescent="0.3">
      <c r="A85" t="s">
        <v>2978</v>
      </c>
      <c r="B85" t="s">
        <v>2979</v>
      </c>
      <c r="D85" t="s">
        <v>2716</v>
      </c>
      <c r="E85" t="s">
        <v>2717</v>
      </c>
      <c r="F85" t="s">
        <v>950</v>
      </c>
      <c r="G85" t="s">
        <v>1832</v>
      </c>
      <c r="H85">
        <v>645.20000000000005</v>
      </c>
      <c r="I85" t="s">
        <v>2708</v>
      </c>
      <c r="J85" t="s">
        <v>2961</v>
      </c>
      <c r="M85" s="14" t="s">
        <v>2980</v>
      </c>
    </row>
    <row r="86" spans="1:13" x14ac:dyDescent="0.3">
      <c r="A86" t="s">
        <v>2981</v>
      </c>
      <c r="B86" t="s">
        <v>2982</v>
      </c>
      <c r="D86" t="s">
        <v>2716</v>
      </c>
      <c r="E86" t="s">
        <v>2717</v>
      </c>
      <c r="F86" t="s">
        <v>950</v>
      </c>
      <c r="G86" t="s">
        <v>1832</v>
      </c>
      <c r="H86">
        <v>825.39</v>
      </c>
      <c r="I86" t="s">
        <v>2708</v>
      </c>
      <c r="J86" t="s">
        <v>2961</v>
      </c>
      <c r="M86" s="14" t="s">
        <v>2983</v>
      </c>
    </row>
    <row r="87" spans="1:13" x14ac:dyDescent="0.3">
      <c r="A87" t="s">
        <v>2984</v>
      </c>
      <c r="B87" t="s">
        <v>2985</v>
      </c>
      <c r="D87" t="s">
        <v>2716</v>
      </c>
      <c r="E87" t="s">
        <v>2717</v>
      </c>
      <c r="F87" t="s">
        <v>950</v>
      </c>
      <c r="G87" t="s">
        <v>1832</v>
      </c>
      <c r="H87">
        <v>894.14</v>
      </c>
      <c r="I87" t="s">
        <v>2708</v>
      </c>
      <c r="J87" t="s">
        <v>2961</v>
      </c>
      <c r="M87" s="14" t="s">
        <v>2986</v>
      </c>
    </row>
    <row r="88" spans="1:13" x14ac:dyDescent="0.3">
      <c r="A88" t="s">
        <v>2987</v>
      </c>
      <c r="B88" t="s">
        <v>2988</v>
      </c>
      <c r="D88" t="s">
        <v>2716</v>
      </c>
      <c r="E88" t="s">
        <v>2717</v>
      </c>
      <c r="F88" t="s">
        <v>950</v>
      </c>
      <c r="G88" t="s">
        <v>1832</v>
      </c>
      <c r="H88">
        <v>895.85</v>
      </c>
      <c r="I88" t="s">
        <v>2708</v>
      </c>
      <c r="J88" t="s">
        <v>2961</v>
      </c>
      <c r="M88" s="14" t="s">
        <v>2989</v>
      </c>
    </row>
    <row r="89" spans="1:13" x14ac:dyDescent="0.3">
      <c r="A89" t="s">
        <v>2990</v>
      </c>
      <c r="B89" t="s">
        <v>2991</v>
      </c>
      <c r="D89" t="s">
        <v>2716</v>
      </c>
      <c r="E89" t="s">
        <v>2717</v>
      </c>
      <c r="F89" t="s">
        <v>950</v>
      </c>
      <c r="G89" t="s">
        <v>1832</v>
      </c>
      <c r="H89">
        <v>572.17999999999995</v>
      </c>
      <c r="I89" t="s">
        <v>2708</v>
      </c>
      <c r="J89" t="s">
        <v>2961</v>
      </c>
      <c r="M89" s="14" t="s">
        <v>2992</v>
      </c>
    </row>
    <row r="90" spans="1:13" x14ac:dyDescent="0.3">
      <c r="A90" t="s">
        <v>2993</v>
      </c>
      <c r="B90" t="s">
        <v>2994</v>
      </c>
      <c r="D90" t="s">
        <v>2716</v>
      </c>
      <c r="E90" t="s">
        <v>2717</v>
      </c>
      <c r="F90" t="s">
        <v>950</v>
      </c>
      <c r="G90" t="s">
        <v>1832</v>
      </c>
      <c r="H90">
        <v>722.48</v>
      </c>
      <c r="I90" t="s">
        <v>2708</v>
      </c>
      <c r="J90" t="s">
        <v>2961</v>
      </c>
      <c r="M90" s="14" t="s">
        <v>2995</v>
      </c>
    </row>
    <row r="91" spans="1:13" x14ac:dyDescent="0.3">
      <c r="A91" t="s">
        <v>2996</v>
      </c>
      <c r="B91" t="s">
        <v>2997</v>
      </c>
      <c r="D91" t="s">
        <v>2716</v>
      </c>
      <c r="E91" t="s">
        <v>2717</v>
      </c>
      <c r="F91" t="s">
        <v>950</v>
      </c>
      <c r="G91" t="s">
        <v>1832</v>
      </c>
      <c r="H91">
        <v>4287.51</v>
      </c>
      <c r="I91" t="s">
        <v>2708</v>
      </c>
      <c r="J91" t="s">
        <v>2998</v>
      </c>
      <c r="M91" s="14" t="s">
        <v>2999</v>
      </c>
    </row>
    <row r="92" spans="1:13" x14ac:dyDescent="0.3">
      <c r="A92" t="s">
        <v>3000</v>
      </c>
      <c r="B92" t="s">
        <v>3001</v>
      </c>
      <c r="D92" t="s">
        <v>2716</v>
      </c>
      <c r="E92" t="s">
        <v>2717</v>
      </c>
      <c r="F92" t="s">
        <v>950</v>
      </c>
      <c r="G92" t="s">
        <v>1832</v>
      </c>
      <c r="H92">
        <v>3945.91</v>
      </c>
      <c r="I92" t="s">
        <v>2708</v>
      </c>
      <c r="J92" t="s">
        <v>2998</v>
      </c>
      <c r="M92" s="14" t="s">
        <v>3002</v>
      </c>
    </row>
    <row r="93" spans="1:13" x14ac:dyDescent="0.3">
      <c r="A93" t="s">
        <v>3003</v>
      </c>
      <c r="B93" t="s">
        <v>3004</v>
      </c>
      <c r="D93" t="s">
        <v>2716</v>
      </c>
      <c r="E93" t="s">
        <v>2717</v>
      </c>
      <c r="F93" t="s">
        <v>950</v>
      </c>
      <c r="G93" t="s">
        <v>1832</v>
      </c>
      <c r="H93">
        <v>763.05</v>
      </c>
      <c r="I93" t="s">
        <v>2708</v>
      </c>
      <c r="J93" t="s">
        <v>3005</v>
      </c>
      <c r="M93" s="14" t="s">
        <v>3006</v>
      </c>
    </row>
    <row r="94" spans="1:13" x14ac:dyDescent="0.3">
      <c r="A94" t="s">
        <v>3007</v>
      </c>
      <c r="B94" t="s">
        <v>3008</v>
      </c>
      <c r="D94" t="s">
        <v>2716</v>
      </c>
      <c r="E94" t="s">
        <v>2717</v>
      </c>
      <c r="F94" t="s">
        <v>950</v>
      </c>
      <c r="G94" t="s">
        <v>1832</v>
      </c>
      <c r="H94">
        <v>845.46</v>
      </c>
      <c r="I94" t="s">
        <v>2708</v>
      </c>
      <c r="J94" t="s">
        <v>3005</v>
      </c>
      <c r="M94" s="14" t="s">
        <v>3009</v>
      </c>
    </row>
    <row r="95" spans="1:13" x14ac:dyDescent="0.3">
      <c r="A95" t="s">
        <v>3010</v>
      </c>
      <c r="B95" t="s">
        <v>3011</v>
      </c>
      <c r="D95" t="s">
        <v>2716</v>
      </c>
      <c r="E95" t="s">
        <v>2717</v>
      </c>
      <c r="F95" t="s">
        <v>950</v>
      </c>
      <c r="G95" t="s">
        <v>1832</v>
      </c>
      <c r="H95">
        <v>637.08000000000004</v>
      </c>
      <c r="I95" t="s">
        <v>2708</v>
      </c>
      <c r="J95" t="s">
        <v>3005</v>
      </c>
      <c r="M95" s="14" t="s">
        <v>3012</v>
      </c>
    </row>
    <row r="96" spans="1:13" x14ac:dyDescent="0.3">
      <c r="A96" t="s">
        <v>3013</v>
      </c>
      <c r="B96" t="s">
        <v>3014</v>
      </c>
      <c r="D96" t="s">
        <v>2716</v>
      </c>
      <c r="E96" t="s">
        <v>2717</v>
      </c>
      <c r="F96" t="s">
        <v>950</v>
      </c>
      <c r="G96" t="s">
        <v>1832</v>
      </c>
      <c r="H96">
        <v>703.7</v>
      </c>
      <c r="I96" t="s">
        <v>2708</v>
      </c>
      <c r="J96" t="s">
        <v>3005</v>
      </c>
      <c r="M96" s="14" t="s">
        <v>3015</v>
      </c>
    </row>
    <row r="97" spans="1:13" x14ac:dyDescent="0.3">
      <c r="A97" t="s">
        <v>3016</v>
      </c>
      <c r="B97" t="s">
        <v>3017</v>
      </c>
      <c r="D97" t="s">
        <v>2716</v>
      </c>
      <c r="E97" t="s">
        <v>2717</v>
      </c>
      <c r="F97" t="s">
        <v>950</v>
      </c>
      <c r="G97" t="s">
        <v>1832</v>
      </c>
      <c r="H97">
        <v>852.72</v>
      </c>
      <c r="I97" t="s">
        <v>2708</v>
      </c>
      <c r="J97" t="s">
        <v>3005</v>
      </c>
      <c r="M97" s="14" t="s">
        <v>3018</v>
      </c>
    </row>
    <row r="98" spans="1:13" x14ac:dyDescent="0.3">
      <c r="A98" t="s">
        <v>3019</v>
      </c>
      <c r="B98" t="s">
        <v>3020</v>
      </c>
      <c r="D98" t="s">
        <v>2716</v>
      </c>
      <c r="E98" t="s">
        <v>2717</v>
      </c>
      <c r="F98" t="s">
        <v>950</v>
      </c>
      <c r="G98" t="s">
        <v>1832</v>
      </c>
      <c r="H98">
        <v>713.94</v>
      </c>
      <c r="I98" t="s">
        <v>2708</v>
      </c>
      <c r="J98" t="s">
        <v>3005</v>
      </c>
      <c r="M98" s="14" t="s">
        <v>3021</v>
      </c>
    </row>
    <row r="99" spans="1:13" x14ac:dyDescent="0.3">
      <c r="A99" t="s">
        <v>3022</v>
      </c>
      <c r="B99" t="s">
        <v>3023</v>
      </c>
      <c r="D99" t="s">
        <v>2716</v>
      </c>
      <c r="E99" t="s">
        <v>2717</v>
      </c>
      <c r="F99" t="s">
        <v>950</v>
      </c>
      <c r="G99" t="s">
        <v>1832</v>
      </c>
      <c r="H99">
        <v>686.62</v>
      </c>
      <c r="I99" t="s">
        <v>2708</v>
      </c>
      <c r="J99" t="s">
        <v>3005</v>
      </c>
      <c r="M99" s="14" t="s">
        <v>3024</v>
      </c>
    </row>
    <row r="100" spans="1:13" x14ac:dyDescent="0.3">
      <c r="A100" t="s">
        <v>3025</v>
      </c>
      <c r="B100" t="s">
        <v>3026</v>
      </c>
      <c r="D100" t="s">
        <v>2716</v>
      </c>
      <c r="E100" t="s">
        <v>2717</v>
      </c>
      <c r="F100" t="s">
        <v>950</v>
      </c>
      <c r="G100" t="s">
        <v>1832</v>
      </c>
      <c r="H100">
        <v>842.47</v>
      </c>
      <c r="I100" t="s">
        <v>2708</v>
      </c>
      <c r="J100" t="s">
        <v>3005</v>
      </c>
      <c r="M100" s="14" t="s">
        <v>3027</v>
      </c>
    </row>
    <row r="101" spans="1:13" x14ac:dyDescent="0.3">
      <c r="A101" t="s">
        <v>3028</v>
      </c>
      <c r="B101" t="s">
        <v>3029</v>
      </c>
      <c r="D101" t="s">
        <v>2716</v>
      </c>
      <c r="E101" t="s">
        <v>2717</v>
      </c>
      <c r="F101" t="s">
        <v>950</v>
      </c>
      <c r="G101" t="s">
        <v>1832</v>
      </c>
      <c r="H101">
        <v>894.57</v>
      </c>
      <c r="I101" t="s">
        <v>2708</v>
      </c>
      <c r="J101" t="s">
        <v>3005</v>
      </c>
      <c r="M101" s="14" t="s">
        <v>3030</v>
      </c>
    </row>
    <row r="102" spans="1:13" x14ac:dyDescent="0.3">
      <c r="A102" t="s">
        <v>3031</v>
      </c>
      <c r="B102" t="s">
        <v>3032</v>
      </c>
      <c r="D102" t="s">
        <v>2716</v>
      </c>
      <c r="E102" t="s">
        <v>2717</v>
      </c>
      <c r="F102" t="s">
        <v>950</v>
      </c>
      <c r="G102" t="s">
        <v>1832</v>
      </c>
      <c r="H102">
        <v>956.05</v>
      </c>
      <c r="I102" t="s">
        <v>2708</v>
      </c>
      <c r="J102" t="s">
        <v>3005</v>
      </c>
      <c r="M102" s="14" t="s">
        <v>3033</v>
      </c>
    </row>
    <row r="103" spans="1:13" x14ac:dyDescent="0.3">
      <c r="A103" t="s">
        <v>3034</v>
      </c>
      <c r="B103" t="s">
        <v>3035</v>
      </c>
      <c r="D103" t="s">
        <v>2716</v>
      </c>
      <c r="E103" t="s">
        <v>2717</v>
      </c>
      <c r="F103" t="s">
        <v>950</v>
      </c>
      <c r="G103" t="s">
        <v>1832</v>
      </c>
      <c r="H103">
        <v>957.76</v>
      </c>
      <c r="I103" t="s">
        <v>2708</v>
      </c>
      <c r="J103" t="s">
        <v>3005</v>
      </c>
      <c r="M103" s="14" t="s">
        <v>3036</v>
      </c>
    </row>
    <row r="104" spans="1:13" x14ac:dyDescent="0.3">
      <c r="A104" t="s">
        <v>3037</v>
      </c>
      <c r="B104" t="s">
        <v>3038</v>
      </c>
      <c r="D104" t="s">
        <v>2716</v>
      </c>
      <c r="E104" t="s">
        <v>2717</v>
      </c>
      <c r="F104" t="s">
        <v>950</v>
      </c>
      <c r="G104" t="s">
        <v>1832</v>
      </c>
      <c r="H104">
        <v>586.27</v>
      </c>
      <c r="I104" t="s">
        <v>2708</v>
      </c>
      <c r="J104" t="s">
        <v>3005</v>
      </c>
      <c r="M104" s="14" t="s">
        <v>3039</v>
      </c>
    </row>
    <row r="105" spans="1:13" x14ac:dyDescent="0.3">
      <c r="A105" t="s">
        <v>3040</v>
      </c>
      <c r="B105" t="s">
        <v>3041</v>
      </c>
      <c r="D105" t="s">
        <v>2716</v>
      </c>
      <c r="E105" t="s">
        <v>2717</v>
      </c>
      <c r="F105" t="s">
        <v>950</v>
      </c>
      <c r="G105" t="s">
        <v>1832</v>
      </c>
      <c r="H105">
        <v>742.13</v>
      </c>
      <c r="I105" t="s">
        <v>2708</v>
      </c>
      <c r="J105" t="s">
        <v>3005</v>
      </c>
      <c r="M105" s="14" t="s">
        <v>3042</v>
      </c>
    </row>
    <row r="106" spans="1:13" x14ac:dyDescent="0.3">
      <c r="A106" t="s">
        <v>3043</v>
      </c>
      <c r="B106" t="s">
        <v>3044</v>
      </c>
      <c r="D106" t="s">
        <v>2716</v>
      </c>
      <c r="E106" t="s">
        <v>2717</v>
      </c>
      <c r="F106" t="s">
        <v>950</v>
      </c>
      <c r="G106" t="s">
        <v>1832</v>
      </c>
      <c r="H106">
        <v>661.85</v>
      </c>
      <c r="I106" t="s">
        <v>2708</v>
      </c>
      <c r="J106" t="s">
        <v>3045</v>
      </c>
      <c r="M106" s="14" t="s">
        <v>3046</v>
      </c>
    </row>
    <row r="107" spans="1:13" x14ac:dyDescent="0.3">
      <c r="A107" t="s">
        <v>3047</v>
      </c>
      <c r="B107" t="s">
        <v>3048</v>
      </c>
      <c r="D107" t="s">
        <v>2716</v>
      </c>
      <c r="E107" t="s">
        <v>2717</v>
      </c>
      <c r="F107" t="s">
        <v>950</v>
      </c>
      <c r="G107" t="s">
        <v>1832</v>
      </c>
      <c r="H107">
        <v>783.97</v>
      </c>
      <c r="I107" t="s">
        <v>2708</v>
      </c>
      <c r="J107" t="s">
        <v>3049</v>
      </c>
      <c r="M107" s="14" t="s">
        <v>3050</v>
      </c>
    </row>
    <row r="108" spans="1:13" x14ac:dyDescent="0.3">
      <c r="A108" t="s">
        <v>3051</v>
      </c>
      <c r="B108" t="s">
        <v>3052</v>
      </c>
      <c r="D108" t="s">
        <v>2716</v>
      </c>
      <c r="E108" t="s">
        <v>2717</v>
      </c>
      <c r="F108" t="s">
        <v>950</v>
      </c>
      <c r="G108" t="s">
        <v>1832</v>
      </c>
      <c r="H108">
        <v>877.91</v>
      </c>
      <c r="I108" t="s">
        <v>2708</v>
      </c>
      <c r="J108" t="s">
        <v>3049</v>
      </c>
      <c r="M108" s="14" t="s">
        <v>3053</v>
      </c>
    </row>
    <row r="109" spans="1:13" x14ac:dyDescent="0.3">
      <c r="A109" t="s">
        <v>3054</v>
      </c>
      <c r="B109" t="s">
        <v>3055</v>
      </c>
      <c r="D109" t="s">
        <v>2716</v>
      </c>
      <c r="E109" t="s">
        <v>2717</v>
      </c>
      <c r="F109" t="s">
        <v>950</v>
      </c>
      <c r="G109" t="s">
        <v>1832</v>
      </c>
      <c r="H109">
        <v>897.13</v>
      </c>
      <c r="I109" t="s">
        <v>2708</v>
      </c>
      <c r="J109" t="s">
        <v>3049</v>
      </c>
      <c r="M109" s="14" t="s">
        <v>3056</v>
      </c>
    </row>
    <row r="110" spans="1:13" x14ac:dyDescent="0.3">
      <c r="A110" t="s">
        <v>3057</v>
      </c>
      <c r="B110" t="s">
        <v>3058</v>
      </c>
      <c r="D110" t="s">
        <v>2716</v>
      </c>
      <c r="E110" t="s">
        <v>2717</v>
      </c>
      <c r="F110" t="s">
        <v>950</v>
      </c>
      <c r="G110" t="s">
        <v>1832</v>
      </c>
      <c r="H110">
        <v>904.81</v>
      </c>
      <c r="I110" t="s">
        <v>2708</v>
      </c>
      <c r="J110" t="s">
        <v>3049</v>
      </c>
      <c r="M110" s="14" t="s">
        <v>3059</v>
      </c>
    </row>
    <row r="111" spans="1:13" x14ac:dyDescent="0.3">
      <c r="A111" t="s">
        <v>3060</v>
      </c>
      <c r="B111" t="s">
        <v>3061</v>
      </c>
      <c r="D111" t="s">
        <v>2716</v>
      </c>
      <c r="E111" t="s">
        <v>2717</v>
      </c>
      <c r="F111" t="s">
        <v>950</v>
      </c>
      <c r="G111" t="s">
        <v>1832</v>
      </c>
      <c r="H111">
        <v>759.63</v>
      </c>
      <c r="I111" t="s">
        <v>2708</v>
      </c>
      <c r="J111" t="s">
        <v>3049</v>
      </c>
      <c r="M111" s="14" t="s">
        <v>3062</v>
      </c>
    </row>
    <row r="112" spans="1:13" x14ac:dyDescent="0.3">
      <c r="A112" t="s">
        <v>3063</v>
      </c>
      <c r="B112" t="s">
        <v>3064</v>
      </c>
      <c r="D112" t="s">
        <v>2716</v>
      </c>
      <c r="E112" t="s">
        <v>2717</v>
      </c>
      <c r="F112" t="s">
        <v>950</v>
      </c>
      <c r="G112" t="s">
        <v>1832</v>
      </c>
      <c r="H112">
        <v>730.6</v>
      </c>
      <c r="I112" t="s">
        <v>2708</v>
      </c>
      <c r="J112" t="s">
        <v>3049</v>
      </c>
      <c r="M112" s="14" t="s">
        <v>3065</v>
      </c>
    </row>
    <row r="113" spans="1:13" x14ac:dyDescent="0.3">
      <c r="A113" t="s">
        <v>3066</v>
      </c>
      <c r="B113" t="s">
        <v>3067</v>
      </c>
      <c r="D113" t="s">
        <v>2716</v>
      </c>
      <c r="E113" t="s">
        <v>2717</v>
      </c>
      <c r="F113" t="s">
        <v>950</v>
      </c>
      <c r="G113" t="s">
        <v>1832</v>
      </c>
      <c r="H113">
        <v>910.36</v>
      </c>
      <c r="I113" t="s">
        <v>2708</v>
      </c>
      <c r="J113" t="s">
        <v>3049</v>
      </c>
      <c r="M113" s="14" t="s">
        <v>3068</v>
      </c>
    </row>
    <row r="114" spans="1:13" x14ac:dyDescent="0.3">
      <c r="A114" t="s">
        <v>3069</v>
      </c>
      <c r="B114" t="s">
        <v>3070</v>
      </c>
      <c r="D114" t="s">
        <v>2716</v>
      </c>
      <c r="E114" t="s">
        <v>2717</v>
      </c>
      <c r="F114" t="s">
        <v>950</v>
      </c>
      <c r="G114" t="s">
        <v>1832</v>
      </c>
      <c r="H114">
        <v>919.33</v>
      </c>
      <c r="I114" t="s">
        <v>2708</v>
      </c>
      <c r="J114" t="s">
        <v>3049</v>
      </c>
      <c r="M114" s="14" t="s">
        <v>3071</v>
      </c>
    </row>
    <row r="115" spans="1:13" x14ac:dyDescent="0.3">
      <c r="A115" t="s">
        <v>3072</v>
      </c>
      <c r="B115" t="s">
        <v>3073</v>
      </c>
      <c r="D115" t="s">
        <v>2716</v>
      </c>
      <c r="E115" t="s">
        <v>2717</v>
      </c>
      <c r="F115" t="s">
        <v>950</v>
      </c>
      <c r="G115" t="s">
        <v>1832</v>
      </c>
      <c r="H115">
        <v>987.65</v>
      </c>
      <c r="I115" t="s">
        <v>2708</v>
      </c>
      <c r="J115" t="s">
        <v>3049</v>
      </c>
      <c r="M115" s="14" t="s">
        <v>3074</v>
      </c>
    </row>
    <row r="116" spans="1:13" x14ac:dyDescent="0.3">
      <c r="A116" t="s">
        <v>3075</v>
      </c>
      <c r="B116" t="s">
        <v>3076</v>
      </c>
      <c r="D116" t="s">
        <v>2716</v>
      </c>
      <c r="E116" t="s">
        <v>2717</v>
      </c>
      <c r="F116" t="s">
        <v>950</v>
      </c>
      <c r="G116" t="s">
        <v>1832</v>
      </c>
      <c r="H116">
        <v>987.65</v>
      </c>
      <c r="I116" t="s">
        <v>2708</v>
      </c>
      <c r="J116" t="s">
        <v>3049</v>
      </c>
      <c r="M116" s="14" t="s">
        <v>3077</v>
      </c>
    </row>
    <row r="117" spans="1:13" x14ac:dyDescent="0.3">
      <c r="A117" t="s">
        <v>3078</v>
      </c>
      <c r="B117" t="s">
        <v>3079</v>
      </c>
      <c r="D117" t="s">
        <v>2716</v>
      </c>
      <c r="E117" t="s">
        <v>2717</v>
      </c>
      <c r="F117" t="s">
        <v>950</v>
      </c>
      <c r="G117" t="s">
        <v>1832</v>
      </c>
      <c r="H117">
        <v>632.80999999999995</v>
      </c>
      <c r="I117" t="s">
        <v>2708</v>
      </c>
      <c r="J117" t="s">
        <v>3049</v>
      </c>
      <c r="M117" s="14" t="s">
        <v>3080</v>
      </c>
    </row>
    <row r="118" spans="1:13" x14ac:dyDescent="0.3">
      <c r="A118" t="s">
        <v>3081</v>
      </c>
      <c r="B118" t="s">
        <v>3082</v>
      </c>
      <c r="D118" t="s">
        <v>2716</v>
      </c>
      <c r="E118" t="s">
        <v>2717</v>
      </c>
      <c r="F118" t="s">
        <v>950</v>
      </c>
      <c r="G118" t="s">
        <v>1832</v>
      </c>
      <c r="H118">
        <v>828.81</v>
      </c>
      <c r="I118" t="s">
        <v>2708</v>
      </c>
      <c r="J118" t="s">
        <v>3049</v>
      </c>
      <c r="M118" s="14" t="s">
        <v>3083</v>
      </c>
    </row>
    <row r="119" spans="1:13" x14ac:dyDescent="0.3">
      <c r="A119" t="s">
        <v>3084</v>
      </c>
      <c r="B119" t="s">
        <v>3085</v>
      </c>
      <c r="D119" t="s">
        <v>2716</v>
      </c>
      <c r="E119" t="s">
        <v>2717</v>
      </c>
      <c r="F119" t="s">
        <v>950</v>
      </c>
      <c r="G119" t="s">
        <v>1832</v>
      </c>
      <c r="H119">
        <v>925.31</v>
      </c>
      <c r="I119" t="s">
        <v>2708</v>
      </c>
      <c r="J119" t="s">
        <v>3086</v>
      </c>
      <c r="M119" s="14" t="s">
        <v>3087</v>
      </c>
    </row>
    <row r="120" spans="1:13" x14ac:dyDescent="0.3">
      <c r="A120" t="s">
        <v>3088</v>
      </c>
      <c r="B120" t="s">
        <v>3089</v>
      </c>
      <c r="D120" t="s">
        <v>2716</v>
      </c>
      <c r="E120" t="s">
        <v>2717</v>
      </c>
      <c r="F120" t="s">
        <v>950</v>
      </c>
      <c r="G120" t="s">
        <v>1832</v>
      </c>
      <c r="H120">
        <v>1022.24</v>
      </c>
      <c r="I120" t="s">
        <v>2708</v>
      </c>
      <c r="J120" t="s">
        <v>3086</v>
      </c>
      <c r="M120" s="14" t="s">
        <v>3090</v>
      </c>
    </row>
    <row r="121" spans="1:13" x14ac:dyDescent="0.3">
      <c r="A121" t="s">
        <v>3091</v>
      </c>
      <c r="B121" t="s">
        <v>3092</v>
      </c>
      <c r="D121" t="s">
        <v>2716</v>
      </c>
      <c r="E121" t="s">
        <v>2717</v>
      </c>
      <c r="F121" t="s">
        <v>950</v>
      </c>
      <c r="G121" t="s">
        <v>1832</v>
      </c>
      <c r="H121">
        <v>760.91</v>
      </c>
      <c r="I121" t="s">
        <v>2708</v>
      </c>
      <c r="J121" t="s">
        <v>3086</v>
      </c>
      <c r="M121" s="14" t="s">
        <v>3093</v>
      </c>
    </row>
    <row r="122" spans="1:13" x14ac:dyDescent="0.3">
      <c r="A122" t="s">
        <v>3094</v>
      </c>
      <c r="B122" t="s">
        <v>3095</v>
      </c>
      <c r="D122" t="s">
        <v>2716</v>
      </c>
      <c r="E122" t="s">
        <v>2717</v>
      </c>
      <c r="F122" t="s">
        <v>950</v>
      </c>
      <c r="G122" t="s">
        <v>1832</v>
      </c>
      <c r="H122">
        <v>678.08</v>
      </c>
      <c r="I122" t="s">
        <v>2708</v>
      </c>
      <c r="J122" t="s">
        <v>3086</v>
      </c>
      <c r="M122" s="14" t="s">
        <v>3096</v>
      </c>
    </row>
    <row r="123" spans="1:13" x14ac:dyDescent="0.3">
      <c r="A123" t="s">
        <v>3097</v>
      </c>
      <c r="B123" t="s">
        <v>3098</v>
      </c>
      <c r="D123" t="s">
        <v>2716</v>
      </c>
      <c r="E123" t="s">
        <v>2717</v>
      </c>
      <c r="F123" t="s">
        <v>950</v>
      </c>
      <c r="G123" t="s">
        <v>1832</v>
      </c>
      <c r="H123">
        <v>965.02</v>
      </c>
      <c r="I123" t="s">
        <v>2708</v>
      </c>
      <c r="J123" t="s">
        <v>3086</v>
      </c>
      <c r="M123" s="14" t="s">
        <v>3099</v>
      </c>
    </row>
    <row r="124" spans="1:13" x14ac:dyDescent="0.3">
      <c r="A124" t="s">
        <v>3100</v>
      </c>
      <c r="B124" t="s">
        <v>3101</v>
      </c>
      <c r="D124" t="s">
        <v>2716</v>
      </c>
      <c r="E124" t="s">
        <v>2717</v>
      </c>
      <c r="F124" t="s">
        <v>950</v>
      </c>
      <c r="G124" t="s">
        <v>1832</v>
      </c>
      <c r="H124">
        <v>987.65</v>
      </c>
      <c r="I124" t="s">
        <v>2708</v>
      </c>
      <c r="J124" t="s">
        <v>3086</v>
      </c>
      <c r="M124" s="14" t="s">
        <v>3102</v>
      </c>
    </row>
    <row r="125" spans="1:13" x14ac:dyDescent="0.3">
      <c r="A125" t="s">
        <v>3103</v>
      </c>
      <c r="B125" t="s">
        <v>3104</v>
      </c>
      <c r="D125" t="s">
        <v>2716</v>
      </c>
      <c r="E125" t="s">
        <v>2717</v>
      </c>
      <c r="F125" t="s">
        <v>950</v>
      </c>
      <c r="G125" t="s">
        <v>1832</v>
      </c>
      <c r="H125">
        <v>1055.97</v>
      </c>
      <c r="I125" t="s">
        <v>2708</v>
      </c>
      <c r="J125" t="s">
        <v>3086</v>
      </c>
      <c r="M125" s="14" t="s">
        <v>3105</v>
      </c>
    </row>
    <row r="126" spans="1:13" x14ac:dyDescent="0.3">
      <c r="A126" t="s">
        <v>3106</v>
      </c>
      <c r="B126" t="s">
        <v>3107</v>
      </c>
      <c r="D126" t="s">
        <v>2716</v>
      </c>
      <c r="E126" t="s">
        <v>2717</v>
      </c>
      <c r="F126" t="s">
        <v>950</v>
      </c>
      <c r="G126" t="s">
        <v>1832</v>
      </c>
      <c r="H126">
        <v>1058.1099999999999</v>
      </c>
      <c r="I126" t="s">
        <v>2708</v>
      </c>
      <c r="J126" t="s">
        <v>3086</v>
      </c>
      <c r="M126" s="14" t="s">
        <v>3108</v>
      </c>
    </row>
    <row r="127" spans="1:13" x14ac:dyDescent="0.3">
      <c r="A127" t="s">
        <v>3109</v>
      </c>
      <c r="B127" t="s">
        <v>3110</v>
      </c>
      <c r="D127" t="s">
        <v>2716</v>
      </c>
      <c r="E127" t="s">
        <v>2717</v>
      </c>
      <c r="F127" t="s">
        <v>950</v>
      </c>
      <c r="G127" t="s">
        <v>1832</v>
      </c>
      <c r="H127">
        <v>644.34</v>
      </c>
      <c r="I127" t="s">
        <v>2708</v>
      </c>
      <c r="J127" t="s">
        <v>3086</v>
      </c>
      <c r="M127" s="14" t="s">
        <v>3111</v>
      </c>
    </row>
    <row r="128" spans="1:13" x14ac:dyDescent="0.3">
      <c r="A128" t="s">
        <v>3112</v>
      </c>
      <c r="B128" t="s">
        <v>3113</v>
      </c>
      <c r="D128" t="s">
        <v>2716</v>
      </c>
      <c r="E128" t="s">
        <v>2717</v>
      </c>
      <c r="F128" t="s">
        <v>950</v>
      </c>
      <c r="G128" t="s">
        <v>1832</v>
      </c>
      <c r="H128">
        <v>844.18</v>
      </c>
      <c r="I128" t="s">
        <v>2708</v>
      </c>
      <c r="J128" t="s">
        <v>3086</v>
      </c>
      <c r="M128" s="14" t="s">
        <v>3114</v>
      </c>
    </row>
    <row r="129" spans="1:13" x14ac:dyDescent="0.3">
      <c r="A129" t="s">
        <v>3115</v>
      </c>
      <c r="B129" t="s">
        <v>3116</v>
      </c>
      <c r="D129" t="s">
        <v>2716</v>
      </c>
      <c r="E129" t="s">
        <v>2717</v>
      </c>
      <c r="F129" t="s">
        <v>950</v>
      </c>
      <c r="G129" t="s">
        <v>1832</v>
      </c>
      <c r="H129">
        <v>942.82</v>
      </c>
      <c r="I129" t="s">
        <v>2708</v>
      </c>
      <c r="J129" t="s">
        <v>3117</v>
      </c>
      <c r="M129" s="14" t="s">
        <v>3118</v>
      </c>
    </row>
    <row r="130" spans="1:13" x14ac:dyDescent="0.3">
      <c r="A130" t="s">
        <v>3119</v>
      </c>
      <c r="B130" t="s">
        <v>3120</v>
      </c>
      <c r="D130" t="s">
        <v>2716</v>
      </c>
      <c r="E130" t="s">
        <v>2717</v>
      </c>
      <c r="F130" t="s">
        <v>950</v>
      </c>
      <c r="G130" t="s">
        <v>1832</v>
      </c>
      <c r="H130">
        <v>1003.45</v>
      </c>
      <c r="I130" t="s">
        <v>2708</v>
      </c>
      <c r="J130" t="s">
        <v>3117</v>
      </c>
      <c r="M130" s="14" t="s">
        <v>3121</v>
      </c>
    </row>
    <row r="131" spans="1:13" x14ac:dyDescent="0.3">
      <c r="A131" t="s">
        <v>3122</v>
      </c>
      <c r="B131" t="s">
        <v>3123</v>
      </c>
      <c r="D131" t="s">
        <v>2716</v>
      </c>
      <c r="E131" t="s">
        <v>2717</v>
      </c>
      <c r="F131" t="s">
        <v>950</v>
      </c>
      <c r="G131" t="s">
        <v>1832</v>
      </c>
      <c r="H131">
        <v>801.91</v>
      </c>
      <c r="I131" t="s">
        <v>2708</v>
      </c>
      <c r="J131" t="s">
        <v>3117</v>
      </c>
      <c r="M131" s="14" t="s">
        <v>3124</v>
      </c>
    </row>
    <row r="132" spans="1:13" x14ac:dyDescent="0.3">
      <c r="A132" t="s">
        <v>3125</v>
      </c>
      <c r="B132" t="s">
        <v>3126</v>
      </c>
      <c r="D132" t="s">
        <v>2716</v>
      </c>
      <c r="E132" t="s">
        <v>2717</v>
      </c>
      <c r="F132" t="s">
        <v>950</v>
      </c>
      <c r="G132" t="s">
        <v>1832</v>
      </c>
      <c r="H132">
        <v>731.45</v>
      </c>
      <c r="I132" t="s">
        <v>2708</v>
      </c>
      <c r="J132" t="s">
        <v>3117</v>
      </c>
      <c r="M132" s="14" t="s">
        <v>3127</v>
      </c>
    </row>
    <row r="133" spans="1:13" x14ac:dyDescent="0.3">
      <c r="A133" t="s">
        <v>3128</v>
      </c>
      <c r="B133" t="s">
        <v>3129</v>
      </c>
      <c r="D133" t="s">
        <v>2716</v>
      </c>
      <c r="E133" t="s">
        <v>2717</v>
      </c>
      <c r="F133" t="s">
        <v>950</v>
      </c>
      <c r="G133" t="s">
        <v>1832</v>
      </c>
      <c r="H133">
        <v>1053.4100000000001</v>
      </c>
      <c r="I133" t="s">
        <v>2708</v>
      </c>
      <c r="J133" t="s">
        <v>3117</v>
      </c>
      <c r="M133" s="14" t="s">
        <v>3130</v>
      </c>
    </row>
    <row r="134" spans="1:13" x14ac:dyDescent="0.3">
      <c r="A134" t="s">
        <v>3131</v>
      </c>
      <c r="B134" t="s">
        <v>3132</v>
      </c>
      <c r="D134" t="s">
        <v>2716</v>
      </c>
      <c r="E134" t="s">
        <v>2717</v>
      </c>
      <c r="F134" t="s">
        <v>950</v>
      </c>
      <c r="G134" t="s">
        <v>1832</v>
      </c>
      <c r="H134">
        <v>1026.08</v>
      </c>
      <c r="I134" t="s">
        <v>2708</v>
      </c>
      <c r="J134" t="s">
        <v>3117</v>
      </c>
      <c r="M134" s="14" t="s">
        <v>3133</v>
      </c>
    </row>
    <row r="135" spans="1:13" x14ac:dyDescent="0.3">
      <c r="A135" t="s">
        <v>3134</v>
      </c>
      <c r="B135" t="s">
        <v>3135</v>
      </c>
      <c r="C135" t="s">
        <v>3136</v>
      </c>
      <c r="D135" t="s">
        <v>2706</v>
      </c>
      <c r="E135" t="s">
        <v>2707</v>
      </c>
      <c r="F135" t="s">
        <v>950</v>
      </c>
      <c r="G135" t="s">
        <v>1832</v>
      </c>
      <c r="H135">
        <v>39.9</v>
      </c>
      <c r="I135" t="s">
        <v>2708</v>
      </c>
      <c r="M135" s="14" t="s">
        <v>3137</v>
      </c>
    </row>
    <row r="136" spans="1:13" x14ac:dyDescent="0.3">
      <c r="A136" t="s">
        <v>3138</v>
      </c>
      <c r="B136" t="s">
        <v>3139</v>
      </c>
      <c r="C136" t="s">
        <v>3140</v>
      </c>
      <c r="D136" t="s">
        <v>2706</v>
      </c>
      <c r="E136" t="s">
        <v>2707</v>
      </c>
      <c r="F136" t="s">
        <v>950</v>
      </c>
      <c r="G136" t="s">
        <v>1832</v>
      </c>
      <c r="H136">
        <v>61.95</v>
      </c>
      <c r="I136" t="s">
        <v>2708</v>
      </c>
      <c r="M136" s="14" t="s">
        <v>3141</v>
      </c>
    </row>
    <row r="137" spans="1:13" x14ac:dyDescent="0.3">
      <c r="A137" t="s">
        <v>3142</v>
      </c>
      <c r="B137" t="s">
        <v>3143</v>
      </c>
      <c r="C137" t="s">
        <v>3144</v>
      </c>
      <c r="D137" t="s">
        <v>2706</v>
      </c>
      <c r="E137" t="s">
        <v>2707</v>
      </c>
      <c r="F137" t="s">
        <v>950</v>
      </c>
      <c r="G137" t="s">
        <v>1832</v>
      </c>
      <c r="H137">
        <v>88.2</v>
      </c>
      <c r="I137" t="s">
        <v>2708</v>
      </c>
      <c r="M137" s="14" t="s">
        <v>3145</v>
      </c>
    </row>
    <row r="138" spans="1:13" x14ac:dyDescent="0.3">
      <c r="A138" t="s">
        <v>3146</v>
      </c>
      <c r="B138" t="s">
        <v>3147</v>
      </c>
      <c r="C138" t="s">
        <v>3148</v>
      </c>
      <c r="D138" t="s">
        <v>2706</v>
      </c>
      <c r="E138" t="s">
        <v>2707</v>
      </c>
      <c r="F138" t="s">
        <v>950</v>
      </c>
      <c r="G138" t="s">
        <v>1832</v>
      </c>
      <c r="H138">
        <v>51.45</v>
      </c>
      <c r="I138" t="s">
        <v>2708</v>
      </c>
      <c r="M138" s="14" t="s">
        <v>3149</v>
      </c>
    </row>
    <row r="139" spans="1:13" x14ac:dyDescent="0.3">
      <c r="A139" t="s">
        <v>3150</v>
      </c>
      <c r="B139" t="s">
        <v>3151</v>
      </c>
      <c r="C139" t="s">
        <v>3152</v>
      </c>
      <c r="D139" t="s">
        <v>2706</v>
      </c>
      <c r="E139" t="s">
        <v>2707</v>
      </c>
      <c r="F139" t="s">
        <v>950</v>
      </c>
      <c r="G139" t="s">
        <v>1832</v>
      </c>
      <c r="H139">
        <v>72.45</v>
      </c>
      <c r="I139" t="s">
        <v>2708</v>
      </c>
      <c r="M139" s="14" t="s">
        <v>3153</v>
      </c>
    </row>
    <row r="140" spans="1:13" x14ac:dyDescent="0.3">
      <c r="A140" t="s">
        <v>3154</v>
      </c>
      <c r="B140" t="s">
        <v>3155</v>
      </c>
      <c r="C140" t="s">
        <v>3156</v>
      </c>
      <c r="D140" t="s">
        <v>2706</v>
      </c>
      <c r="E140" t="s">
        <v>2707</v>
      </c>
      <c r="F140" t="s">
        <v>950</v>
      </c>
      <c r="G140" t="s">
        <v>1832</v>
      </c>
      <c r="H140">
        <v>27.3</v>
      </c>
      <c r="I140" t="s">
        <v>2708</v>
      </c>
      <c r="M140" s="14" t="s">
        <v>3157</v>
      </c>
    </row>
    <row r="141" spans="1:13" x14ac:dyDescent="0.3">
      <c r="A141" t="s">
        <v>3158</v>
      </c>
      <c r="B141" t="s">
        <v>3159</v>
      </c>
      <c r="C141" t="s">
        <v>3160</v>
      </c>
      <c r="D141" t="s">
        <v>2706</v>
      </c>
      <c r="E141" t="s">
        <v>2707</v>
      </c>
      <c r="F141" t="s">
        <v>950</v>
      </c>
      <c r="G141" t="s">
        <v>1832</v>
      </c>
      <c r="H141">
        <v>13.65</v>
      </c>
      <c r="I141" t="s">
        <v>2708</v>
      </c>
      <c r="M141" s="14" t="s">
        <v>3161</v>
      </c>
    </row>
    <row r="142" spans="1:13" x14ac:dyDescent="0.3">
      <c r="A142" t="s">
        <v>3162</v>
      </c>
      <c r="B142" t="s">
        <v>3163</v>
      </c>
      <c r="C142" t="s">
        <v>3164</v>
      </c>
      <c r="D142" t="s">
        <v>2706</v>
      </c>
      <c r="E142" t="s">
        <v>2707</v>
      </c>
      <c r="F142" t="s">
        <v>950</v>
      </c>
      <c r="G142" t="s">
        <v>1832</v>
      </c>
      <c r="H142">
        <v>567</v>
      </c>
      <c r="I142" t="s">
        <v>2708</v>
      </c>
      <c r="M142" s="14" t="s">
        <v>3165</v>
      </c>
    </row>
    <row r="143" spans="1:13" x14ac:dyDescent="0.3">
      <c r="A143" t="s">
        <v>3166</v>
      </c>
      <c r="B143" t="s">
        <v>3167</v>
      </c>
      <c r="C143" t="s">
        <v>3168</v>
      </c>
      <c r="D143" t="s">
        <v>2706</v>
      </c>
      <c r="E143" t="s">
        <v>2707</v>
      </c>
      <c r="F143" t="s">
        <v>950</v>
      </c>
      <c r="G143" t="s">
        <v>1832</v>
      </c>
      <c r="H143">
        <v>748.65</v>
      </c>
      <c r="I143" t="s">
        <v>2708</v>
      </c>
      <c r="M143" s="14" t="s">
        <v>3169</v>
      </c>
    </row>
    <row r="144" spans="1:13" x14ac:dyDescent="0.3">
      <c r="A144" t="s">
        <v>3170</v>
      </c>
      <c r="B144" t="s">
        <v>3171</v>
      </c>
      <c r="C144" t="s">
        <v>3172</v>
      </c>
      <c r="D144" t="s">
        <v>2706</v>
      </c>
      <c r="E144" t="s">
        <v>2707</v>
      </c>
      <c r="F144" t="s">
        <v>950</v>
      </c>
      <c r="G144" t="s">
        <v>1832</v>
      </c>
      <c r="H144">
        <v>340.2</v>
      </c>
      <c r="I144" t="s">
        <v>2708</v>
      </c>
      <c r="M144" s="14" t="s">
        <v>3173</v>
      </c>
    </row>
    <row r="145" spans="1:13" x14ac:dyDescent="0.3">
      <c r="A145" t="s">
        <v>3174</v>
      </c>
      <c r="B145" t="s">
        <v>3175</v>
      </c>
      <c r="C145" t="s">
        <v>3176</v>
      </c>
      <c r="D145" t="s">
        <v>2706</v>
      </c>
      <c r="E145" t="s">
        <v>2707</v>
      </c>
      <c r="F145" t="s">
        <v>950</v>
      </c>
      <c r="G145" t="s">
        <v>1832</v>
      </c>
      <c r="H145">
        <v>442.05</v>
      </c>
      <c r="I145" t="s">
        <v>2708</v>
      </c>
      <c r="M145" s="14" t="s">
        <v>3177</v>
      </c>
    </row>
    <row r="146" spans="1:13" x14ac:dyDescent="0.3">
      <c r="A146" t="s">
        <v>3178</v>
      </c>
      <c r="B146" t="s">
        <v>3179</v>
      </c>
      <c r="C146" t="s">
        <v>3180</v>
      </c>
      <c r="D146" t="s">
        <v>2706</v>
      </c>
      <c r="E146" t="s">
        <v>2707</v>
      </c>
      <c r="F146" t="s">
        <v>950</v>
      </c>
      <c r="G146" t="s">
        <v>1832</v>
      </c>
      <c r="H146">
        <v>590.1</v>
      </c>
      <c r="I146" t="s">
        <v>2708</v>
      </c>
      <c r="M146" s="14" t="s">
        <v>3181</v>
      </c>
    </row>
    <row r="147" spans="1:13" x14ac:dyDescent="0.3">
      <c r="A147" t="s">
        <v>3182</v>
      </c>
      <c r="B147" t="s">
        <v>3183</v>
      </c>
      <c r="C147" t="s">
        <v>3184</v>
      </c>
      <c r="D147" t="s">
        <v>2706</v>
      </c>
      <c r="E147" t="s">
        <v>2707</v>
      </c>
      <c r="F147" t="s">
        <v>950</v>
      </c>
      <c r="G147" t="s">
        <v>1832</v>
      </c>
      <c r="H147">
        <v>791.7</v>
      </c>
      <c r="I147" t="s">
        <v>2708</v>
      </c>
      <c r="M147" s="14" t="s">
        <v>3185</v>
      </c>
    </row>
    <row r="148" spans="1:13" x14ac:dyDescent="0.3">
      <c r="A148" t="s">
        <v>3186</v>
      </c>
      <c r="B148" t="s">
        <v>3187</v>
      </c>
      <c r="C148" t="s">
        <v>3188</v>
      </c>
      <c r="D148" t="s">
        <v>2706</v>
      </c>
      <c r="E148" t="s">
        <v>2707</v>
      </c>
      <c r="F148" t="s">
        <v>950</v>
      </c>
      <c r="G148" t="s">
        <v>1832</v>
      </c>
      <c r="H148">
        <v>385.35</v>
      </c>
      <c r="I148" t="s">
        <v>2708</v>
      </c>
      <c r="M148" s="14" t="s">
        <v>3189</v>
      </c>
    </row>
    <row r="149" spans="1:13" x14ac:dyDescent="0.3">
      <c r="A149" t="s">
        <v>3190</v>
      </c>
      <c r="B149" t="s">
        <v>3191</v>
      </c>
      <c r="C149" t="s">
        <v>3192</v>
      </c>
      <c r="D149" t="s">
        <v>2706</v>
      </c>
      <c r="E149" t="s">
        <v>2707</v>
      </c>
      <c r="F149" t="s">
        <v>950</v>
      </c>
      <c r="G149" t="s">
        <v>1832</v>
      </c>
      <c r="H149">
        <v>453.6</v>
      </c>
      <c r="I149" t="s">
        <v>2708</v>
      </c>
      <c r="M149" s="14" t="s">
        <v>3193</v>
      </c>
    </row>
    <row r="150" spans="1:13" x14ac:dyDescent="0.3">
      <c r="A150" t="s">
        <v>3194</v>
      </c>
      <c r="B150" t="s">
        <v>3195</v>
      </c>
      <c r="C150" t="s">
        <v>3196</v>
      </c>
      <c r="D150" t="s">
        <v>2706</v>
      </c>
      <c r="E150" t="s">
        <v>2707</v>
      </c>
      <c r="F150" t="s">
        <v>950</v>
      </c>
      <c r="G150" t="s">
        <v>1832</v>
      </c>
      <c r="H150">
        <v>640.5</v>
      </c>
      <c r="I150" t="s">
        <v>2708</v>
      </c>
      <c r="M150" s="14" t="s">
        <v>3197</v>
      </c>
    </row>
    <row r="151" spans="1:13" x14ac:dyDescent="0.3">
      <c r="A151" t="s">
        <v>3198</v>
      </c>
      <c r="B151" t="s">
        <v>3199</v>
      </c>
      <c r="C151" t="s">
        <v>3200</v>
      </c>
      <c r="D151" t="s">
        <v>2706</v>
      </c>
      <c r="E151" t="s">
        <v>2707</v>
      </c>
      <c r="F151" t="s">
        <v>950</v>
      </c>
      <c r="G151" t="s">
        <v>1832</v>
      </c>
      <c r="H151">
        <v>862.05</v>
      </c>
      <c r="I151" t="s">
        <v>2708</v>
      </c>
      <c r="M151" s="14" t="s">
        <v>3201</v>
      </c>
    </row>
    <row r="152" spans="1:13" x14ac:dyDescent="0.3">
      <c r="A152" t="s">
        <v>3202</v>
      </c>
      <c r="B152" t="s">
        <v>3203</v>
      </c>
      <c r="C152" t="s">
        <v>3204</v>
      </c>
      <c r="D152" t="s">
        <v>2706</v>
      </c>
      <c r="E152" t="s">
        <v>2707</v>
      </c>
      <c r="F152" t="s">
        <v>950</v>
      </c>
      <c r="G152" t="s">
        <v>1832</v>
      </c>
      <c r="H152">
        <v>442.05</v>
      </c>
      <c r="I152" t="s">
        <v>2708</v>
      </c>
      <c r="M152" s="14" t="s">
        <v>3205</v>
      </c>
    </row>
    <row r="153" spans="1:13" x14ac:dyDescent="0.3">
      <c r="A153" t="s">
        <v>3206</v>
      </c>
      <c r="B153" t="s">
        <v>3207</v>
      </c>
      <c r="C153" t="s">
        <v>3208</v>
      </c>
      <c r="D153" t="s">
        <v>2706</v>
      </c>
      <c r="E153" t="s">
        <v>2707</v>
      </c>
      <c r="F153" t="s">
        <v>950</v>
      </c>
      <c r="G153" t="s">
        <v>1832</v>
      </c>
      <c r="H153">
        <v>510.3</v>
      </c>
      <c r="I153" t="s">
        <v>2708</v>
      </c>
      <c r="M153" s="14" t="s">
        <v>3209</v>
      </c>
    </row>
    <row r="154" spans="1:13" x14ac:dyDescent="0.3">
      <c r="A154" t="s">
        <v>3210</v>
      </c>
      <c r="B154" t="s">
        <v>3211</v>
      </c>
      <c r="C154" t="s">
        <v>3212</v>
      </c>
      <c r="D154" t="s">
        <v>2706</v>
      </c>
      <c r="E154" t="s">
        <v>2707</v>
      </c>
      <c r="F154" t="s">
        <v>950</v>
      </c>
      <c r="G154" t="s">
        <v>1832</v>
      </c>
      <c r="H154">
        <v>691.95</v>
      </c>
      <c r="I154" t="s">
        <v>2708</v>
      </c>
      <c r="M154" s="14" t="s">
        <v>3213</v>
      </c>
    </row>
    <row r="155" spans="1:13" x14ac:dyDescent="0.3">
      <c r="A155" t="s">
        <v>3214</v>
      </c>
      <c r="B155" t="s">
        <v>3215</v>
      </c>
      <c r="C155" t="s">
        <v>3216</v>
      </c>
      <c r="D155" t="s">
        <v>2706</v>
      </c>
      <c r="E155" t="s">
        <v>2707</v>
      </c>
      <c r="F155" t="s">
        <v>950</v>
      </c>
      <c r="G155" t="s">
        <v>1832</v>
      </c>
      <c r="H155">
        <v>895.65</v>
      </c>
      <c r="I155" t="s">
        <v>2708</v>
      </c>
      <c r="M155" s="14" t="s">
        <v>3217</v>
      </c>
    </row>
    <row r="156" spans="1:13" x14ac:dyDescent="0.3">
      <c r="A156" t="s">
        <v>3218</v>
      </c>
      <c r="B156" t="s">
        <v>3219</v>
      </c>
      <c r="C156" t="s">
        <v>3220</v>
      </c>
      <c r="D156" t="s">
        <v>2706</v>
      </c>
      <c r="E156" t="s">
        <v>2707</v>
      </c>
      <c r="F156" t="s">
        <v>950</v>
      </c>
      <c r="G156" t="s">
        <v>1832</v>
      </c>
      <c r="H156">
        <v>480.9</v>
      </c>
      <c r="I156" t="s">
        <v>2708</v>
      </c>
      <c r="M156" s="14" t="s">
        <v>3221</v>
      </c>
    </row>
    <row r="157" spans="1:13" x14ac:dyDescent="0.3">
      <c r="A157" t="s">
        <v>3222</v>
      </c>
      <c r="B157" t="s">
        <v>3223</v>
      </c>
      <c r="C157" t="s">
        <v>3224</v>
      </c>
      <c r="D157" t="s">
        <v>2706</v>
      </c>
      <c r="E157" t="s">
        <v>2707</v>
      </c>
      <c r="F157" t="s">
        <v>950</v>
      </c>
      <c r="G157" t="s">
        <v>1832</v>
      </c>
      <c r="H157">
        <v>533.4</v>
      </c>
      <c r="I157" t="s">
        <v>2708</v>
      </c>
      <c r="M157" s="14" t="s">
        <v>3225</v>
      </c>
    </row>
    <row r="158" spans="1:13" x14ac:dyDescent="0.3">
      <c r="A158" t="s">
        <v>3226</v>
      </c>
      <c r="B158" t="s">
        <v>3227</v>
      </c>
      <c r="C158" t="s">
        <v>3228</v>
      </c>
      <c r="D158" t="s">
        <v>2706</v>
      </c>
      <c r="E158" t="s">
        <v>2707</v>
      </c>
      <c r="F158" t="s">
        <v>950</v>
      </c>
      <c r="G158" t="s">
        <v>1832</v>
      </c>
      <c r="H158">
        <v>714</v>
      </c>
      <c r="I158" t="s">
        <v>2708</v>
      </c>
      <c r="M158" s="14" t="s">
        <v>3229</v>
      </c>
    </row>
    <row r="159" spans="1:13" x14ac:dyDescent="0.3">
      <c r="A159" t="s">
        <v>3230</v>
      </c>
      <c r="B159" t="s">
        <v>3231</v>
      </c>
      <c r="C159" t="s">
        <v>3232</v>
      </c>
      <c r="D159" t="s">
        <v>2706</v>
      </c>
      <c r="E159" t="s">
        <v>2707</v>
      </c>
      <c r="F159" t="s">
        <v>950</v>
      </c>
      <c r="G159" t="s">
        <v>1832</v>
      </c>
      <c r="H159">
        <v>918.75</v>
      </c>
      <c r="I159" t="s">
        <v>2708</v>
      </c>
      <c r="M159" s="14" t="s">
        <v>3233</v>
      </c>
    </row>
    <row r="160" spans="1:13" x14ac:dyDescent="0.3">
      <c r="A160" t="s">
        <v>3234</v>
      </c>
      <c r="B160" t="s">
        <v>3235</v>
      </c>
      <c r="C160" t="s">
        <v>3236</v>
      </c>
      <c r="D160" t="s">
        <v>2706</v>
      </c>
      <c r="E160" t="s">
        <v>2707</v>
      </c>
      <c r="F160" t="s">
        <v>950</v>
      </c>
      <c r="G160" t="s">
        <v>1832</v>
      </c>
      <c r="H160">
        <v>760.2</v>
      </c>
      <c r="I160" t="s">
        <v>2708</v>
      </c>
      <c r="M160" s="14" t="s">
        <v>3237</v>
      </c>
    </row>
    <row r="161" spans="1:13" x14ac:dyDescent="0.3">
      <c r="A161" t="s">
        <v>3238</v>
      </c>
      <c r="B161" t="s">
        <v>3239</v>
      </c>
      <c r="C161" t="s">
        <v>3240</v>
      </c>
      <c r="D161" t="s">
        <v>2706</v>
      </c>
      <c r="E161" t="s">
        <v>2707</v>
      </c>
      <c r="F161" t="s">
        <v>950</v>
      </c>
      <c r="G161" t="s">
        <v>1832</v>
      </c>
      <c r="H161">
        <v>963.9</v>
      </c>
      <c r="I161" t="s">
        <v>2708</v>
      </c>
      <c r="M161" s="14" t="s">
        <v>3241</v>
      </c>
    </row>
    <row r="162" spans="1:13" x14ac:dyDescent="0.3">
      <c r="A162" t="s">
        <v>3242</v>
      </c>
      <c r="B162" t="s">
        <v>3243</v>
      </c>
      <c r="C162" t="s">
        <v>3244</v>
      </c>
      <c r="D162" t="s">
        <v>2706</v>
      </c>
      <c r="E162" t="s">
        <v>2707</v>
      </c>
      <c r="F162" t="s">
        <v>950</v>
      </c>
      <c r="G162" t="s">
        <v>1832</v>
      </c>
      <c r="H162">
        <v>862.05</v>
      </c>
      <c r="I162" t="s">
        <v>2708</v>
      </c>
      <c r="M162" s="14" t="s">
        <v>3245</v>
      </c>
    </row>
    <row r="163" spans="1:13" x14ac:dyDescent="0.3">
      <c r="A163" t="s">
        <v>3246</v>
      </c>
      <c r="B163" t="s">
        <v>3247</v>
      </c>
      <c r="C163" t="s">
        <v>3248</v>
      </c>
      <c r="D163" t="s">
        <v>2706</v>
      </c>
      <c r="E163" t="s">
        <v>2707</v>
      </c>
      <c r="F163" t="s">
        <v>950</v>
      </c>
      <c r="G163" t="s">
        <v>1832</v>
      </c>
      <c r="H163">
        <v>1077.3</v>
      </c>
      <c r="I163" t="s">
        <v>2708</v>
      </c>
      <c r="M163" s="14" t="s">
        <v>3249</v>
      </c>
    </row>
    <row r="164" spans="1:13" x14ac:dyDescent="0.3">
      <c r="A164" t="s">
        <v>3250</v>
      </c>
      <c r="B164" t="s">
        <v>3251</v>
      </c>
      <c r="C164" t="s">
        <v>3252</v>
      </c>
      <c r="D164" t="s">
        <v>2706</v>
      </c>
      <c r="E164" t="s">
        <v>2707</v>
      </c>
      <c r="F164" t="s">
        <v>950</v>
      </c>
      <c r="G164" t="s">
        <v>1832</v>
      </c>
      <c r="H164">
        <v>930.3</v>
      </c>
      <c r="I164" t="s">
        <v>2708</v>
      </c>
      <c r="M164" s="14" t="s">
        <v>3253</v>
      </c>
    </row>
    <row r="165" spans="1:13" x14ac:dyDescent="0.3">
      <c r="A165" t="s">
        <v>3254</v>
      </c>
      <c r="B165" t="s">
        <v>3255</v>
      </c>
      <c r="C165" t="s">
        <v>3256</v>
      </c>
      <c r="D165" t="s">
        <v>2706</v>
      </c>
      <c r="E165" t="s">
        <v>2707</v>
      </c>
      <c r="F165" t="s">
        <v>950</v>
      </c>
      <c r="G165" t="s">
        <v>1832</v>
      </c>
      <c r="H165">
        <v>1190.7</v>
      </c>
      <c r="I165" t="s">
        <v>2708</v>
      </c>
      <c r="M165" s="14" t="s">
        <v>3257</v>
      </c>
    </row>
    <row r="166" spans="1:13" x14ac:dyDescent="0.3">
      <c r="A166" t="s">
        <v>3258</v>
      </c>
      <c r="B166" t="s">
        <v>3259</v>
      </c>
      <c r="C166" t="s">
        <v>3260</v>
      </c>
      <c r="D166" t="s">
        <v>2706</v>
      </c>
      <c r="E166" t="s">
        <v>2707</v>
      </c>
      <c r="F166" t="s">
        <v>950</v>
      </c>
      <c r="G166" t="s">
        <v>1832</v>
      </c>
      <c r="H166">
        <v>816.9</v>
      </c>
      <c r="I166" t="s">
        <v>2708</v>
      </c>
      <c r="M166" s="14" t="s">
        <v>3261</v>
      </c>
    </row>
    <row r="167" spans="1:13" x14ac:dyDescent="0.3">
      <c r="A167" t="s">
        <v>3262</v>
      </c>
      <c r="B167" t="s">
        <v>3263</v>
      </c>
      <c r="C167" t="s">
        <v>3264</v>
      </c>
      <c r="D167" t="s">
        <v>2706</v>
      </c>
      <c r="E167" t="s">
        <v>2707</v>
      </c>
      <c r="F167" t="s">
        <v>950</v>
      </c>
      <c r="G167" t="s">
        <v>1832</v>
      </c>
      <c r="H167">
        <v>975.45</v>
      </c>
      <c r="I167" t="s">
        <v>2708</v>
      </c>
      <c r="M167" s="14" t="s">
        <v>3265</v>
      </c>
    </row>
    <row r="168" spans="1:13" x14ac:dyDescent="0.3">
      <c r="A168" t="s">
        <v>3266</v>
      </c>
      <c r="B168" t="s">
        <v>3267</v>
      </c>
      <c r="C168" t="s">
        <v>3268</v>
      </c>
      <c r="D168" t="s">
        <v>2706</v>
      </c>
      <c r="E168" t="s">
        <v>2707</v>
      </c>
      <c r="F168" t="s">
        <v>950</v>
      </c>
      <c r="G168" t="s">
        <v>1832</v>
      </c>
      <c r="H168">
        <v>1247.4000000000001</v>
      </c>
      <c r="I168" t="s">
        <v>2708</v>
      </c>
      <c r="M168" s="14" t="s">
        <v>3269</v>
      </c>
    </row>
    <row r="169" spans="1:13" x14ac:dyDescent="0.3">
      <c r="A169" t="s">
        <v>3270</v>
      </c>
      <c r="B169" t="s">
        <v>3271</v>
      </c>
      <c r="C169" t="s">
        <v>3272</v>
      </c>
      <c r="D169" t="s">
        <v>2706</v>
      </c>
      <c r="E169" t="s">
        <v>2707</v>
      </c>
      <c r="F169" t="s">
        <v>950</v>
      </c>
      <c r="G169" t="s">
        <v>1832</v>
      </c>
      <c r="H169">
        <v>521.85</v>
      </c>
      <c r="I169" t="s">
        <v>2708</v>
      </c>
      <c r="M169" s="14" t="s">
        <v>3273</v>
      </c>
    </row>
    <row r="170" spans="1:13" x14ac:dyDescent="0.3">
      <c r="A170" t="s">
        <v>3274</v>
      </c>
      <c r="B170" t="s">
        <v>3275</v>
      </c>
      <c r="C170" t="s">
        <v>3276</v>
      </c>
      <c r="D170" t="s">
        <v>2706</v>
      </c>
      <c r="E170" t="s">
        <v>2707</v>
      </c>
      <c r="F170" t="s">
        <v>950</v>
      </c>
      <c r="G170" t="s">
        <v>1832</v>
      </c>
      <c r="H170">
        <v>680.4</v>
      </c>
      <c r="I170" t="s">
        <v>2708</v>
      </c>
      <c r="M170" s="14" t="s">
        <v>3277</v>
      </c>
    </row>
    <row r="171" spans="1:13" x14ac:dyDescent="0.3">
      <c r="A171" t="s">
        <v>3278</v>
      </c>
      <c r="B171" t="s">
        <v>3279</v>
      </c>
      <c r="C171" t="s">
        <v>3280</v>
      </c>
      <c r="D171" t="s">
        <v>2706</v>
      </c>
      <c r="E171" t="s">
        <v>2707</v>
      </c>
      <c r="F171" t="s">
        <v>950</v>
      </c>
      <c r="G171" t="s">
        <v>1832</v>
      </c>
      <c r="H171">
        <v>303.45</v>
      </c>
      <c r="I171" t="s">
        <v>2708</v>
      </c>
      <c r="M171" s="14" t="s">
        <v>3281</v>
      </c>
    </row>
    <row r="172" spans="1:13" x14ac:dyDescent="0.3">
      <c r="A172" t="s">
        <v>3282</v>
      </c>
      <c r="B172" t="s">
        <v>3283</v>
      </c>
      <c r="C172" t="s">
        <v>3284</v>
      </c>
      <c r="D172" t="s">
        <v>2706</v>
      </c>
      <c r="E172" t="s">
        <v>2707</v>
      </c>
      <c r="F172" t="s">
        <v>950</v>
      </c>
      <c r="G172" t="s">
        <v>1832</v>
      </c>
      <c r="H172">
        <v>408.45</v>
      </c>
      <c r="I172" t="s">
        <v>2708</v>
      </c>
      <c r="M172" s="14" t="s">
        <v>3285</v>
      </c>
    </row>
    <row r="173" spans="1:13" x14ac:dyDescent="0.3">
      <c r="A173" t="s">
        <v>3286</v>
      </c>
      <c r="B173" t="s">
        <v>3287</v>
      </c>
      <c r="C173" t="s">
        <v>3288</v>
      </c>
      <c r="D173" t="s">
        <v>2706</v>
      </c>
      <c r="E173" t="s">
        <v>2707</v>
      </c>
      <c r="F173" t="s">
        <v>950</v>
      </c>
      <c r="G173" t="s">
        <v>1832</v>
      </c>
      <c r="H173">
        <v>1327.2</v>
      </c>
      <c r="I173" t="s">
        <v>2708</v>
      </c>
      <c r="M173" s="14" t="s">
        <v>3289</v>
      </c>
    </row>
    <row r="174" spans="1:13" x14ac:dyDescent="0.3">
      <c r="A174" t="s">
        <v>3290</v>
      </c>
      <c r="B174" t="s">
        <v>3291</v>
      </c>
      <c r="C174" t="s">
        <v>3292</v>
      </c>
      <c r="D174" t="s">
        <v>2706</v>
      </c>
      <c r="E174" t="s">
        <v>2707</v>
      </c>
      <c r="F174" t="s">
        <v>950</v>
      </c>
      <c r="G174" t="s">
        <v>1832</v>
      </c>
      <c r="H174">
        <v>1383.9</v>
      </c>
      <c r="I174" t="s">
        <v>2708</v>
      </c>
      <c r="M174" s="14" t="s">
        <v>3293</v>
      </c>
    </row>
    <row r="175" spans="1:13" x14ac:dyDescent="0.3">
      <c r="A175" t="s">
        <v>3294</v>
      </c>
      <c r="B175" t="s">
        <v>3295</v>
      </c>
      <c r="C175" t="s">
        <v>3296</v>
      </c>
      <c r="D175" t="s">
        <v>2706</v>
      </c>
      <c r="E175" t="s">
        <v>2707</v>
      </c>
      <c r="F175" t="s">
        <v>950</v>
      </c>
      <c r="G175" t="s">
        <v>1832</v>
      </c>
      <c r="H175">
        <v>533.4</v>
      </c>
      <c r="I175" t="s">
        <v>2708</v>
      </c>
      <c r="M175" s="14" t="s">
        <v>3297</v>
      </c>
    </row>
    <row r="176" spans="1:13" x14ac:dyDescent="0.3">
      <c r="A176" t="s">
        <v>3298</v>
      </c>
      <c r="B176" t="s">
        <v>3299</v>
      </c>
      <c r="C176" t="s">
        <v>3300</v>
      </c>
      <c r="D176" t="s">
        <v>2706</v>
      </c>
      <c r="E176" t="s">
        <v>2707</v>
      </c>
      <c r="F176" t="s">
        <v>950</v>
      </c>
      <c r="G176" t="s">
        <v>1832</v>
      </c>
      <c r="H176">
        <v>703.5</v>
      </c>
      <c r="I176" t="s">
        <v>2708</v>
      </c>
      <c r="M176" s="14" t="s">
        <v>3301</v>
      </c>
    </row>
    <row r="177" spans="1:13" x14ac:dyDescent="0.3">
      <c r="A177" t="s">
        <v>3302</v>
      </c>
      <c r="B177" t="s">
        <v>3303</v>
      </c>
      <c r="C177" t="s">
        <v>3304</v>
      </c>
      <c r="D177" t="s">
        <v>2706</v>
      </c>
      <c r="E177" t="s">
        <v>2707</v>
      </c>
      <c r="F177" t="s">
        <v>950</v>
      </c>
      <c r="G177" t="s">
        <v>1832</v>
      </c>
      <c r="H177">
        <v>317.10000000000002</v>
      </c>
      <c r="I177" t="s">
        <v>2708</v>
      </c>
      <c r="M177" s="14" t="s">
        <v>3305</v>
      </c>
    </row>
    <row r="178" spans="1:13" x14ac:dyDescent="0.3">
      <c r="A178" t="s">
        <v>3306</v>
      </c>
      <c r="B178" t="s">
        <v>3307</v>
      </c>
      <c r="C178" t="s">
        <v>3308</v>
      </c>
      <c r="D178" t="s">
        <v>2706</v>
      </c>
      <c r="E178" t="s">
        <v>2707</v>
      </c>
      <c r="F178" t="s">
        <v>950</v>
      </c>
      <c r="G178" t="s">
        <v>1832</v>
      </c>
      <c r="H178">
        <v>420</v>
      </c>
      <c r="I178" t="s">
        <v>2708</v>
      </c>
      <c r="M178" s="14" t="s">
        <v>3309</v>
      </c>
    </row>
    <row r="179" spans="1:13" x14ac:dyDescent="0.3">
      <c r="A179" t="s">
        <v>3310</v>
      </c>
      <c r="B179" t="s">
        <v>3311</v>
      </c>
      <c r="C179" t="s">
        <v>3312</v>
      </c>
      <c r="D179" t="s">
        <v>2706</v>
      </c>
      <c r="E179" t="s">
        <v>2707</v>
      </c>
      <c r="F179" t="s">
        <v>950</v>
      </c>
      <c r="G179" t="s">
        <v>1832</v>
      </c>
      <c r="H179">
        <v>1394.4</v>
      </c>
      <c r="I179" t="s">
        <v>2708</v>
      </c>
      <c r="M179" s="14" t="s">
        <v>3313</v>
      </c>
    </row>
    <row r="180" spans="1:13" x14ac:dyDescent="0.3">
      <c r="A180" t="s">
        <v>3314</v>
      </c>
      <c r="B180" t="s">
        <v>3315</v>
      </c>
      <c r="C180" t="s">
        <v>3316</v>
      </c>
      <c r="D180" t="s">
        <v>2706</v>
      </c>
      <c r="E180" t="s">
        <v>2707</v>
      </c>
      <c r="F180" t="s">
        <v>950</v>
      </c>
      <c r="G180" t="s">
        <v>1832</v>
      </c>
      <c r="H180">
        <v>1429.05</v>
      </c>
      <c r="I180" t="s">
        <v>2708</v>
      </c>
      <c r="M180" s="14" t="s">
        <v>3317</v>
      </c>
    </row>
    <row r="181" spans="1:13" x14ac:dyDescent="0.3">
      <c r="A181" t="s">
        <v>3318</v>
      </c>
      <c r="B181" t="s">
        <v>3319</v>
      </c>
      <c r="C181" t="s">
        <v>3320</v>
      </c>
      <c r="D181" t="s">
        <v>2706</v>
      </c>
      <c r="E181" t="s">
        <v>2707</v>
      </c>
      <c r="F181" t="s">
        <v>950</v>
      </c>
      <c r="G181" t="s">
        <v>1832</v>
      </c>
      <c r="H181">
        <v>547.04999999999995</v>
      </c>
      <c r="I181" t="s">
        <v>2708</v>
      </c>
      <c r="M181" s="14" t="s">
        <v>3321</v>
      </c>
    </row>
    <row r="182" spans="1:13" x14ac:dyDescent="0.3">
      <c r="A182" t="s">
        <v>3322</v>
      </c>
      <c r="B182" t="s">
        <v>3323</v>
      </c>
      <c r="C182" t="s">
        <v>3324</v>
      </c>
      <c r="D182" t="s">
        <v>2706</v>
      </c>
      <c r="E182" t="s">
        <v>2707</v>
      </c>
      <c r="F182" t="s">
        <v>950</v>
      </c>
      <c r="G182" t="s">
        <v>1832</v>
      </c>
      <c r="H182">
        <v>725.55</v>
      </c>
      <c r="I182" t="s">
        <v>2708</v>
      </c>
      <c r="M182" s="14" t="s">
        <v>3325</v>
      </c>
    </row>
    <row r="183" spans="1:13" x14ac:dyDescent="0.3">
      <c r="A183" t="s">
        <v>3326</v>
      </c>
      <c r="B183" t="s">
        <v>3327</v>
      </c>
      <c r="C183" t="s">
        <v>3328</v>
      </c>
      <c r="D183" t="s">
        <v>2706</v>
      </c>
      <c r="E183" t="s">
        <v>2707</v>
      </c>
      <c r="F183" t="s">
        <v>950</v>
      </c>
      <c r="G183" t="s">
        <v>1832</v>
      </c>
      <c r="H183">
        <v>328.65</v>
      </c>
      <c r="I183" t="s">
        <v>2708</v>
      </c>
      <c r="M183" s="14" t="s">
        <v>3329</v>
      </c>
    </row>
    <row r="184" spans="1:13" x14ac:dyDescent="0.3">
      <c r="A184" t="s">
        <v>3330</v>
      </c>
      <c r="B184" t="s">
        <v>3331</v>
      </c>
      <c r="C184" t="s">
        <v>3332</v>
      </c>
      <c r="D184" t="s">
        <v>2706</v>
      </c>
      <c r="E184" t="s">
        <v>2707</v>
      </c>
      <c r="F184" t="s">
        <v>950</v>
      </c>
      <c r="G184" t="s">
        <v>1832</v>
      </c>
      <c r="H184">
        <v>430.5</v>
      </c>
      <c r="I184" t="s">
        <v>2708</v>
      </c>
      <c r="M184" s="14" t="s">
        <v>3333</v>
      </c>
    </row>
    <row r="185" spans="1:13" x14ac:dyDescent="0.3">
      <c r="A185" t="s">
        <v>3334</v>
      </c>
      <c r="B185" t="s">
        <v>3335</v>
      </c>
      <c r="C185" t="s">
        <v>3336</v>
      </c>
      <c r="D185" t="s">
        <v>2706</v>
      </c>
      <c r="E185" t="s">
        <v>2707</v>
      </c>
      <c r="F185" t="s">
        <v>950</v>
      </c>
      <c r="G185" t="s">
        <v>1832</v>
      </c>
      <c r="H185">
        <v>317.10000000000002</v>
      </c>
      <c r="I185" t="s">
        <v>2708</v>
      </c>
      <c r="M185" s="14" t="s">
        <v>3337</v>
      </c>
    </row>
    <row r="186" spans="1:13" x14ac:dyDescent="0.3">
      <c r="A186" t="s">
        <v>3338</v>
      </c>
      <c r="B186" t="s">
        <v>3339</v>
      </c>
      <c r="C186" t="s">
        <v>3340</v>
      </c>
      <c r="D186" t="s">
        <v>2706</v>
      </c>
      <c r="E186" t="s">
        <v>2707</v>
      </c>
      <c r="F186" t="s">
        <v>950</v>
      </c>
      <c r="G186" t="s">
        <v>1832</v>
      </c>
      <c r="H186">
        <v>331.8</v>
      </c>
      <c r="I186" t="s">
        <v>2708</v>
      </c>
      <c r="M186" s="14" t="s">
        <v>3341</v>
      </c>
    </row>
    <row r="187" spans="1:13" x14ac:dyDescent="0.3">
      <c r="A187" t="s">
        <v>3342</v>
      </c>
      <c r="B187" t="s">
        <v>3343</v>
      </c>
      <c r="C187" t="s">
        <v>3344</v>
      </c>
      <c r="D187" t="s">
        <v>2706</v>
      </c>
      <c r="E187" t="s">
        <v>2707</v>
      </c>
      <c r="F187" t="s">
        <v>950</v>
      </c>
      <c r="G187" t="s">
        <v>1832</v>
      </c>
      <c r="H187">
        <v>368.55</v>
      </c>
      <c r="I187" t="s">
        <v>2708</v>
      </c>
      <c r="M187" s="14" t="s">
        <v>3345</v>
      </c>
    </row>
    <row r="188" spans="1:13" x14ac:dyDescent="0.3">
      <c r="A188" t="s">
        <v>3346</v>
      </c>
      <c r="B188" t="s">
        <v>3347</v>
      </c>
      <c r="C188" t="s">
        <v>3348</v>
      </c>
      <c r="D188" t="s">
        <v>2706</v>
      </c>
      <c r="E188" t="s">
        <v>2707</v>
      </c>
      <c r="F188" t="s">
        <v>950</v>
      </c>
      <c r="G188" t="s">
        <v>1832</v>
      </c>
      <c r="H188">
        <v>510.3</v>
      </c>
      <c r="I188" t="s">
        <v>2708</v>
      </c>
      <c r="M188" s="14" t="s">
        <v>3349</v>
      </c>
    </row>
    <row r="189" spans="1:13" x14ac:dyDescent="0.3">
      <c r="A189" t="s">
        <v>3350</v>
      </c>
      <c r="B189" t="s">
        <v>3351</v>
      </c>
      <c r="C189" t="s">
        <v>3352</v>
      </c>
      <c r="D189" t="s">
        <v>2706</v>
      </c>
      <c r="E189" t="s">
        <v>2707</v>
      </c>
      <c r="F189" t="s">
        <v>950</v>
      </c>
      <c r="G189" t="s">
        <v>1832</v>
      </c>
      <c r="H189">
        <v>533.4</v>
      </c>
      <c r="I189" t="s">
        <v>2708</v>
      </c>
      <c r="M189" s="14" t="s">
        <v>3353</v>
      </c>
    </row>
    <row r="190" spans="1:13" x14ac:dyDescent="0.3">
      <c r="A190" t="s">
        <v>3354</v>
      </c>
      <c r="B190" t="s">
        <v>3355</v>
      </c>
      <c r="C190" t="s">
        <v>3356</v>
      </c>
      <c r="D190" t="s">
        <v>2706</v>
      </c>
      <c r="E190" t="s">
        <v>2707</v>
      </c>
      <c r="F190" t="s">
        <v>950</v>
      </c>
      <c r="G190" t="s">
        <v>1832</v>
      </c>
      <c r="H190">
        <v>555.45000000000005</v>
      </c>
      <c r="I190" t="s">
        <v>2708</v>
      </c>
      <c r="M190" s="14" t="s">
        <v>3357</v>
      </c>
    </row>
    <row r="191" spans="1:13" x14ac:dyDescent="0.3">
      <c r="A191" t="s">
        <v>3358</v>
      </c>
      <c r="B191" t="s">
        <v>3359</v>
      </c>
      <c r="C191" t="s">
        <v>3360</v>
      </c>
      <c r="D191" t="s">
        <v>2706</v>
      </c>
      <c r="E191" t="s">
        <v>2707</v>
      </c>
      <c r="F191" t="s">
        <v>950</v>
      </c>
      <c r="G191" t="s">
        <v>1832</v>
      </c>
      <c r="H191">
        <v>595.35</v>
      </c>
      <c r="I191" t="s">
        <v>2708</v>
      </c>
      <c r="M191" s="14" t="s">
        <v>3361</v>
      </c>
    </row>
    <row r="192" spans="1:13" x14ac:dyDescent="0.3">
      <c r="A192" t="s">
        <v>3362</v>
      </c>
      <c r="B192" t="s">
        <v>3363</v>
      </c>
      <c r="C192" t="s">
        <v>3364</v>
      </c>
      <c r="D192" t="s">
        <v>2706</v>
      </c>
      <c r="E192" t="s">
        <v>2707</v>
      </c>
      <c r="F192" t="s">
        <v>950</v>
      </c>
      <c r="G192" t="s">
        <v>1832</v>
      </c>
      <c r="H192">
        <v>623.70000000000005</v>
      </c>
      <c r="I192" t="s">
        <v>2708</v>
      </c>
      <c r="M192" s="14" t="s">
        <v>3365</v>
      </c>
    </row>
    <row r="193" spans="1:13" x14ac:dyDescent="0.3">
      <c r="A193" t="s">
        <v>3366</v>
      </c>
      <c r="B193" t="s">
        <v>3367</v>
      </c>
      <c r="C193" t="s">
        <v>3368</v>
      </c>
      <c r="D193" t="s">
        <v>2706</v>
      </c>
      <c r="E193" t="s">
        <v>2707</v>
      </c>
      <c r="F193" t="s">
        <v>950</v>
      </c>
      <c r="G193" t="s">
        <v>1832</v>
      </c>
      <c r="H193">
        <v>646.79999999999995</v>
      </c>
      <c r="I193" t="s">
        <v>2708</v>
      </c>
      <c r="M193" s="14" t="s">
        <v>3369</v>
      </c>
    </row>
    <row r="194" spans="1:13" x14ac:dyDescent="0.3">
      <c r="A194" t="s">
        <v>3370</v>
      </c>
      <c r="B194" t="s">
        <v>3371</v>
      </c>
      <c r="C194" t="s">
        <v>3372</v>
      </c>
      <c r="D194" t="s">
        <v>2706</v>
      </c>
      <c r="E194" t="s">
        <v>2707</v>
      </c>
      <c r="F194" t="s">
        <v>950</v>
      </c>
      <c r="G194" t="s">
        <v>1832</v>
      </c>
      <c r="H194">
        <v>289.8</v>
      </c>
      <c r="I194" t="s">
        <v>2708</v>
      </c>
      <c r="M194" s="14" t="s">
        <v>3373</v>
      </c>
    </row>
    <row r="195" spans="1:13" x14ac:dyDescent="0.3">
      <c r="A195" t="s">
        <v>3374</v>
      </c>
      <c r="B195" t="s">
        <v>3375</v>
      </c>
      <c r="C195" t="s">
        <v>3376</v>
      </c>
      <c r="D195" t="s">
        <v>2706</v>
      </c>
      <c r="E195" t="s">
        <v>2707</v>
      </c>
      <c r="F195" t="s">
        <v>950</v>
      </c>
      <c r="G195" t="s">
        <v>1832</v>
      </c>
      <c r="H195">
        <v>295.05</v>
      </c>
      <c r="I195" t="s">
        <v>2708</v>
      </c>
      <c r="M195" s="14" t="s">
        <v>3377</v>
      </c>
    </row>
    <row r="196" spans="1:13" x14ac:dyDescent="0.3">
      <c r="A196" t="s">
        <v>3378</v>
      </c>
      <c r="B196" t="s">
        <v>3379</v>
      </c>
      <c r="C196" t="s">
        <v>3380</v>
      </c>
      <c r="D196" t="s">
        <v>2706</v>
      </c>
      <c r="E196" t="s">
        <v>2707</v>
      </c>
      <c r="F196" t="s">
        <v>950</v>
      </c>
      <c r="G196" t="s">
        <v>1832</v>
      </c>
      <c r="H196">
        <v>303.45</v>
      </c>
      <c r="I196" t="s">
        <v>2708</v>
      </c>
      <c r="M196" s="14" t="s">
        <v>3381</v>
      </c>
    </row>
    <row r="197" spans="1:13" x14ac:dyDescent="0.3">
      <c r="A197" t="s">
        <v>3382</v>
      </c>
      <c r="B197" t="s">
        <v>3383</v>
      </c>
      <c r="C197" t="s">
        <v>3384</v>
      </c>
      <c r="D197" t="s">
        <v>2706</v>
      </c>
      <c r="E197" t="s">
        <v>2707</v>
      </c>
      <c r="F197" t="s">
        <v>950</v>
      </c>
      <c r="G197" t="s">
        <v>1832</v>
      </c>
      <c r="H197">
        <v>680.4</v>
      </c>
      <c r="I197" t="s">
        <v>2708</v>
      </c>
      <c r="M197" s="14" t="s">
        <v>3385</v>
      </c>
    </row>
    <row r="198" spans="1:13" x14ac:dyDescent="0.3">
      <c r="A198" t="s">
        <v>3386</v>
      </c>
      <c r="B198" t="s">
        <v>3387</v>
      </c>
      <c r="C198" t="s">
        <v>3388</v>
      </c>
      <c r="D198" t="s">
        <v>2706</v>
      </c>
      <c r="E198" t="s">
        <v>2707</v>
      </c>
      <c r="F198" t="s">
        <v>950</v>
      </c>
      <c r="G198" t="s">
        <v>1832</v>
      </c>
      <c r="H198">
        <v>1961.4</v>
      </c>
      <c r="I198" t="s">
        <v>2708</v>
      </c>
      <c r="M198" s="14" t="s">
        <v>3389</v>
      </c>
    </row>
    <row r="199" spans="1:13" x14ac:dyDescent="0.3">
      <c r="A199" t="s">
        <v>3390</v>
      </c>
      <c r="B199" t="s">
        <v>3391</v>
      </c>
      <c r="C199" t="s">
        <v>3392</v>
      </c>
      <c r="D199" t="s">
        <v>2706</v>
      </c>
      <c r="E199" t="s">
        <v>2707</v>
      </c>
      <c r="F199" t="s">
        <v>950</v>
      </c>
      <c r="G199" t="s">
        <v>1832</v>
      </c>
      <c r="H199">
        <v>278.25</v>
      </c>
      <c r="I199" t="s">
        <v>2708</v>
      </c>
      <c r="M199" s="14" t="s">
        <v>3393</v>
      </c>
    </row>
    <row r="200" spans="1:13" x14ac:dyDescent="0.3">
      <c r="A200" t="s">
        <v>3394</v>
      </c>
      <c r="B200" t="s">
        <v>3395</v>
      </c>
      <c r="C200" t="s">
        <v>3396</v>
      </c>
      <c r="D200" t="s">
        <v>2706</v>
      </c>
      <c r="E200" t="s">
        <v>2707</v>
      </c>
      <c r="F200" t="s">
        <v>950</v>
      </c>
      <c r="G200" t="s">
        <v>1832</v>
      </c>
      <c r="H200">
        <v>305.55</v>
      </c>
      <c r="I200" t="s">
        <v>2708</v>
      </c>
      <c r="M200" s="14" t="s">
        <v>3397</v>
      </c>
    </row>
    <row r="201" spans="1:13" x14ac:dyDescent="0.3">
      <c r="A201" t="s">
        <v>3398</v>
      </c>
      <c r="B201" t="s">
        <v>3399</v>
      </c>
      <c r="C201" t="s">
        <v>3400</v>
      </c>
      <c r="D201" t="s">
        <v>2706</v>
      </c>
      <c r="E201" t="s">
        <v>2707</v>
      </c>
      <c r="F201" t="s">
        <v>950</v>
      </c>
      <c r="G201" t="s">
        <v>1832</v>
      </c>
      <c r="H201">
        <v>326.55</v>
      </c>
      <c r="I201" t="s">
        <v>2708</v>
      </c>
      <c r="M201" s="14" t="s">
        <v>3401</v>
      </c>
    </row>
    <row r="202" spans="1:13" x14ac:dyDescent="0.3">
      <c r="A202" t="s">
        <v>3402</v>
      </c>
      <c r="B202" t="s">
        <v>3403</v>
      </c>
      <c r="C202" t="s">
        <v>3404</v>
      </c>
      <c r="D202" t="s">
        <v>2706</v>
      </c>
      <c r="E202" t="s">
        <v>2707</v>
      </c>
      <c r="F202" t="s">
        <v>950</v>
      </c>
      <c r="G202" t="s">
        <v>1832</v>
      </c>
      <c r="H202">
        <v>349.65</v>
      </c>
      <c r="I202" t="s">
        <v>2708</v>
      </c>
      <c r="M202" s="14" t="s">
        <v>3405</v>
      </c>
    </row>
    <row r="203" spans="1:13" x14ac:dyDescent="0.3">
      <c r="A203" t="s">
        <v>3406</v>
      </c>
      <c r="B203" t="s">
        <v>3407</v>
      </c>
      <c r="C203" t="s">
        <v>3408</v>
      </c>
      <c r="D203" t="s">
        <v>2706</v>
      </c>
      <c r="E203" t="s">
        <v>2707</v>
      </c>
      <c r="F203" t="s">
        <v>950</v>
      </c>
      <c r="G203" t="s">
        <v>1832</v>
      </c>
      <c r="H203">
        <v>394.8</v>
      </c>
      <c r="I203" t="s">
        <v>2708</v>
      </c>
      <c r="M203" s="14" t="s">
        <v>3409</v>
      </c>
    </row>
    <row r="204" spans="1:13" x14ac:dyDescent="0.3">
      <c r="A204" t="s">
        <v>3410</v>
      </c>
      <c r="B204" t="s">
        <v>3411</v>
      </c>
      <c r="C204" t="s">
        <v>3412</v>
      </c>
      <c r="D204" t="s">
        <v>2706</v>
      </c>
      <c r="E204" t="s">
        <v>2707</v>
      </c>
      <c r="F204" t="s">
        <v>950</v>
      </c>
      <c r="G204" t="s">
        <v>1832</v>
      </c>
      <c r="H204">
        <v>420</v>
      </c>
      <c r="I204" t="s">
        <v>2708</v>
      </c>
      <c r="M204" s="14" t="s">
        <v>3413</v>
      </c>
    </row>
    <row r="205" spans="1:13" x14ac:dyDescent="0.3">
      <c r="A205" t="s">
        <v>3414</v>
      </c>
      <c r="B205" t="s">
        <v>3415</v>
      </c>
      <c r="C205" t="s">
        <v>3416</v>
      </c>
      <c r="D205" t="s">
        <v>2706</v>
      </c>
      <c r="E205" t="s">
        <v>2707</v>
      </c>
      <c r="F205" t="s">
        <v>950</v>
      </c>
      <c r="G205" t="s">
        <v>1832</v>
      </c>
      <c r="H205">
        <v>267.75</v>
      </c>
      <c r="I205" t="s">
        <v>2708</v>
      </c>
      <c r="M205" s="14" t="s">
        <v>3417</v>
      </c>
    </row>
    <row r="206" spans="1:13" x14ac:dyDescent="0.3">
      <c r="A206" t="s">
        <v>3418</v>
      </c>
      <c r="B206" t="s">
        <v>3419</v>
      </c>
      <c r="C206" t="s">
        <v>3420</v>
      </c>
      <c r="D206" t="s">
        <v>2706</v>
      </c>
      <c r="E206" t="s">
        <v>2707</v>
      </c>
      <c r="F206" t="s">
        <v>950</v>
      </c>
      <c r="G206" t="s">
        <v>1832</v>
      </c>
      <c r="H206">
        <v>269.85000000000002</v>
      </c>
      <c r="I206" t="s">
        <v>2708</v>
      </c>
      <c r="M206" s="14" t="s">
        <v>3421</v>
      </c>
    </row>
    <row r="207" spans="1:13" x14ac:dyDescent="0.3">
      <c r="A207" t="s">
        <v>3422</v>
      </c>
      <c r="B207" t="s">
        <v>3423</v>
      </c>
      <c r="C207" t="s">
        <v>3424</v>
      </c>
      <c r="D207" t="s">
        <v>2706</v>
      </c>
      <c r="E207" t="s">
        <v>2707</v>
      </c>
      <c r="F207" t="s">
        <v>950</v>
      </c>
      <c r="G207" t="s">
        <v>1832</v>
      </c>
      <c r="H207">
        <v>271.95</v>
      </c>
      <c r="I207" t="s">
        <v>2708</v>
      </c>
      <c r="M207" s="14" t="s">
        <v>3425</v>
      </c>
    </row>
    <row r="208" spans="1:13" x14ac:dyDescent="0.3">
      <c r="A208" t="s">
        <v>3426</v>
      </c>
      <c r="B208" t="s">
        <v>3427</v>
      </c>
      <c r="C208" t="s">
        <v>3428</v>
      </c>
      <c r="D208" t="s">
        <v>2706</v>
      </c>
      <c r="E208" t="s">
        <v>2707</v>
      </c>
      <c r="F208" t="s">
        <v>950</v>
      </c>
      <c r="G208" t="s">
        <v>1832</v>
      </c>
      <c r="H208">
        <v>317.10000000000002</v>
      </c>
      <c r="I208" t="s">
        <v>2708</v>
      </c>
      <c r="M208" s="14" t="s">
        <v>3429</v>
      </c>
    </row>
    <row r="209" spans="1:13" x14ac:dyDescent="0.3">
      <c r="A209" t="s">
        <v>3430</v>
      </c>
      <c r="B209" t="s">
        <v>3431</v>
      </c>
      <c r="C209" t="s">
        <v>3432</v>
      </c>
      <c r="D209" t="s">
        <v>2706</v>
      </c>
      <c r="E209" t="s">
        <v>2707</v>
      </c>
      <c r="F209" t="s">
        <v>950</v>
      </c>
      <c r="G209" t="s">
        <v>1832</v>
      </c>
      <c r="H209">
        <v>357</v>
      </c>
      <c r="I209" t="s">
        <v>2708</v>
      </c>
      <c r="M209" s="14" t="s">
        <v>3433</v>
      </c>
    </row>
    <row r="210" spans="1:13" x14ac:dyDescent="0.3">
      <c r="A210" t="s">
        <v>3434</v>
      </c>
      <c r="B210" t="s">
        <v>3435</v>
      </c>
      <c r="C210" t="s">
        <v>3436</v>
      </c>
      <c r="D210" t="s">
        <v>2706</v>
      </c>
      <c r="E210" t="s">
        <v>2707</v>
      </c>
      <c r="F210" t="s">
        <v>950</v>
      </c>
      <c r="G210" t="s">
        <v>1832</v>
      </c>
      <c r="H210">
        <v>373.8</v>
      </c>
      <c r="I210" t="s">
        <v>2708</v>
      </c>
      <c r="M210" s="14" t="s">
        <v>3437</v>
      </c>
    </row>
    <row r="211" spans="1:13" x14ac:dyDescent="0.3">
      <c r="A211" t="s">
        <v>3438</v>
      </c>
      <c r="B211" t="s">
        <v>3439</v>
      </c>
      <c r="C211" t="s">
        <v>3440</v>
      </c>
      <c r="D211" t="s">
        <v>2706</v>
      </c>
      <c r="E211" t="s">
        <v>2707</v>
      </c>
      <c r="F211" t="s">
        <v>950</v>
      </c>
      <c r="G211" t="s">
        <v>1832</v>
      </c>
      <c r="H211">
        <v>396.9</v>
      </c>
      <c r="I211" t="s">
        <v>2708</v>
      </c>
      <c r="M211" s="14" t="s">
        <v>3441</v>
      </c>
    </row>
    <row r="212" spans="1:13" x14ac:dyDescent="0.3">
      <c r="A212" t="s">
        <v>3442</v>
      </c>
      <c r="B212" t="s">
        <v>3443</v>
      </c>
      <c r="C212" t="s">
        <v>3444</v>
      </c>
      <c r="D212" t="s">
        <v>2706</v>
      </c>
      <c r="E212" t="s">
        <v>2707</v>
      </c>
      <c r="F212" t="s">
        <v>950</v>
      </c>
      <c r="G212" t="s">
        <v>1832</v>
      </c>
      <c r="H212">
        <v>308.7</v>
      </c>
      <c r="I212" t="s">
        <v>2708</v>
      </c>
      <c r="M212" s="14" t="s">
        <v>3445</v>
      </c>
    </row>
    <row r="213" spans="1:13" x14ac:dyDescent="0.3">
      <c r="A213" t="s">
        <v>3446</v>
      </c>
      <c r="B213" t="s">
        <v>3447</v>
      </c>
      <c r="C213" t="s">
        <v>3448</v>
      </c>
      <c r="D213" t="s">
        <v>2706</v>
      </c>
      <c r="E213" t="s">
        <v>2707</v>
      </c>
      <c r="F213" t="s">
        <v>950</v>
      </c>
      <c r="G213" t="s">
        <v>1832</v>
      </c>
      <c r="H213">
        <v>310.8</v>
      </c>
      <c r="I213" t="s">
        <v>2708</v>
      </c>
      <c r="M213" s="14" t="s">
        <v>3449</v>
      </c>
    </row>
    <row r="214" spans="1:13" x14ac:dyDescent="0.3">
      <c r="A214" t="s">
        <v>3450</v>
      </c>
      <c r="B214" t="s">
        <v>3451</v>
      </c>
      <c r="C214" t="s">
        <v>3452</v>
      </c>
      <c r="D214" t="s">
        <v>2706</v>
      </c>
      <c r="E214" t="s">
        <v>2707</v>
      </c>
      <c r="F214" t="s">
        <v>950</v>
      </c>
      <c r="G214" t="s">
        <v>1832</v>
      </c>
      <c r="H214">
        <v>312.89999999999998</v>
      </c>
      <c r="I214" t="s">
        <v>2708</v>
      </c>
      <c r="M214" s="14" t="s">
        <v>3453</v>
      </c>
    </row>
    <row r="215" spans="1:13" x14ac:dyDescent="0.3">
      <c r="A215" t="s">
        <v>3454</v>
      </c>
      <c r="B215" t="s">
        <v>3455</v>
      </c>
      <c r="C215" t="s">
        <v>3456</v>
      </c>
      <c r="D215" t="s">
        <v>2706</v>
      </c>
      <c r="E215" t="s">
        <v>2707</v>
      </c>
      <c r="F215" t="s">
        <v>950</v>
      </c>
      <c r="G215" t="s">
        <v>1832</v>
      </c>
      <c r="H215">
        <v>97.65</v>
      </c>
      <c r="I215" t="s">
        <v>2708</v>
      </c>
      <c r="M215" s="14" t="s">
        <v>3457</v>
      </c>
    </row>
    <row r="216" spans="1:13" x14ac:dyDescent="0.3">
      <c r="A216" t="s">
        <v>3458</v>
      </c>
      <c r="B216" t="s">
        <v>3459</v>
      </c>
      <c r="C216" t="s">
        <v>3460</v>
      </c>
      <c r="D216" t="s">
        <v>2706</v>
      </c>
      <c r="E216" t="s">
        <v>2707</v>
      </c>
      <c r="F216" t="s">
        <v>950</v>
      </c>
      <c r="G216" t="s">
        <v>1832</v>
      </c>
      <c r="H216">
        <v>124.95</v>
      </c>
      <c r="I216" t="s">
        <v>2708</v>
      </c>
      <c r="M216" s="14" t="s">
        <v>3461</v>
      </c>
    </row>
    <row r="217" spans="1:13" x14ac:dyDescent="0.3">
      <c r="A217" t="s">
        <v>3462</v>
      </c>
      <c r="B217" t="s">
        <v>3463</v>
      </c>
      <c r="C217" t="s">
        <v>3464</v>
      </c>
      <c r="D217" t="s">
        <v>2706</v>
      </c>
      <c r="E217" t="s">
        <v>2707</v>
      </c>
      <c r="F217" t="s">
        <v>950</v>
      </c>
      <c r="G217" t="s">
        <v>1832</v>
      </c>
      <c r="H217">
        <v>66.150000000000006</v>
      </c>
      <c r="I217" t="s">
        <v>2708</v>
      </c>
      <c r="M217" s="14" t="s">
        <v>3465</v>
      </c>
    </row>
    <row r="218" spans="1:13" x14ac:dyDescent="0.3">
      <c r="A218" t="s">
        <v>3466</v>
      </c>
      <c r="B218" t="s">
        <v>3467</v>
      </c>
      <c r="C218" t="s">
        <v>3468</v>
      </c>
      <c r="D218" t="s">
        <v>2706</v>
      </c>
      <c r="E218" t="s">
        <v>2707</v>
      </c>
      <c r="F218" t="s">
        <v>950</v>
      </c>
      <c r="G218" t="s">
        <v>1832</v>
      </c>
      <c r="H218">
        <v>52.5</v>
      </c>
      <c r="I218" t="s">
        <v>2708</v>
      </c>
      <c r="M218" s="14" t="s">
        <v>3469</v>
      </c>
    </row>
    <row r="219" spans="1:13" x14ac:dyDescent="0.3">
      <c r="A219" t="s">
        <v>3470</v>
      </c>
      <c r="B219" t="s">
        <v>3471</v>
      </c>
      <c r="C219" t="s">
        <v>3472</v>
      </c>
      <c r="D219" t="s">
        <v>2706</v>
      </c>
      <c r="E219" t="s">
        <v>2707</v>
      </c>
      <c r="F219" t="s">
        <v>950</v>
      </c>
      <c r="G219" t="s">
        <v>1832</v>
      </c>
      <c r="H219">
        <v>56.7</v>
      </c>
      <c r="I219" t="s">
        <v>2708</v>
      </c>
      <c r="M219" s="14" t="s">
        <v>3473</v>
      </c>
    </row>
    <row r="220" spans="1:13" x14ac:dyDescent="0.3">
      <c r="A220" t="s">
        <v>3474</v>
      </c>
      <c r="B220" t="s">
        <v>3475</v>
      </c>
      <c r="C220" t="s">
        <v>3476</v>
      </c>
      <c r="D220" t="s">
        <v>2706</v>
      </c>
      <c r="E220" t="s">
        <v>2707</v>
      </c>
      <c r="F220" t="s">
        <v>950</v>
      </c>
      <c r="G220" t="s">
        <v>1832</v>
      </c>
      <c r="H220">
        <v>107.1</v>
      </c>
      <c r="I220" t="s">
        <v>2708</v>
      </c>
      <c r="M220" s="14" t="s">
        <v>3477</v>
      </c>
    </row>
    <row r="221" spans="1:13" x14ac:dyDescent="0.3">
      <c r="A221" t="s">
        <v>3478</v>
      </c>
      <c r="B221" t="s">
        <v>3479</v>
      </c>
      <c r="C221" t="s">
        <v>3480</v>
      </c>
      <c r="D221" t="s">
        <v>2706</v>
      </c>
      <c r="E221" t="s">
        <v>2707</v>
      </c>
      <c r="F221" t="s">
        <v>950</v>
      </c>
      <c r="G221" t="s">
        <v>1832</v>
      </c>
      <c r="H221">
        <v>59.85</v>
      </c>
      <c r="I221" t="s">
        <v>2708</v>
      </c>
      <c r="M221" s="14" t="s">
        <v>3481</v>
      </c>
    </row>
    <row r="222" spans="1:13" x14ac:dyDescent="0.3">
      <c r="A222" t="s">
        <v>3482</v>
      </c>
      <c r="B222" t="s">
        <v>3483</v>
      </c>
      <c r="C222" t="s">
        <v>3484</v>
      </c>
      <c r="D222" t="s">
        <v>2706</v>
      </c>
      <c r="E222" t="s">
        <v>2707</v>
      </c>
      <c r="F222" t="s">
        <v>950</v>
      </c>
      <c r="G222" t="s">
        <v>1832</v>
      </c>
      <c r="H222">
        <v>28.35</v>
      </c>
      <c r="I222" t="s">
        <v>2708</v>
      </c>
      <c r="M222" s="14" t="s">
        <v>3485</v>
      </c>
    </row>
    <row r="223" spans="1:13" x14ac:dyDescent="0.3">
      <c r="A223" t="s">
        <v>3486</v>
      </c>
      <c r="B223" t="s">
        <v>3487</v>
      </c>
      <c r="C223" t="s">
        <v>3488</v>
      </c>
      <c r="D223" t="s">
        <v>2706</v>
      </c>
      <c r="E223" t="s">
        <v>2707</v>
      </c>
      <c r="F223" t="s">
        <v>950</v>
      </c>
      <c r="G223" t="s">
        <v>1832</v>
      </c>
      <c r="H223">
        <v>87.15</v>
      </c>
      <c r="I223" t="s">
        <v>2708</v>
      </c>
      <c r="M223" s="14" t="s">
        <v>3489</v>
      </c>
    </row>
    <row r="224" spans="1:13" x14ac:dyDescent="0.3">
      <c r="A224" t="s">
        <v>3490</v>
      </c>
      <c r="B224" t="s">
        <v>3491</v>
      </c>
      <c r="C224" t="s">
        <v>3492</v>
      </c>
      <c r="D224" t="s">
        <v>2706</v>
      </c>
      <c r="E224" t="s">
        <v>2707</v>
      </c>
      <c r="F224" t="s">
        <v>950</v>
      </c>
      <c r="G224" t="s">
        <v>1832</v>
      </c>
      <c r="H224">
        <v>51.45</v>
      </c>
      <c r="I224" t="s">
        <v>2708</v>
      </c>
      <c r="M224" s="14" t="s">
        <v>3493</v>
      </c>
    </row>
    <row r="225" spans="1:13" x14ac:dyDescent="0.3">
      <c r="A225" t="s">
        <v>3494</v>
      </c>
      <c r="B225" t="s">
        <v>3495</v>
      </c>
      <c r="C225" t="s">
        <v>3496</v>
      </c>
      <c r="D225" t="s">
        <v>2706</v>
      </c>
      <c r="E225" t="s">
        <v>2707</v>
      </c>
      <c r="F225" t="s">
        <v>950</v>
      </c>
      <c r="G225" t="s">
        <v>1832</v>
      </c>
      <c r="H225">
        <v>119.7</v>
      </c>
      <c r="I225" t="s">
        <v>2708</v>
      </c>
      <c r="M225" s="14" t="s">
        <v>3497</v>
      </c>
    </row>
    <row r="226" spans="1:13" x14ac:dyDescent="0.3">
      <c r="A226" t="s">
        <v>3498</v>
      </c>
      <c r="B226" t="s">
        <v>3499</v>
      </c>
      <c r="C226" t="s">
        <v>3500</v>
      </c>
      <c r="D226" t="s">
        <v>2706</v>
      </c>
      <c r="E226" t="s">
        <v>2707</v>
      </c>
      <c r="F226" t="s">
        <v>950</v>
      </c>
      <c r="G226" t="s">
        <v>1832</v>
      </c>
      <c r="H226">
        <v>122.85</v>
      </c>
      <c r="I226" t="s">
        <v>2708</v>
      </c>
      <c r="M226" s="14" t="s">
        <v>3501</v>
      </c>
    </row>
    <row r="227" spans="1:13" x14ac:dyDescent="0.3">
      <c r="A227" t="s">
        <v>3502</v>
      </c>
      <c r="B227" t="s">
        <v>3503</v>
      </c>
      <c r="C227" t="s">
        <v>3504</v>
      </c>
      <c r="D227" t="s">
        <v>2706</v>
      </c>
      <c r="E227" t="s">
        <v>2707</v>
      </c>
      <c r="F227" t="s">
        <v>950</v>
      </c>
      <c r="G227" t="s">
        <v>1832</v>
      </c>
      <c r="H227">
        <v>215.25</v>
      </c>
      <c r="I227" t="s">
        <v>2708</v>
      </c>
      <c r="M227" s="14" t="s">
        <v>3505</v>
      </c>
    </row>
    <row r="228" spans="1:13" x14ac:dyDescent="0.3">
      <c r="A228" t="s">
        <v>3506</v>
      </c>
      <c r="B228" t="s">
        <v>3507</v>
      </c>
      <c r="C228" t="s">
        <v>3508</v>
      </c>
      <c r="D228" t="s">
        <v>2706</v>
      </c>
      <c r="E228" t="s">
        <v>2707</v>
      </c>
      <c r="F228" t="s">
        <v>950</v>
      </c>
      <c r="G228" t="s">
        <v>1832</v>
      </c>
      <c r="H228">
        <v>51.45</v>
      </c>
      <c r="I228" t="s">
        <v>2708</v>
      </c>
      <c r="M228" s="14" t="s">
        <v>3509</v>
      </c>
    </row>
    <row r="229" spans="1:13" x14ac:dyDescent="0.3">
      <c r="A229" t="s">
        <v>3510</v>
      </c>
      <c r="B229" t="s">
        <v>3511</v>
      </c>
      <c r="C229" t="s">
        <v>3512</v>
      </c>
      <c r="D229" t="s">
        <v>2706</v>
      </c>
      <c r="E229" t="s">
        <v>2707</v>
      </c>
      <c r="F229" t="s">
        <v>950</v>
      </c>
      <c r="G229" t="s">
        <v>1832</v>
      </c>
      <c r="H229">
        <v>58.8</v>
      </c>
      <c r="I229" t="s">
        <v>2708</v>
      </c>
      <c r="M229" s="14" t="s">
        <v>3513</v>
      </c>
    </row>
    <row r="230" spans="1:13" x14ac:dyDescent="0.3">
      <c r="A230" t="s">
        <v>3514</v>
      </c>
      <c r="B230" t="s">
        <v>3515</v>
      </c>
      <c r="C230" t="s">
        <v>3516</v>
      </c>
      <c r="D230" t="s">
        <v>2706</v>
      </c>
      <c r="E230" t="s">
        <v>2707</v>
      </c>
      <c r="F230" t="s">
        <v>950</v>
      </c>
      <c r="G230" t="s">
        <v>1832</v>
      </c>
      <c r="H230">
        <v>79.8</v>
      </c>
      <c r="I230" t="s">
        <v>2708</v>
      </c>
      <c r="M230" s="14" t="s">
        <v>3517</v>
      </c>
    </row>
    <row r="231" spans="1:13" x14ac:dyDescent="0.3">
      <c r="A231" t="s">
        <v>3518</v>
      </c>
      <c r="B231" t="s">
        <v>3519</v>
      </c>
      <c r="C231" t="s">
        <v>3520</v>
      </c>
      <c r="D231" t="s">
        <v>2706</v>
      </c>
      <c r="E231" t="s">
        <v>2707</v>
      </c>
      <c r="F231" t="s">
        <v>950</v>
      </c>
      <c r="G231" t="s">
        <v>1832</v>
      </c>
      <c r="H231">
        <v>334.95</v>
      </c>
      <c r="I231" t="s">
        <v>2708</v>
      </c>
      <c r="M231" s="14" t="s">
        <v>3521</v>
      </c>
    </row>
    <row r="232" spans="1:13" x14ac:dyDescent="0.3">
      <c r="A232" t="s">
        <v>3522</v>
      </c>
      <c r="B232" t="s">
        <v>3523</v>
      </c>
      <c r="C232" t="s">
        <v>3524</v>
      </c>
      <c r="D232" t="s">
        <v>2706</v>
      </c>
      <c r="E232" t="s">
        <v>2707</v>
      </c>
      <c r="F232" t="s">
        <v>950</v>
      </c>
      <c r="G232" t="s">
        <v>1832</v>
      </c>
      <c r="H232">
        <v>379.05</v>
      </c>
      <c r="I232" t="s">
        <v>2708</v>
      </c>
      <c r="M232" s="14" t="s">
        <v>3525</v>
      </c>
    </row>
    <row r="233" spans="1:13" x14ac:dyDescent="0.3">
      <c r="A233" t="s">
        <v>3526</v>
      </c>
      <c r="B233" t="s">
        <v>3527</v>
      </c>
      <c r="C233" t="s">
        <v>3528</v>
      </c>
      <c r="D233" t="s">
        <v>2706</v>
      </c>
      <c r="E233" t="s">
        <v>2707</v>
      </c>
      <c r="F233" t="s">
        <v>950</v>
      </c>
      <c r="G233" t="s">
        <v>1832</v>
      </c>
      <c r="H233">
        <v>434.7</v>
      </c>
      <c r="I233" t="s">
        <v>2708</v>
      </c>
      <c r="M233" s="14" t="s">
        <v>3529</v>
      </c>
    </row>
    <row r="234" spans="1:13" x14ac:dyDescent="0.3">
      <c r="A234" t="s">
        <v>3530</v>
      </c>
      <c r="B234" t="s">
        <v>3531</v>
      </c>
      <c r="C234" t="s">
        <v>3532</v>
      </c>
      <c r="D234" t="s">
        <v>2706</v>
      </c>
      <c r="E234" t="s">
        <v>2707</v>
      </c>
      <c r="F234" t="s">
        <v>950</v>
      </c>
      <c r="G234" t="s">
        <v>1832</v>
      </c>
      <c r="H234">
        <v>469.35</v>
      </c>
      <c r="I234" t="s">
        <v>2708</v>
      </c>
      <c r="M234" s="14" t="s">
        <v>3533</v>
      </c>
    </row>
    <row r="235" spans="1:13" x14ac:dyDescent="0.3">
      <c r="A235" t="s">
        <v>3534</v>
      </c>
      <c r="B235" t="s">
        <v>3535</v>
      </c>
      <c r="C235" t="s">
        <v>3536</v>
      </c>
      <c r="D235" t="s">
        <v>2706</v>
      </c>
      <c r="E235" t="s">
        <v>2707</v>
      </c>
      <c r="F235" t="s">
        <v>950</v>
      </c>
      <c r="G235" t="s">
        <v>1832</v>
      </c>
      <c r="H235">
        <v>299.25</v>
      </c>
      <c r="I235" t="s">
        <v>2708</v>
      </c>
      <c r="M235" s="14" t="s">
        <v>3537</v>
      </c>
    </row>
    <row r="236" spans="1:13" x14ac:dyDescent="0.3">
      <c r="A236" t="s">
        <v>3538</v>
      </c>
      <c r="B236" t="s">
        <v>3539</v>
      </c>
      <c r="C236" t="s">
        <v>3540</v>
      </c>
      <c r="D236" t="s">
        <v>2706</v>
      </c>
      <c r="E236" t="s">
        <v>2707</v>
      </c>
      <c r="F236" t="s">
        <v>950</v>
      </c>
      <c r="G236" t="s">
        <v>1832</v>
      </c>
      <c r="H236">
        <v>317.10000000000002</v>
      </c>
      <c r="I236" t="s">
        <v>2708</v>
      </c>
      <c r="M236" s="14" t="s">
        <v>3541</v>
      </c>
    </row>
    <row r="237" spans="1:13" x14ac:dyDescent="0.3">
      <c r="A237" t="s">
        <v>3542</v>
      </c>
      <c r="B237" t="s">
        <v>3543</v>
      </c>
      <c r="C237" t="s">
        <v>3544</v>
      </c>
      <c r="D237" t="s">
        <v>2706</v>
      </c>
      <c r="E237" t="s">
        <v>2707</v>
      </c>
      <c r="F237" t="s">
        <v>950</v>
      </c>
      <c r="G237" t="s">
        <v>1832</v>
      </c>
      <c r="H237">
        <v>437.85</v>
      </c>
      <c r="I237" t="s">
        <v>2708</v>
      </c>
      <c r="M237" s="14" t="s">
        <v>3545</v>
      </c>
    </row>
    <row r="238" spans="1:13" x14ac:dyDescent="0.3">
      <c r="A238" t="s">
        <v>3546</v>
      </c>
      <c r="B238" t="s">
        <v>3547</v>
      </c>
      <c r="C238" t="s">
        <v>3548</v>
      </c>
      <c r="D238" t="s">
        <v>2706</v>
      </c>
      <c r="E238" t="s">
        <v>2707</v>
      </c>
      <c r="F238" t="s">
        <v>950</v>
      </c>
      <c r="G238" t="s">
        <v>1832</v>
      </c>
      <c r="H238">
        <v>494.55</v>
      </c>
      <c r="I238" t="s">
        <v>2708</v>
      </c>
      <c r="M238" s="14" t="s">
        <v>3549</v>
      </c>
    </row>
    <row r="239" spans="1:13" x14ac:dyDescent="0.3">
      <c r="A239" t="s">
        <v>3550</v>
      </c>
      <c r="B239" t="s">
        <v>3551</v>
      </c>
      <c r="C239" t="s">
        <v>3552</v>
      </c>
      <c r="D239" t="s">
        <v>2706</v>
      </c>
      <c r="E239" t="s">
        <v>2707</v>
      </c>
      <c r="F239" t="s">
        <v>950</v>
      </c>
      <c r="G239" t="s">
        <v>1832</v>
      </c>
      <c r="H239">
        <v>527.1</v>
      </c>
      <c r="I239" t="s">
        <v>2708</v>
      </c>
      <c r="M239" s="14" t="s">
        <v>3553</v>
      </c>
    </row>
    <row r="240" spans="1:13" x14ac:dyDescent="0.3">
      <c r="A240" t="s">
        <v>3554</v>
      </c>
      <c r="B240" t="s">
        <v>3555</v>
      </c>
      <c r="C240" t="s">
        <v>3556</v>
      </c>
      <c r="D240" t="s">
        <v>2706</v>
      </c>
      <c r="E240" t="s">
        <v>2707</v>
      </c>
      <c r="F240" t="s">
        <v>950</v>
      </c>
      <c r="G240" t="s">
        <v>1832</v>
      </c>
      <c r="H240">
        <v>410.55</v>
      </c>
      <c r="I240" t="s">
        <v>2708</v>
      </c>
      <c r="M240" s="14" t="s">
        <v>3557</v>
      </c>
    </row>
    <row r="241" spans="1:13" x14ac:dyDescent="0.3">
      <c r="A241" t="s">
        <v>3558</v>
      </c>
      <c r="B241" t="s">
        <v>3559</v>
      </c>
      <c r="C241" t="s">
        <v>3560</v>
      </c>
      <c r="D241" t="s">
        <v>2706</v>
      </c>
      <c r="E241" t="s">
        <v>2707</v>
      </c>
      <c r="F241" t="s">
        <v>950</v>
      </c>
      <c r="G241" t="s">
        <v>1832</v>
      </c>
      <c r="H241">
        <v>396.9</v>
      </c>
      <c r="I241" t="s">
        <v>2708</v>
      </c>
      <c r="M241" s="14" t="s">
        <v>3561</v>
      </c>
    </row>
    <row r="242" spans="1:13" x14ac:dyDescent="0.3">
      <c r="A242" t="s">
        <v>3562</v>
      </c>
      <c r="B242" t="s">
        <v>3563</v>
      </c>
      <c r="C242" t="s">
        <v>3564</v>
      </c>
      <c r="D242" t="s">
        <v>2706</v>
      </c>
      <c r="E242" t="s">
        <v>2707</v>
      </c>
      <c r="F242" t="s">
        <v>950</v>
      </c>
      <c r="G242" t="s">
        <v>1832</v>
      </c>
      <c r="H242">
        <v>590.1</v>
      </c>
      <c r="I242" t="s">
        <v>2708</v>
      </c>
      <c r="M242" s="14" t="s">
        <v>3565</v>
      </c>
    </row>
    <row r="243" spans="1:13" x14ac:dyDescent="0.3">
      <c r="A243" t="s">
        <v>3566</v>
      </c>
      <c r="B243" t="s">
        <v>3567</v>
      </c>
      <c r="C243" t="s">
        <v>3568</v>
      </c>
      <c r="D243" t="s">
        <v>2706</v>
      </c>
      <c r="E243" t="s">
        <v>2707</v>
      </c>
      <c r="F243" t="s">
        <v>950</v>
      </c>
      <c r="G243" t="s">
        <v>1832</v>
      </c>
      <c r="H243">
        <v>600.6</v>
      </c>
      <c r="I243" t="s">
        <v>2708</v>
      </c>
      <c r="M243" s="14" t="s">
        <v>3569</v>
      </c>
    </row>
    <row r="244" spans="1:13" x14ac:dyDescent="0.3">
      <c r="A244" t="s">
        <v>3570</v>
      </c>
      <c r="B244" t="s">
        <v>3571</v>
      </c>
      <c r="C244" t="s">
        <v>3572</v>
      </c>
      <c r="D244" t="s">
        <v>2706</v>
      </c>
      <c r="E244" t="s">
        <v>2707</v>
      </c>
      <c r="F244" t="s">
        <v>950</v>
      </c>
      <c r="G244" t="s">
        <v>1832</v>
      </c>
      <c r="H244">
        <v>623.70000000000005</v>
      </c>
      <c r="I244" t="s">
        <v>2708</v>
      </c>
      <c r="M244" s="14" t="s">
        <v>3573</v>
      </c>
    </row>
    <row r="245" spans="1:13" x14ac:dyDescent="0.3">
      <c r="A245" t="s">
        <v>3574</v>
      </c>
      <c r="B245" t="s">
        <v>3575</v>
      </c>
      <c r="C245" t="s">
        <v>3576</v>
      </c>
      <c r="D245" t="s">
        <v>2706</v>
      </c>
      <c r="E245" t="s">
        <v>2707</v>
      </c>
      <c r="F245" t="s">
        <v>950</v>
      </c>
      <c r="G245" t="s">
        <v>1832</v>
      </c>
      <c r="H245">
        <v>668.85</v>
      </c>
      <c r="I245" t="s">
        <v>2708</v>
      </c>
      <c r="M245" s="14" t="s">
        <v>3577</v>
      </c>
    </row>
    <row r="246" spans="1:13" x14ac:dyDescent="0.3">
      <c r="A246" t="s">
        <v>3578</v>
      </c>
      <c r="B246" t="s">
        <v>3579</v>
      </c>
      <c r="C246" t="s">
        <v>3580</v>
      </c>
      <c r="D246" t="s">
        <v>2706</v>
      </c>
      <c r="E246" t="s">
        <v>2707</v>
      </c>
      <c r="F246" t="s">
        <v>950</v>
      </c>
      <c r="G246" t="s">
        <v>1832</v>
      </c>
      <c r="H246">
        <v>770.7</v>
      </c>
      <c r="I246" t="s">
        <v>2708</v>
      </c>
      <c r="M246" s="14" t="s">
        <v>3581</v>
      </c>
    </row>
    <row r="247" spans="1:13" x14ac:dyDescent="0.3">
      <c r="A247" t="s">
        <v>3582</v>
      </c>
      <c r="B247" t="s">
        <v>3583</v>
      </c>
      <c r="C247" t="s">
        <v>3584</v>
      </c>
      <c r="D247" t="s">
        <v>2706</v>
      </c>
      <c r="E247" t="s">
        <v>2707</v>
      </c>
      <c r="F247" t="s">
        <v>950</v>
      </c>
      <c r="G247" t="s">
        <v>1832</v>
      </c>
      <c r="H247">
        <v>793.8</v>
      </c>
      <c r="I247" t="s">
        <v>2708</v>
      </c>
      <c r="M247" s="14" t="s">
        <v>3585</v>
      </c>
    </row>
    <row r="248" spans="1:13" x14ac:dyDescent="0.3">
      <c r="A248" t="s">
        <v>3586</v>
      </c>
      <c r="B248" t="s">
        <v>3587</v>
      </c>
      <c r="C248" t="s">
        <v>3588</v>
      </c>
      <c r="D248" t="s">
        <v>2706</v>
      </c>
      <c r="E248" t="s">
        <v>2707</v>
      </c>
      <c r="F248" t="s">
        <v>950</v>
      </c>
      <c r="G248" t="s">
        <v>1832</v>
      </c>
      <c r="H248">
        <v>850.5</v>
      </c>
      <c r="I248" t="s">
        <v>2708</v>
      </c>
      <c r="M248" s="14" t="s">
        <v>3589</v>
      </c>
    </row>
    <row r="249" spans="1:13" x14ac:dyDescent="0.3">
      <c r="A249" t="s">
        <v>3590</v>
      </c>
      <c r="B249" t="s">
        <v>3591</v>
      </c>
      <c r="C249" t="s">
        <v>3592</v>
      </c>
      <c r="D249" t="s">
        <v>2706</v>
      </c>
      <c r="E249" t="s">
        <v>2707</v>
      </c>
      <c r="F249" t="s">
        <v>950</v>
      </c>
      <c r="G249" t="s">
        <v>1832</v>
      </c>
      <c r="H249">
        <v>884.1</v>
      </c>
      <c r="I249" t="s">
        <v>2708</v>
      </c>
      <c r="M249" s="14" t="s">
        <v>3593</v>
      </c>
    </row>
    <row r="250" spans="1:13" x14ac:dyDescent="0.3">
      <c r="A250" t="s">
        <v>3594</v>
      </c>
      <c r="B250" t="s">
        <v>3595</v>
      </c>
      <c r="C250" t="s">
        <v>3596</v>
      </c>
      <c r="D250" t="s">
        <v>2706</v>
      </c>
      <c r="E250" t="s">
        <v>2707</v>
      </c>
      <c r="F250" t="s">
        <v>950</v>
      </c>
      <c r="G250" t="s">
        <v>1832</v>
      </c>
      <c r="H250">
        <v>555.45000000000005</v>
      </c>
      <c r="I250" t="s">
        <v>2708</v>
      </c>
      <c r="M250" s="14" t="s">
        <v>3597</v>
      </c>
    </row>
    <row r="251" spans="1:13" x14ac:dyDescent="0.3">
      <c r="A251" t="s">
        <v>3598</v>
      </c>
      <c r="B251" t="s">
        <v>3599</v>
      </c>
      <c r="C251" t="s">
        <v>3600</v>
      </c>
      <c r="D251" t="s">
        <v>2706</v>
      </c>
      <c r="E251" t="s">
        <v>2707</v>
      </c>
      <c r="F251" t="s">
        <v>950</v>
      </c>
      <c r="G251" t="s">
        <v>1832</v>
      </c>
      <c r="H251">
        <v>521.85</v>
      </c>
      <c r="I251" t="s">
        <v>2708</v>
      </c>
      <c r="M251" s="14" t="s">
        <v>3601</v>
      </c>
    </row>
    <row r="252" spans="1:13" x14ac:dyDescent="0.3">
      <c r="A252" t="s">
        <v>3602</v>
      </c>
      <c r="B252" t="s">
        <v>3603</v>
      </c>
      <c r="C252" t="s">
        <v>3604</v>
      </c>
      <c r="D252" t="s">
        <v>2706</v>
      </c>
      <c r="E252" t="s">
        <v>2707</v>
      </c>
      <c r="F252" t="s">
        <v>950</v>
      </c>
      <c r="G252" t="s">
        <v>1832</v>
      </c>
      <c r="H252">
        <v>321.3</v>
      </c>
      <c r="I252" t="s">
        <v>2708</v>
      </c>
      <c r="M252" s="14" t="s">
        <v>3605</v>
      </c>
    </row>
    <row r="253" spans="1:13" x14ac:dyDescent="0.3">
      <c r="A253" t="s">
        <v>3606</v>
      </c>
      <c r="B253" t="s">
        <v>3607</v>
      </c>
      <c r="C253" t="s">
        <v>3608</v>
      </c>
      <c r="D253" t="s">
        <v>2706</v>
      </c>
      <c r="E253" t="s">
        <v>2707</v>
      </c>
      <c r="F253" t="s">
        <v>950</v>
      </c>
      <c r="G253" t="s">
        <v>1832</v>
      </c>
      <c r="H253">
        <v>9021.6</v>
      </c>
      <c r="I253" t="s">
        <v>2708</v>
      </c>
      <c r="M253" s="14" t="s">
        <v>3609</v>
      </c>
    </row>
    <row r="254" spans="1:13" x14ac:dyDescent="0.3">
      <c r="A254" t="s">
        <v>3610</v>
      </c>
      <c r="B254" t="s">
        <v>3611</v>
      </c>
      <c r="C254" t="s">
        <v>3612</v>
      </c>
      <c r="D254" t="s">
        <v>2706</v>
      </c>
      <c r="E254" t="s">
        <v>2707</v>
      </c>
      <c r="F254" t="s">
        <v>950</v>
      </c>
      <c r="G254" t="s">
        <v>1832</v>
      </c>
      <c r="H254">
        <v>9208.5</v>
      </c>
      <c r="I254" t="s">
        <v>2708</v>
      </c>
      <c r="M254" s="14" t="s">
        <v>3613</v>
      </c>
    </row>
    <row r="255" spans="1:13" x14ac:dyDescent="0.3">
      <c r="A255" t="s">
        <v>3614</v>
      </c>
      <c r="B255" t="s">
        <v>3615</v>
      </c>
      <c r="C255" t="s">
        <v>3616</v>
      </c>
      <c r="D255" t="s">
        <v>2706</v>
      </c>
      <c r="E255" t="s">
        <v>2707</v>
      </c>
      <c r="F255" t="s">
        <v>950</v>
      </c>
      <c r="G255" t="s">
        <v>1832</v>
      </c>
      <c r="H255">
        <v>13744.5</v>
      </c>
      <c r="I255" t="s">
        <v>2708</v>
      </c>
      <c r="M255" s="14" t="s">
        <v>3617</v>
      </c>
    </row>
    <row r="256" spans="1:13" x14ac:dyDescent="0.3">
      <c r="A256" t="s">
        <v>3618</v>
      </c>
      <c r="B256" t="s">
        <v>3619</v>
      </c>
      <c r="C256" t="s">
        <v>3620</v>
      </c>
      <c r="D256" t="s">
        <v>2706</v>
      </c>
      <c r="E256" t="s">
        <v>2707</v>
      </c>
      <c r="F256" t="s">
        <v>950</v>
      </c>
      <c r="G256" t="s">
        <v>1832</v>
      </c>
      <c r="H256">
        <v>1547.7</v>
      </c>
      <c r="I256" t="s">
        <v>2708</v>
      </c>
      <c r="M256" s="14" t="s">
        <v>3621</v>
      </c>
    </row>
    <row r="257" spans="1:13" x14ac:dyDescent="0.3">
      <c r="A257" t="s">
        <v>3622</v>
      </c>
      <c r="B257" t="s">
        <v>3623</v>
      </c>
      <c r="C257" t="s">
        <v>3624</v>
      </c>
      <c r="D257" t="s">
        <v>2706</v>
      </c>
      <c r="E257" t="s">
        <v>2707</v>
      </c>
      <c r="F257" t="s">
        <v>950</v>
      </c>
      <c r="G257" t="s">
        <v>1832</v>
      </c>
      <c r="H257">
        <v>98.7</v>
      </c>
      <c r="I257" t="s">
        <v>2708</v>
      </c>
      <c r="M257" s="14" t="s">
        <v>3625</v>
      </c>
    </row>
    <row r="258" spans="1:13" x14ac:dyDescent="0.3">
      <c r="A258" t="s">
        <v>3626</v>
      </c>
      <c r="B258" t="s">
        <v>3627</v>
      </c>
      <c r="C258" t="s">
        <v>3628</v>
      </c>
      <c r="D258" t="s">
        <v>2706</v>
      </c>
      <c r="E258" t="s">
        <v>2707</v>
      </c>
      <c r="F258" t="s">
        <v>950</v>
      </c>
      <c r="G258" t="s">
        <v>1832</v>
      </c>
      <c r="H258">
        <v>807.45</v>
      </c>
      <c r="I258" t="s">
        <v>2708</v>
      </c>
      <c r="M258" s="14" t="s">
        <v>3629</v>
      </c>
    </row>
    <row r="259" spans="1:13" x14ac:dyDescent="0.3">
      <c r="A259" t="s">
        <v>3630</v>
      </c>
      <c r="B259" t="s">
        <v>3631</v>
      </c>
      <c r="C259" t="s">
        <v>3632</v>
      </c>
      <c r="D259" t="s">
        <v>2706</v>
      </c>
      <c r="E259" t="s">
        <v>2707</v>
      </c>
      <c r="F259" t="s">
        <v>950</v>
      </c>
      <c r="G259" t="s">
        <v>1832</v>
      </c>
      <c r="H259">
        <v>328.65</v>
      </c>
      <c r="I259" t="s">
        <v>2708</v>
      </c>
      <c r="M259" s="14" t="s">
        <v>3633</v>
      </c>
    </row>
    <row r="260" spans="1:13" x14ac:dyDescent="0.3">
      <c r="A260" t="s">
        <v>3634</v>
      </c>
      <c r="B260" t="s">
        <v>3635</v>
      </c>
      <c r="D260" t="s">
        <v>2716</v>
      </c>
      <c r="E260" t="s">
        <v>2717</v>
      </c>
      <c r="F260" t="s">
        <v>950</v>
      </c>
      <c r="G260" t="s">
        <v>1877</v>
      </c>
      <c r="H260">
        <v>20867.919999999998</v>
      </c>
      <c r="I260" t="s">
        <v>2708</v>
      </c>
      <c r="J260" t="s">
        <v>3636</v>
      </c>
      <c r="M260" s="14" t="s">
        <v>3637</v>
      </c>
    </row>
    <row r="261" spans="1:13" x14ac:dyDescent="0.3">
      <c r="A261" t="s">
        <v>3638</v>
      </c>
      <c r="B261" t="s">
        <v>3639</v>
      </c>
      <c r="D261" t="s">
        <v>2716</v>
      </c>
      <c r="E261" t="s">
        <v>2717</v>
      </c>
      <c r="F261" t="s">
        <v>950</v>
      </c>
      <c r="G261" t="s">
        <v>1877</v>
      </c>
      <c r="H261">
        <v>22505.46</v>
      </c>
      <c r="I261" t="s">
        <v>2708</v>
      </c>
      <c r="J261" t="s">
        <v>3640</v>
      </c>
      <c r="M261" s="14" t="s">
        <v>3641</v>
      </c>
    </row>
    <row r="262" spans="1:13" x14ac:dyDescent="0.3">
      <c r="A262" t="s">
        <v>3642</v>
      </c>
      <c r="B262" t="s">
        <v>3643</v>
      </c>
      <c r="D262" t="s">
        <v>2716</v>
      </c>
      <c r="E262" t="s">
        <v>2717</v>
      </c>
      <c r="F262" t="s">
        <v>950</v>
      </c>
      <c r="G262" t="s">
        <v>1877</v>
      </c>
      <c r="H262">
        <v>23020</v>
      </c>
      <c r="I262" t="s">
        <v>2708</v>
      </c>
      <c r="J262" t="s">
        <v>3644</v>
      </c>
      <c r="M262" s="14" t="s">
        <v>3645</v>
      </c>
    </row>
    <row r="263" spans="1:13" x14ac:dyDescent="0.3">
      <c r="A263" t="s">
        <v>3646</v>
      </c>
      <c r="B263" t="s">
        <v>3647</v>
      </c>
      <c r="D263" t="s">
        <v>2716</v>
      </c>
      <c r="E263" t="s">
        <v>2717</v>
      </c>
      <c r="F263" t="s">
        <v>950</v>
      </c>
      <c r="G263" t="s">
        <v>1877</v>
      </c>
      <c r="H263">
        <v>7779.94</v>
      </c>
      <c r="I263" t="s">
        <v>2708</v>
      </c>
      <c r="J263" t="s">
        <v>2852</v>
      </c>
      <c r="M263" s="14" t="s">
        <v>3648</v>
      </c>
    </row>
    <row r="264" spans="1:13" x14ac:dyDescent="0.3">
      <c r="A264" t="s">
        <v>3649</v>
      </c>
      <c r="B264" t="s">
        <v>3650</v>
      </c>
      <c r="D264" t="s">
        <v>2716</v>
      </c>
      <c r="E264" t="s">
        <v>2717</v>
      </c>
      <c r="F264" t="s">
        <v>950</v>
      </c>
      <c r="G264" t="s">
        <v>1877</v>
      </c>
      <c r="H264">
        <v>8384.57</v>
      </c>
      <c r="I264" t="s">
        <v>2708</v>
      </c>
      <c r="J264" t="s">
        <v>2859</v>
      </c>
      <c r="M264" s="14" t="s">
        <v>3651</v>
      </c>
    </row>
    <row r="265" spans="1:13" x14ac:dyDescent="0.3">
      <c r="A265" t="s">
        <v>3652</v>
      </c>
      <c r="B265" t="s">
        <v>3653</v>
      </c>
      <c r="D265" t="s">
        <v>2716</v>
      </c>
      <c r="E265" t="s">
        <v>2717</v>
      </c>
      <c r="F265" t="s">
        <v>950</v>
      </c>
      <c r="G265" t="s">
        <v>1877</v>
      </c>
      <c r="H265">
        <v>8922.59</v>
      </c>
      <c r="I265" t="s">
        <v>2708</v>
      </c>
      <c r="J265" t="s">
        <v>2903</v>
      </c>
      <c r="M265" s="14" t="s">
        <v>3654</v>
      </c>
    </row>
    <row r="266" spans="1:13" x14ac:dyDescent="0.3">
      <c r="A266" t="s">
        <v>3655</v>
      </c>
      <c r="B266" t="s">
        <v>3656</v>
      </c>
      <c r="D266" t="s">
        <v>2716</v>
      </c>
      <c r="E266" t="s">
        <v>2717</v>
      </c>
      <c r="F266" t="s">
        <v>950</v>
      </c>
      <c r="G266" t="s">
        <v>1877</v>
      </c>
      <c r="H266">
        <v>10215.120000000001</v>
      </c>
      <c r="I266" t="s">
        <v>2708</v>
      </c>
      <c r="J266" t="s">
        <v>2947</v>
      </c>
      <c r="M266" s="14" t="s">
        <v>3657</v>
      </c>
    </row>
    <row r="267" spans="1:13" x14ac:dyDescent="0.3">
      <c r="A267" t="s">
        <v>3658</v>
      </c>
      <c r="B267" t="s">
        <v>3659</v>
      </c>
      <c r="D267" t="s">
        <v>2716</v>
      </c>
      <c r="E267" t="s">
        <v>2717</v>
      </c>
      <c r="F267" t="s">
        <v>950</v>
      </c>
      <c r="G267" t="s">
        <v>1877</v>
      </c>
      <c r="H267">
        <v>10720.26</v>
      </c>
      <c r="I267" t="s">
        <v>2708</v>
      </c>
      <c r="J267" t="s">
        <v>2954</v>
      </c>
      <c r="M267" s="14" t="s">
        <v>3660</v>
      </c>
    </row>
    <row r="268" spans="1:13" x14ac:dyDescent="0.3">
      <c r="A268" t="s">
        <v>3661</v>
      </c>
      <c r="B268" t="s">
        <v>3662</v>
      </c>
      <c r="D268" t="s">
        <v>2716</v>
      </c>
      <c r="E268" t="s">
        <v>2717</v>
      </c>
      <c r="F268" t="s">
        <v>950</v>
      </c>
      <c r="G268" t="s">
        <v>1877</v>
      </c>
      <c r="H268">
        <v>12516.65</v>
      </c>
      <c r="I268" t="s">
        <v>2708</v>
      </c>
      <c r="J268" t="s">
        <v>3663</v>
      </c>
      <c r="M268" s="14" t="s">
        <v>3664</v>
      </c>
    </row>
    <row r="269" spans="1:13" x14ac:dyDescent="0.3">
      <c r="A269" t="s">
        <v>3665</v>
      </c>
      <c r="B269" t="s">
        <v>3666</v>
      </c>
      <c r="D269" t="s">
        <v>2716</v>
      </c>
      <c r="E269" t="s">
        <v>2717</v>
      </c>
      <c r="F269" t="s">
        <v>950</v>
      </c>
      <c r="G269" t="s">
        <v>1877</v>
      </c>
      <c r="H269">
        <v>13211.81</v>
      </c>
      <c r="I269" t="s">
        <v>2708</v>
      </c>
      <c r="J269" t="s">
        <v>2998</v>
      </c>
      <c r="M269" s="14" t="s">
        <v>3667</v>
      </c>
    </row>
    <row r="270" spans="1:13" x14ac:dyDescent="0.3">
      <c r="A270" t="s">
        <v>3668</v>
      </c>
      <c r="B270" t="s">
        <v>3669</v>
      </c>
      <c r="D270" t="s">
        <v>2716</v>
      </c>
      <c r="E270" t="s">
        <v>2717</v>
      </c>
      <c r="F270" t="s">
        <v>950</v>
      </c>
      <c r="G270" t="s">
        <v>1877</v>
      </c>
      <c r="H270">
        <v>14202.45</v>
      </c>
      <c r="I270" t="s">
        <v>2708</v>
      </c>
      <c r="J270" t="s">
        <v>3670</v>
      </c>
      <c r="M270" s="14" t="s">
        <v>3671</v>
      </c>
    </row>
    <row r="271" spans="1:13" x14ac:dyDescent="0.3">
      <c r="A271" t="s">
        <v>3672</v>
      </c>
      <c r="B271" t="s">
        <v>3673</v>
      </c>
      <c r="D271" t="s">
        <v>2716</v>
      </c>
      <c r="E271" t="s">
        <v>2717</v>
      </c>
      <c r="F271" t="s">
        <v>950</v>
      </c>
      <c r="G271" t="s">
        <v>1877</v>
      </c>
      <c r="H271">
        <v>16027.87</v>
      </c>
      <c r="I271" t="s">
        <v>2708</v>
      </c>
      <c r="J271" t="s">
        <v>3674</v>
      </c>
      <c r="M271" s="14" t="s">
        <v>3675</v>
      </c>
    </row>
    <row r="272" spans="1:13" x14ac:dyDescent="0.3">
      <c r="A272" t="s">
        <v>3676</v>
      </c>
      <c r="B272" t="s">
        <v>3677</v>
      </c>
      <c r="D272" t="s">
        <v>2716</v>
      </c>
      <c r="E272" t="s">
        <v>2717</v>
      </c>
      <c r="F272" t="s">
        <v>950</v>
      </c>
      <c r="G272" t="s">
        <v>1877</v>
      </c>
      <c r="H272">
        <v>17636.38</v>
      </c>
      <c r="I272" t="s">
        <v>2708</v>
      </c>
      <c r="J272" t="s">
        <v>3678</v>
      </c>
      <c r="M272" s="14" t="s">
        <v>3679</v>
      </c>
    </row>
    <row r="273" spans="1:13" x14ac:dyDescent="0.3">
      <c r="A273" t="s">
        <v>3680</v>
      </c>
      <c r="B273" t="s">
        <v>3681</v>
      </c>
      <c r="D273" t="s">
        <v>2716</v>
      </c>
      <c r="E273" t="s">
        <v>2717</v>
      </c>
      <c r="F273" t="s">
        <v>950</v>
      </c>
      <c r="G273" t="s">
        <v>1877</v>
      </c>
      <c r="H273">
        <v>18196.18</v>
      </c>
      <c r="I273" t="s">
        <v>2708</v>
      </c>
      <c r="J273" t="s">
        <v>3682</v>
      </c>
      <c r="M273" s="14" t="s">
        <v>3683</v>
      </c>
    </row>
    <row r="274" spans="1:13" x14ac:dyDescent="0.3">
      <c r="A274" t="s">
        <v>3684</v>
      </c>
      <c r="B274" t="s">
        <v>3685</v>
      </c>
      <c r="D274" t="s">
        <v>2716</v>
      </c>
      <c r="E274" t="s">
        <v>2717</v>
      </c>
      <c r="F274" t="s">
        <v>950</v>
      </c>
      <c r="G274" t="s">
        <v>1877</v>
      </c>
      <c r="H274">
        <v>19709.47</v>
      </c>
      <c r="I274" t="s">
        <v>2708</v>
      </c>
      <c r="J274" t="s">
        <v>3686</v>
      </c>
      <c r="M274" s="14" t="s">
        <v>3687</v>
      </c>
    </row>
    <row r="275" spans="1:13" x14ac:dyDescent="0.3">
      <c r="A275" t="s">
        <v>3688</v>
      </c>
      <c r="B275" t="s">
        <v>3689</v>
      </c>
      <c r="D275" t="s">
        <v>2716</v>
      </c>
      <c r="E275" t="s">
        <v>2717</v>
      </c>
      <c r="F275" t="s">
        <v>950</v>
      </c>
      <c r="G275" t="s">
        <v>1877</v>
      </c>
      <c r="H275">
        <v>19858.490000000002</v>
      </c>
      <c r="I275" t="s">
        <v>2708</v>
      </c>
      <c r="J275" t="s">
        <v>3690</v>
      </c>
      <c r="M275" s="14" t="s">
        <v>3691</v>
      </c>
    </row>
    <row r="276" spans="1:13" x14ac:dyDescent="0.3">
      <c r="A276" t="s">
        <v>3692</v>
      </c>
      <c r="B276" t="s">
        <v>3693</v>
      </c>
      <c r="D276" t="s">
        <v>2716</v>
      </c>
      <c r="E276" t="s">
        <v>2717</v>
      </c>
      <c r="F276" t="s">
        <v>950</v>
      </c>
      <c r="G276" t="s">
        <v>1877</v>
      </c>
      <c r="H276">
        <v>20621.54</v>
      </c>
      <c r="I276" t="s">
        <v>2708</v>
      </c>
      <c r="J276" t="s">
        <v>3694</v>
      </c>
      <c r="M276" s="14" t="s">
        <v>3695</v>
      </c>
    </row>
    <row r="277" spans="1:13" x14ac:dyDescent="0.3">
      <c r="A277" t="s">
        <v>3696</v>
      </c>
      <c r="B277" t="s">
        <v>3697</v>
      </c>
      <c r="D277" t="s">
        <v>2716</v>
      </c>
      <c r="E277" t="s">
        <v>2717</v>
      </c>
      <c r="F277" t="s">
        <v>950</v>
      </c>
      <c r="G277" t="s">
        <v>1877</v>
      </c>
      <c r="H277">
        <v>2294.6999999999998</v>
      </c>
      <c r="I277" t="s">
        <v>2708</v>
      </c>
      <c r="J277" t="s">
        <v>2718</v>
      </c>
      <c r="M277" s="14" t="s">
        <v>3698</v>
      </c>
    </row>
    <row r="278" spans="1:13" x14ac:dyDescent="0.3">
      <c r="A278" t="s">
        <v>3699</v>
      </c>
      <c r="B278" t="s">
        <v>3700</v>
      </c>
      <c r="D278" t="s">
        <v>2716</v>
      </c>
      <c r="E278" t="s">
        <v>2717</v>
      </c>
      <c r="F278" t="s">
        <v>950</v>
      </c>
      <c r="G278" t="s">
        <v>1877</v>
      </c>
      <c r="H278">
        <v>3289.18</v>
      </c>
      <c r="I278" t="s">
        <v>2708</v>
      </c>
      <c r="J278" t="s">
        <v>3701</v>
      </c>
      <c r="M278" s="14" t="s">
        <v>3702</v>
      </c>
    </row>
    <row r="279" spans="1:13" x14ac:dyDescent="0.3">
      <c r="A279" t="s">
        <v>3703</v>
      </c>
      <c r="B279" t="s">
        <v>3704</v>
      </c>
      <c r="D279" t="s">
        <v>2716</v>
      </c>
      <c r="E279" t="s">
        <v>2717</v>
      </c>
      <c r="F279" t="s">
        <v>950</v>
      </c>
      <c r="G279" t="s">
        <v>1877</v>
      </c>
      <c r="H279">
        <v>2755.43</v>
      </c>
      <c r="I279" t="s">
        <v>2708</v>
      </c>
      <c r="J279" t="s">
        <v>3701</v>
      </c>
      <c r="M279" s="14" t="s">
        <v>3705</v>
      </c>
    </row>
    <row r="280" spans="1:13" x14ac:dyDescent="0.3">
      <c r="A280" t="s">
        <v>3706</v>
      </c>
      <c r="B280" t="s">
        <v>3707</v>
      </c>
      <c r="D280" t="s">
        <v>2716</v>
      </c>
      <c r="E280" t="s">
        <v>2717</v>
      </c>
      <c r="F280" t="s">
        <v>950</v>
      </c>
      <c r="G280" t="s">
        <v>1877</v>
      </c>
      <c r="H280">
        <v>3585.52</v>
      </c>
      <c r="I280" t="s">
        <v>2708</v>
      </c>
      <c r="J280" t="s">
        <v>2751</v>
      </c>
      <c r="M280" s="14" t="s">
        <v>3708</v>
      </c>
    </row>
    <row r="281" spans="1:13" x14ac:dyDescent="0.3">
      <c r="A281" t="s">
        <v>3709</v>
      </c>
      <c r="B281" t="s">
        <v>3710</v>
      </c>
      <c r="D281" t="s">
        <v>2716</v>
      </c>
      <c r="E281" t="s">
        <v>2717</v>
      </c>
      <c r="F281" t="s">
        <v>950</v>
      </c>
      <c r="G281" t="s">
        <v>1877</v>
      </c>
      <c r="H281">
        <v>3007.79</v>
      </c>
      <c r="I281" t="s">
        <v>2708</v>
      </c>
      <c r="J281" t="s">
        <v>2751</v>
      </c>
      <c r="M281" s="14" t="s">
        <v>3711</v>
      </c>
    </row>
    <row r="282" spans="1:13" x14ac:dyDescent="0.3">
      <c r="A282" t="s">
        <v>3712</v>
      </c>
      <c r="B282" t="s">
        <v>3713</v>
      </c>
      <c r="D282" t="s">
        <v>2716</v>
      </c>
      <c r="E282" t="s">
        <v>2717</v>
      </c>
      <c r="F282" t="s">
        <v>950</v>
      </c>
      <c r="G282" t="s">
        <v>1877</v>
      </c>
      <c r="H282">
        <v>4033.02</v>
      </c>
      <c r="I282" t="s">
        <v>2708</v>
      </c>
      <c r="J282" t="s">
        <v>2783</v>
      </c>
      <c r="M282" s="14" t="s">
        <v>3714</v>
      </c>
    </row>
    <row r="283" spans="1:13" x14ac:dyDescent="0.3">
      <c r="A283" t="s">
        <v>3715</v>
      </c>
      <c r="B283" t="s">
        <v>3716</v>
      </c>
      <c r="D283" t="s">
        <v>2716</v>
      </c>
      <c r="E283" t="s">
        <v>2717</v>
      </c>
      <c r="F283" t="s">
        <v>950</v>
      </c>
      <c r="G283" t="s">
        <v>1877</v>
      </c>
      <c r="H283">
        <v>3386.54</v>
      </c>
      <c r="I283" t="s">
        <v>2708</v>
      </c>
      <c r="J283" t="s">
        <v>2783</v>
      </c>
      <c r="M283" s="14" t="s">
        <v>3717</v>
      </c>
    </row>
    <row r="284" spans="1:13" x14ac:dyDescent="0.3">
      <c r="A284" t="s">
        <v>3718</v>
      </c>
      <c r="B284" t="s">
        <v>3719</v>
      </c>
      <c r="D284" t="s">
        <v>2716</v>
      </c>
      <c r="E284" t="s">
        <v>2717</v>
      </c>
      <c r="F284" t="s">
        <v>950</v>
      </c>
      <c r="G284" t="s">
        <v>1877</v>
      </c>
      <c r="H284">
        <v>1969.32</v>
      </c>
      <c r="I284" t="s">
        <v>2708</v>
      </c>
      <c r="J284" t="s">
        <v>3086</v>
      </c>
      <c r="M284" s="14" t="s">
        <v>3720</v>
      </c>
    </row>
    <row r="285" spans="1:13" x14ac:dyDescent="0.3">
      <c r="A285" t="s">
        <v>3721</v>
      </c>
      <c r="B285" t="s">
        <v>3722</v>
      </c>
      <c r="D285" t="s">
        <v>2716</v>
      </c>
      <c r="E285" t="s">
        <v>2717</v>
      </c>
      <c r="F285" t="s">
        <v>950</v>
      </c>
      <c r="G285" t="s">
        <v>1877</v>
      </c>
      <c r="H285">
        <v>7181.71</v>
      </c>
      <c r="I285" t="s">
        <v>2708</v>
      </c>
      <c r="J285" t="s">
        <v>3723</v>
      </c>
      <c r="M285" s="14" t="s">
        <v>3724</v>
      </c>
    </row>
    <row r="286" spans="1:13" x14ac:dyDescent="0.3">
      <c r="A286" t="s">
        <v>3725</v>
      </c>
      <c r="B286" t="s">
        <v>3726</v>
      </c>
      <c r="D286" t="s">
        <v>2716</v>
      </c>
      <c r="E286" t="s">
        <v>2717</v>
      </c>
      <c r="F286" t="s">
        <v>950</v>
      </c>
      <c r="G286" t="s">
        <v>1877</v>
      </c>
      <c r="H286">
        <v>7739.8</v>
      </c>
      <c r="I286" t="s">
        <v>2708</v>
      </c>
      <c r="J286" t="s">
        <v>2859</v>
      </c>
      <c r="M286" s="14" t="s">
        <v>3727</v>
      </c>
    </row>
    <row r="287" spans="1:13" x14ac:dyDescent="0.3">
      <c r="A287" t="s">
        <v>3728</v>
      </c>
      <c r="B287" t="s">
        <v>3729</v>
      </c>
      <c r="D287" t="s">
        <v>2716</v>
      </c>
      <c r="E287" t="s">
        <v>2717</v>
      </c>
      <c r="F287" t="s">
        <v>950</v>
      </c>
      <c r="G287" t="s">
        <v>1877</v>
      </c>
      <c r="H287">
        <v>8235.5499999999993</v>
      </c>
      <c r="I287" t="s">
        <v>2708</v>
      </c>
      <c r="J287" t="s">
        <v>2903</v>
      </c>
      <c r="M287" s="14" t="s">
        <v>3730</v>
      </c>
    </row>
    <row r="288" spans="1:13" x14ac:dyDescent="0.3">
      <c r="A288" t="s">
        <v>3731</v>
      </c>
      <c r="B288" t="s">
        <v>3732</v>
      </c>
      <c r="D288" t="s">
        <v>2716</v>
      </c>
      <c r="E288" t="s">
        <v>2717</v>
      </c>
      <c r="F288" t="s">
        <v>950</v>
      </c>
      <c r="G288" t="s">
        <v>1877</v>
      </c>
      <c r="H288">
        <v>9066.49</v>
      </c>
      <c r="I288" t="s">
        <v>2708</v>
      </c>
      <c r="J288" t="s">
        <v>2947</v>
      </c>
      <c r="M288" s="14" t="s">
        <v>3733</v>
      </c>
    </row>
    <row r="289" spans="1:13" x14ac:dyDescent="0.3">
      <c r="A289" t="s">
        <v>3734</v>
      </c>
      <c r="B289" t="s">
        <v>3735</v>
      </c>
      <c r="D289" t="s">
        <v>2716</v>
      </c>
      <c r="E289" t="s">
        <v>2717</v>
      </c>
      <c r="F289" t="s">
        <v>950</v>
      </c>
      <c r="G289" t="s">
        <v>1877</v>
      </c>
      <c r="H289">
        <v>9895.2999999999993</v>
      </c>
      <c r="I289" t="s">
        <v>2708</v>
      </c>
      <c r="J289" t="s">
        <v>2954</v>
      </c>
      <c r="M289" s="14" t="s">
        <v>3736</v>
      </c>
    </row>
    <row r="290" spans="1:13" x14ac:dyDescent="0.3">
      <c r="A290" t="s">
        <v>3737</v>
      </c>
      <c r="B290" t="s">
        <v>3738</v>
      </c>
      <c r="D290" t="s">
        <v>2716</v>
      </c>
      <c r="E290" t="s">
        <v>2717</v>
      </c>
      <c r="F290" t="s">
        <v>950</v>
      </c>
      <c r="G290" t="s">
        <v>1877</v>
      </c>
      <c r="H290">
        <v>11109.26</v>
      </c>
      <c r="I290" t="s">
        <v>2708</v>
      </c>
      <c r="J290" t="s">
        <v>3663</v>
      </c>
      <c r="M290" s="14" t="s">
        <v>3739</v>
      </c>
    </row>
    <row r="291" spans="1:13" x14ac:dyDescent="0.3">
      <c r="A291" t="s">
        <v>3740</v>
      </c>
      <c r="B291" t="s">
        <v>3741</v>
      </c>
      <c r="D291" t="s">
        <v>2716</v>
      </c>
      <c r="E291" t="s">
        <v>2717</v>
      </c>
      <c r="F291" t="s">
        <v>950</v>
      </c>
      <c r="G291" t="s">
        <v>1877</v>
      </c>
      <c r="H291">
        <v>12195.97</v>
      </c>
      <c r="I291" t="s">
        <v>2708</v>
      </c>
      <c r="J291" t="s">
        <v>2998</v>
      </c>
      <c r="M291" s="14" t="s">
        <v>3742</v>
      </c>
    </row>
    <row r="292" spans="1:13" x14ac:dyDescent="0.3">
      <c r="A292" t="s">
        <v>3743</v>
      </c>
      <c r="B292" t="s">
        <v>3744</v>
      </c>
      <c r="D292" t="s">
        <v>2716</v>
      </c>
      <c r="E292" t="s">
        <v>2717</v>
      </c>
      <c r="F292" t="s">
        <v>950</v>
      </c>
      <c r="G292" t="s">
        <v>1877</v>
      </c>
      <c r="H292">
        <v>11719.44</v>
      </c>
      <c r="I292" t="s">
        <v>2708</v>
      </c>
      <c r="J292" t="s">
        <v>3670</v>
      </c>
      <c r="M292" s="14" t="s">
        <v>3745</v>
      </c>
    </row>
    <row r="293" spans="1:13" x14ac:dyDescent="0.3">
      <c r="A293" t="s">
        <v>3746</v>
      </c>
      <c r="B293" t="s">
        <v>3747</v>
      </c>
      <c r="D293" t="s">
        <v>2716</v>
      </c>
      <c r="E293" t="s">
        <v>2717</v>
      </c>
      <c r="F293" t="s">
        <v>950</v>
      </c>
      <c r="G293" t="s">
        <v>1877</v>
      </c>
      <c r="H293">
        <v>12666.53</v>
      </c>
      <c r="I293" t="s">
        <v>2708</v>
      </c>
      <c r="J293" t="s">
        <v>3674</v>
      </c>
      <c r="M293" s="14" t="s">
        <v>3748</v>
      </c>
    </row>
    <row r="294" spans="1:13" x14ac:dyDescent="0.3">
      <c r="A294" t="s">
        <v>3749</v>
      </c>
      <c r="B294" t="s">
        <v>3750</v>
      </c>
      <c r="D294" t="s">
        <v>2716</v>
      </c>
      <c r="E294" t="s">
        <v>2717</v>
      </c>
      <c r="F294" t="s">
        <v>950</v>
      </c>
      <c r="G294" t="s">
        <v>1877</v>
      </c>
      <c r="H294">
        <v>18574.93</v>
      </c>
      <c r="I294" t="s">
        <v>2708</v>
      </c>
      <c r="J294" t="s">
        <v>3636</v>
      </c>
      <c r="M294" s="14" t="s">
        <v>3751</v>
      </c>
    </row>
    <row r="295" spans="1:13" x14ac:dyDescent="0.3">
      <c r="A295" t="s">
        <v>3752</v>
      </c>
      <c r="B295" t="s">
        <v>3753</v>
      </c>
      <c r="D295" t="s">
        <v>2716</v>
      </c>
      <c r="E295" t="s">
        <v>2717</v>
      </c>
      <c r="F295" t="s">
        <v>950</v>
      </c>
      <c r="G295" t="s">
        <v>1877</v>
      </c>
      <c r="H295">
        <v>19340.11</v>
      </c>
      <c r="I295" t="s">
        <v>2708</v>
      </c>
      <c r="J295" t="s">
        <v>3640</v>
      </c>
      <c r="M295" s="14" t="s">
        <v>3754</v>
      </c>
    </row>
    <row r="296" spans="1:13" x14ac:dyDescent="0.3">
      <c r="A296" t="s">
        <v>3755</v>
      </c>
      <c r="B296" t="s">
        <v>3756</v>
      </c>
      <c r="D296" t="s">
        <v>2716</v>
      </c>
      <c r="E296" t="s">
        <v>2717</v>
      </c>
      <c r="F296" t="s">
        <v>950</v>
      </c>
      <c r="G296" t="s">
        <v>1877</v>
      </c>
      <c r="H296">
        <v>19914</v>
      </c>
      <c r="I296" t="s">
        <v>2708</v>
      </c>
      <c r="J296" t="s">
        <v>3644</v>
      </c>
      <c r="M296" s="14" t="s">
        <v>3757</v>
      </c>
    </row>
    <row r="297" spans="1:13" x14ac:dyDescent="0.3">
      <c r="A297" t="s">
        <v>3758</v>
      </c>
      <c r="B297" t="s">
        <v>3759</v>
      </c>
      <c r="D297" t="s">
        <v>2716</v>
      </c>
      <c r="E297" t="s">
        <v>2717</v>
      </c>
      <c r="F297" t="s">
        <v>950</v>
      </c>
      <c r="G297" t="s">
        <v>1877</v>
      </c>
      <c r="H297">
        <v>20159.52</v>
      </c>
      <c r="I297" t="s">
        <v>2708</v>
      </c>
      <c r="J297" t="s">
        <v>3760</v>
      </c>
      <c r="M297" s="14" t="s">
        <v>3761</v>
      </c>
    </row>
    <row r="298" spans="1:13" x14ac:dyDescent="0.3">
      <c r="A298" t="s">
        <v>3762</v>
      </c>
      <c r="B298" t="s">
        <v>3763</v>
      </c>
      <c r="D298" t="s">
        <v>2716</v>
      </c>
      <c r="E298" t="s">
        <v>2717</v>
      </c>
      <c r="F298" t="s">
        <v>950</v>
      </c>
      <c r="G298" t="s">
        <v>1877</v>
      </c>
      <c r="H298">
        <v>6447.27</v>
      </c>
      <c r="I298" t="s">
        <v>2708</v>
      </c>
      <c r="J298" t="s">
        <v>2852</v>
      </c>
      <c r="M298" s="14" t="s">
        <v>3764</v>
      </c>
    </row>
    <row r="299" spans="1:13" x14ac:dyDescent="0.3">
      <c r="A299" t="s">
        <v>3765</v>
      </c>
      <c r="B299" t="s">
        <v>3766</v>
      </c>
      <c r="D299" t="s">
        <v>2716</v>
      </c>
      <c r="E299" t="s">
        <v>2717</v>
      </c>
      <c r="F299" t="s">
        <v>950</v>
      </c>
      <c r="G299" t="s">
        <v>1877</v>
      </c>
      <c r="H299">
        <v>6795.7</v>
      </c>
      <c r="I299" t="s">
        <v>2708</v>
      </c>
      <c r="J299" t="s">
        <v>2859</v>
      </c>
      <c r="M299" s="14" t="s">
        <v>3767</v>
      </c>
    </row>
    <row r="300" spans="1:13" x14ac:dyDescent="0.3">
      <c r="A300" t="s">
        <v>3768</v>
      </c>
      <c r="B300" t="s">
        <v>3769</v>
      </c>
      <c r="D300" t="s">
        <v>2716</v>
      </c>
      <c r="E300" t="s">
        <v>2717</v>
      </c>
      <c r="F300" t="s">
        <v>950</v>
      </c>
      <c r="G300" t="s">
        <v>1877</v>
      </c>
      <c r="H300">
        <v>7463.96</v>
      </c>
      <c r="I300" t="s">
        <v>2708</v>
      </c>
      <c r="J300" t="s">
        <v>2903</v>
      </c>
      <c r="M300" s="14" t="s">
        <v>3770</v>
      </c>
    </row>
    <row r="301" spans="1:13" x14ac:dyDescent="0.3">
      <c r="A301" t="s">
        <v>3771</v>
      </c>
      <c r="B301" t="s">
        <v>3772</v>
      </c>
      <c r="D301" t="s">
        <v>2716</v>
      </c>
      <c r="E301" t="s">
        <v>2717</v>
      </c>
      <c r="F301" t="s">
        <v>950</v>
      </c>
      <c r="G301" t="s">
        <v>1877</v>
      </c>
      <c r="H301">
        <v>8545.5499999999993</v>
      </c>
      <c r="I301" t="s">
        <v>2708</v>
      </c>
      <c r="J301" t="s">
        <v>2947</v>
      </c>
      <c r="M301" s="14" t="s">
        <v>3773</v>
      </c>
    </row>
    <row r="302" spans="1:13" x14ac:dyDescent="0.3">
      <c r="A302" t="s">
        <v>3774</v>
      </c>
      <c r="B302" t="s">
        <v>3775</v>
      </c>
      <c r="D302" t="s">
        <v>2716</v>
      </c>
      <c r="E302" t="s">
        <v>2717</v>
      </c>
      <c r="F302" t="s">
        <v>950</v>
      </c>
      <c r="G302" t="s">
        <v>1877</v>
      </c>
      <c r="H302">
        <v>8768.8700000000008</v>
      </c>
      <c r="I302" t="s">
        <v>2708</v>
      </c>
      <c r="J302" t="s">
        <v>2954</v>
      </c>
      <c r="M302" s="14" t="s">
        <v>3776</v>
      </c>
    </row>
    <row r="303" spans="1:13" x14ac:dyDescent="0.3">
      <c r="A303" t="s">
        <v>3777</v>
      </c>
      <c r="B303" t="s">
        <v>3778</v>
      </c>
      <c r="D303" t="s">
        <v>2716</v>
      </c>
      <c r="E303" t="s">
        <v>2717</v>
      </c>
      <c r="F303" t="s">
        <v>950</v>
      </c>
      <c r="G303" t="s">
        <v>1877</v>
      </c>
      <c r="H303">
        <v>10135.27</v>
      </c>
      <c r="I303" t="s">
        <v>2708</v>
      </c>
      <c r="J303" t="s">
        <v>3663</v>
      </c>
      <c r="M303" s="14" t="s">
        <v>3779</v>
      </c>
    </row>
    <row r="304" spans="1:13" x14ac:dyDescent="0.3">
      <c r="A304" t="s">
        <v>3780</v>
      </c>
      <c r="B304" t="s">
        <v>3781</v>
      </c>
      <c r="D304" t="s">
        <v>2716</v>
      </c>
      <c r="E304" t="s">
        <v>2717</v>
      </c>
      <c r="F304" t="s">
        <v>950</v>
      </c>
      <c r="G304" t="s">
        <v>1877</v>
      </c>
      <c r="H304">
        <v>10698.49</v>
      </c>
      <c r="I304" t="s">
        <v>2708</v>
      </c>
      <c r="J304" t="s">
        <v>2998</v>
      </c>
      <c r="M304" s="14" t="s">
        <v>3782</v>
      </c>
    </row>
    <row r="305" spans="1:13" x14ac:dyDescent="0.3">
      <c r="A305" t="s">
        <v>3783</v>
      </c>
      <c r="B305" t="s">
        <v>3784</v>
      </c>
      <c r="D305" t="s">
        <v>2716</v>
      </c>
      <c r="E305" t="s">
        <v>2717</v>
      </c>
      <c r="F305" t="s">
        <v>950</v>
      </c>
      <c r="G305" t="s">
        <v>1877</v>
      </c>
      <c r="H305">
        <v>11608</v>
      </c>
      <c r="I305" t="s">
        <v>2708</v>
      </c>
      <c r="J305" t="s">
        <v>3670</v>
      </c>
      <c r="M305" s="14" t="s">
        <v>3785</v>
      </c>
    </row>
    <row r="306" spans="1:13" x14ac:dyDescent="0.3">
      <c r="A306" t="s">
        <v>3786</v>
      </c>
      <c r="B306" t="s">
        <v>3787</v>
      </c>
      <c r="D306" t="s">
        <v>2716</v>
      </c>
      <c r="E306" t="s">
        <v>2717</v>
      </c>
      <c r="F306" t="s">
        <v>950</v>
      </c>
      <c r="G306" t="s">
        <v>1877</v>
      </c>
      <c r="H306">
        <v>12545.69</v>
      </c>
      <c r="I306" t="s">
        <v>2708</v>
      </c>
      <c r="J306" t="s">
        <v>3674</v>
      </c>
      <c r="M306" s="14" t="s">
        <v>3788</v>
      </c>
    </row>
    <row r="307" spans="1:13" x14ac:dyDescent="0.3">
      <c r="A307" t="s">
        <v>3789</v>
      </c>
      <c r="B307" t="s">
        <v>3790</v>
      </c>
      <c r="D307" t="s">
        <v>2716</v>
      </c>
      <c r="E307" t="s">
        <v>2717</v>
      </c>
      <c r="F307" t="s">
        <v>950</v>
      </c>
      <c r="G307" t="s">
        <v>1877</v>
      </c>
      <c r="H307">
        <v>14734.92</v>
      </c>
      <c r="I307" t="s">
        <v>2708</v>
      </c>
      <c r="J307" t="s">
        <v>3678</v>
      </c>
      <c r="M307" s="14" t="s">
        <v>3791</v>
      </c>
    </row>
    <row r="308" spans="1:13" x14ac:dyDescent="0.3">
      <c r="A308" t="s">
        <v>3792</v>
      </c>
      <c r="B308" t="s">
        <v>3793</v>
      </c>
      <c r="D308" t="s">
        <v>2716</v>
      </c>
      <c r="E308" t="s">
        <v>2717</v>
      </c>
      <c r="F308" t="s">
        <v>950</v>
      </c>
      <c r="G308" t="s">
        <v>1877</v>
      </c>
      <c r="H308">
        <v>14872.41</v>
      </c>
      <c r="I308" t="s">
        <v>2708</v>
      </c>
      <c r="J308" t="s">
        <v>3682</v>
      </c>
      <c r="M308" s="14" t="s">
        <v>3794</v>
      </c>
    </row>
    <row r="309" spans="1:13" x14ac:dyDescent="0.3">
      <c r="A309" t="s">
        <v>3795</v>
      </c>
      <c r="B309" t="s">
        <v>3796</v>
      </c>
      <c r="D309" t="s">
        <v>2716</v>
      </c>
      <c r="E309" t="s">
        <v>2717</v>
      </c>
      <c r="F309" t="s">
        <v>950</v>
      </c>
      <c r="G309" t="s">
        <v>1877</v>
      </c>
      <c r="H309">
        <v>16120.96</v>
      </c>
      <c r="I309" t="s">
        <v>2708</v>
      </c>
      <c r="J309" t="s">
        <v>3686</v>
      </c>
      <c r="M309" s="14" t="s">
        <v>3797</v>
      </c>
    </row>
    <row r="310" spans="1:13" x14ac:dyDescent="0.3">
      <c r="A310" t="s">
        <v>3798</v>
      </c>
      <c r="B310" t="s">
        <v>3799</v>
      </c>
      <c r="D310" t="s">
        <v>2716</v>
      </c>
      <c r="E310" t="s">
        <v>2717</v>
      </c>
      <c r="F310" t="s">
        <v>950</v>
      </c>
      <c r="G310" t="s">
        <v>1877</v>
      </c>
      <c r="H310">
        <v>16242.65</v>
      </c>
      <c r="I310" t="s">
        <v>2708</v>
      </c>
      <c r="J310" t="s">
        <v>3690</v>
      </c>
      <c r="M310" s="14" t="s">
        <v>3800</v>
      </c>
    </row>
    <row r="311" spans="1:13" x14ac:dyDescent="0.3">
      <c r="A311" t="s">
        <v>3801</v>
      </c>
      <c r="B311" t="s">
        <v>3802</v>
      </c>
      <c r="D311" t="s">
        <v>2716</v>
      </c>
      <c r="E311" t="s">
        <v>2717</v>
      </c>
      <c r="F311" t="s">
        <v>950</v>
      </c>
      <c r="G311" t="s">
        <v>1877</v>
      </c>
      <c r="H311">
        <v>17776.86</v>
      </c>
      <c r="I311" t="s">
        <v>2708</v>
      </c>
      <c r="J311" t="s">
        <v>3694</v>
      </c>
      <c r="M311" s="14" t="s">
        <v>3803</v>
      </c>
    </row>
    <row r="312" spans="1:13" x14ac:dyDescent="0.3">
      <c r="A312" t="s">
        <v>3804</v>
      </c>
      <c r="B312" t="s">
        <v>3805</v>
      </c>
      <c r="D312" t="s">
        <v>2716</v>
      </c>
      <c r="E312" t="s">
        <v>2717</v>
      </c>
      <c r="F312" t="s">
        <v>950</v>
      </c>
      <c r="G312" t="s">
        <v>1877</v>
      </c>
      <c r="H312">
        <v>6199.19</v>
      </c>
      <c r="I312" t="s">
        <v>2708</v>
      </c>
      <c r="J312" t="s">
        <v>2852</v>
      </c>
      <c r="M312" s="14" t="s">
        <v>3806</v>
      </c>
    </row>
    <row r="313" spans="1:13" x14ac:dyDescent="0.3">
      <c r="A313" t="s">
        <v>3807</v>
      </c>
      <c r="B313" t="s">
        <v>3808</v>
      </c>
      <c r="D313" t="s">
        <v>2716</v>
      </c>
      <c r="E313" t="s">
        <v>2717</v>
      </c>
      <c r="F313" t="s">
        <v>950</v>
      </c>
      <c r="G313" t="s">
        <v>1877</v>
      </c>
      <c r="H313">
        <v>6533.95</v>
      </c>
      <c r="I313" t="s">
        <v>2708</v>
      </c>
      <c r="J313" t="s">
        <v>2859</v>
      </c>
      <c r="M313" s="14" t="s">
        <v>3809</v>
      </c>
    </row>
    <row r="314" spans="1:13" x14ac:dyDescent="0.3">
      <c r="A314" t="s">
        <v>3810</v>
      </c>
      <c r="B314" t="s">
        <v>3811</v>
      </c>
      <c r="D314" t="s">
        <v>2716</v>
      </c>
      <c r="E314" t="s">
        <v>2717</v>
      </c>
      <c r="F314" t="s">
        <v>950</v>
      </c>
      <c r="G314" t="s">
        <v>1877</v>
      </c>
      <c r="H314">
        <v>7177.02</v>
      </c>
      <c r="I314" t="s">
        <v>2708</v>
      </c>
      <c r="J314" t="s">
        <v>2903</v>
      </c>
      <c r="M314" s="14" t="s">
        <v>3812</v>
      </c>
    </row>
    <row r="315" spans="1:13" x14ac:dyDescent="0.3">
      <c r="A315" t="s">
        <v>3813</v>
      </c>
      <c r="B315" t="s">
        <v>3814</v>
      </c>
      <c r="D315" t="s">
        <v>2716</v>
      </c>
      <c r="E315" t="s">
        <v>2717</v>
      </c>
      <c r="F315" t="s">
        <v>950</v>
      </c>
      <c r="G315" t="s">
        <v>1877</v>
      </c>
      <c r="H315">
        <v>8216.33</v>
      </c>
      <c r="I315" t="s">
        <v>2708</v>
      </c>
      <c r="J315" t="s">
        <v>2947</v>
      </c>
      <c r="M315" s="14" t="s">
        <v>3815</v>
      </c>
    </row>
    <row r="316" spans="1:13" x14ac:dyDescent="0.3">
      <c r="A316" t="s">
        <v>3816</v>
      </c>
      <c r="B316" t="s">
        <v>3817</v>
      </c>
      <c r="D316" t="s">
        <v>2716</v>
      </c>
      <c r="E316" t="s">
        <v>2717</v>
      </c>
      <c r="F316" t="s">
        <v>950</v>
      </c>
      <c r="G316" t="s">
        <v>1877</v>
      </c>
      <c r="H316">
        <v>8431.5400000000009</v>
      </c>
      <c r="I316" t="s">
        <v>2708</v>
      </c>
      <c r="J316" t="s">
        <v>2954</v>
      </c>
      <c r="M316" s="14" t="s">
        <v>3818</v>
      </c>
    </row>
    <row r="317" spans="1:13" x14ac:dyDescent="0.3">
      <c r="A317" t="s">
        <v>3819</v>
      </c>
      <c r="B317" t="s">
        <v>3820</v>
      </c>
      <c r="D317" t="s">
        <v>2716</v>
      </c>
      <c r="E317" t="s">
        <v>2717</v>
      </c>
      <c r="F317" t="s">
        <v>950</v>
      </c>
      <c r="G317" t="s">
        <v>1877</v>
      </c>
      <c r="H317">
        <v>9745.42</v>
      </c>
      <c r="I317" t="s">
        <v>2708</v>
      </c>
      <c r="J317" t="s">
        <v>3663</v>
      </c>
      <c r="M317" s="14" t="s">
        <v>3821</v>
      </c>
    </row>
    <row r="318" spans="1:13" x14ac:dyDescent="0.3">
      <c r="A318" t="s">
        <v>3822</v>
      </c>
      <c r="B318" t="s">
        <v>3823</v>
      </c>
      <c r="D318" t="s">
        <v>2716</v>
      </c>
      <c r="E318" t="s">
        <v>2717</v>
      </c>
      <c r="F318" t="s">
        <v>950</v>
      </c>
      <c r="G318" t="s">
        <v>1877</v>
      </c>
      <c r="H318">
        <v>10287.280000000001</v>
      </c>
      <c r="I318" t="s">
        <v>2708</v>
      </c>
      <c r="J318" t="s">
        <v>2998</v>
      </c>
      <c r="M318" s="14" t="s">
        <v>3824</v>
      </c>
    </row>
    <row r="319" spans="1:13" x14ac:dyDescent="0.3">
      <c r="A319" t="s">
        <v>3825</v>
      </c>
      <c r="B319" t="s">
        <v>3826</v>
      </c>
      <c r="D319" t="s">
        <v>2716</v>
      </c>
      <c r="E319" t="s">
        <v>2717</v>
      </c>
      <c r="F319" t="s">
        <v>950</v>
      </c>
      <c r="G319" t="s">
        <v>1877</v>
      </c>
      <c r="H319">
        <v>11161.35</v>
      </c>
      <c r="I319" t="s">
        <v>2708</v>
      </c>
      <c r="J319" t="s">
        <v>3670</v>
      </c>
      <c r="M319" s="14" t="s">
        <v>3827</v>
      </c>
    </row>
    <row r="320" spans="1:13" x14ac:dyDescent="0.3">
      <c r="A320" t="s">
        <v>3828</v>
      </c>
      <c r="B320" t="s">
        <v>3829</v>
      </c>
      <c r="D320" t="s">
        <v>2716</v>
      </c>
      <c r="E320" t="s">
        <v>2717</v>
      </c>
      <c r="F320" t="s">
        <v>950</v>
      </c>
      <c r="G320" t="s">
        <v>1877</v>
      </c>
      <c r="H320">
        <v>12063.18</v>
      </c>
      <c r="I320" t="s">
        <v>2708</v>
      </c>
      <c r="J320" t="s">
        <v>3674</v>
      </c>
      <c r="M320" s="14" t="s">
        <v>3830</v>
      </c>
    </row>
    <row r="321" spans="1:13" x14ac:dyDescent="0.3">
      <c r="A321" t="s">
        <v>3831</v>
      </c>
      <c r="B321" t="s">
        <v>3832</v>
      </c>
      <c r="D321" t="s">
        <v>2716</v>
      </c>
      <c r="E321" t="s">
        <v>2717</v>
      </c>
      <c r="F321" t="s">
        <v>950</v>
      </c>
      <c r="G321" t="s">
        <v>1877</v>
      </c>
      <c r="H321">
        <v>3333.16</v>
      </c>
      <c r="I321" t="s">
        <v>2708</v>
      </c>
      <c r="J321" t="s">
        <v>2811</v>
      </c>
      <c r="M321" s="14" t="s">
        <v>3833</v>
      </c>
    </row>
    <row r="322" spans="1:13" x14ac:dyDescent="0.3">
      <c r="A322" t="s">
        <v>3834</v>
      </c>
      <c r="B322" t="s">
        <v>3835</v>
      </c>
      <c r="D322" t="s">
        <v>2716</v>
      </c>
      <c r="E322" t="s">
        <v>2717</v>
      </c>
      <c r="F322" t="s">
        <v>950</v>
      </c>
      <c r="G322" t="s">
        <v>1877</v>
      </c>
      <c r="H322">
        <v>3497.56</v>
      </c>
      <c r="I322" t="s">
        <v>2708</v>
      </c>
      <c r="J322" t="s">
        <v>2859</v>
      </c>
      <c r="M322" s="14" t="s">
        <v>3836</v>
      </c>
    </row>
    <row r="323" spans="1:13" x14ac:dyDescent="0.3">
      <c r="A323" t="s">
        <v>3837</v>
      </c>
      <c r="B323" t="s">
        <v>3838</v>
      </c>
      <c r="D323" t="s">
        <v>2716</v>
      </c>
      <c r="E323" t="s">
        <v>2717</v>
      </c>
      <c r="F323" t="s">
        <v>950</v>
      </c>
      <c r="G323" t="s">
        <v>1877</v>
      </c>
      <c r="H323">
        <v>4305.01</v>
      </c>
      <c r="I323" t="s">
        <v>2708</v>
      </c>
      <c r="J323" t="s">
        <v>2903</v>
      </c>
      <c r="M323" s="14" t="s">
        <v>3839</v>
      </c>
    </row>
    <row r="324" spans="1:13" x14ac:dyDescent="0.3">
      <c r="A324" t="s">
        <v>3840</v>
      </c>
      <c r="B324" t="s">
        <v>3841</v>
      </c>
      <c r="D324" t="s">
        <v>2716</v>
      </c>
      <c r="E324" t="s">
        <v>2717</v>
      </c>
      <c r="F324" t="s">
        <v>950</v>
      </c>
      <c r="G324" t="s">
        <v>1877</v>
      </c>
      <c r="H324">
        <v>5386.6</v>
      </c>
      <c r="I324" t="s">
        <v>2708</v>
      </c>
      <c r="J324" t="s">
        <v>2947</v>
      </c>
      <c r="M324" s="14" t="s">
        <v>3842</v>
      </c>
    </row>
    <row r="325" spans="1:13" x14ac:dyDescent="0.3">
      <c r="A325" t="s">
        <v>3843</v>
      </c>
      <c r="B325" t="s">
        <v>3844</v>
      </c>
      <c r="D325" t="s">
        <v>2716</v>
      </c>
      <c r="E325" t="s">
        <v>2717</v>
      </c>
      <c r="F325" t="s">
        <v>950</v>
      </c>
      <c r="G325" t="s">
        <v>1877</v>
      </c>
      <c r="H325">
        <v>5684.22</v>
      </c>
      <c r="I325" t="s">
        <v>2708</v>
      </c>
      <c r="J325" t="s">
        <v>2954</v>
      </c>
      <c r="M325" s="14" t="s">
        <v>3845</v>
      </c>
    </row>
    <row r="326" spans="1:13" x14ac:dyDescent="0.3">
      <c r="A326" t="s">
        <v>3846</v>
      </c>
      <c r="B326" t="s">
        <v>3847</v>
      </c>
      <c r="D326" t="s">
        <v>2716</v>
      </c>
      <c r="E326" t="s">
        <v>2717</v>
      </c>
      <c r="F326" t="s">
        <v>950</v>
      </c>
      <c r="G326" t="s">
        <v>1877</v>
      </c>
      <c r="H326">
        <v>7256.87</v>
      </c>
      <c r="I326" t="s">
        <v>2708</v>
      </c>
      <c r="J326" t="s">
        <v>3663</v>
      </c>
      <c r="M326" s="14" t="s">
        <v>3848</v>
      </c>
    </row>
    <row r="327" spans="1:13" x14ac:dyDescent="0.3">
      <c r="A327" t="s">
        <v>3849</v>
      </c>
      <c r="B327" t="s">
        <v>3850</v>
      </c>
      <c r="D327" t="s">
        <v>2716</v>
      </c>
      <c r="E327" t="s">
        <v>2717</v>
      </c>
      <c r="F327" t="s">
        <v>950</v>
      </c>
      <c r="G327" t="s">
        <v>1877</v>
      </c>
      <c r="H327">
        <v>7486.59</v>
      </c>
      <c r="I327" t="s">
        <v>2708</v>
      </c>
      <c r="J327" t="s">
        <v>2998</v>
      </c>
      <c r="M327" s="14" t="s">
        <v>3851</v>
      </c>
    </row>
    <row r="328" spans="1:13" x14ac:dyDescent="0.3">
      <c r="A328" t="s">
        <v>3852</v>
      </c>
      <c r="B328" t="s">
        <v>3853</v>
      </c>
      <c r="D328" t="s">
        <v>2716</v>
      </c>
      <c r="E328" t="s">
        <v>2717</v>
      </c>
      <c r="F328" t="s">
        <v>950</v>
      </c>
      <c r="G328" t="s">
        <v>1877</v>
      </c>
      <c r="H328">
        <v>8171.07</v>
      </c>
      <c r="I328" t="s">
        <v>2708</v>
      </c>
      <c r="J328" t="s">
        <v>3670</v>
      </c>
      <c r="M328" s="14" t="s">
        <v>3854</v>
      </c>
    </row>
    <row r="329" spans="1:13" x14ac:dyDescent="0.3">
      <c r="A329" t="s">
        <v>3855</v>
      </c>
      <c r="B329" t="s">
        <v>3856</v>
      </c>
      <c r="D329" t="s">
        <v>2716</v>
      </c>
      <c r="E329" t="s">
        <v>2717</v>
      </c>
      <c r="F329" t="s">
        <v>950</v>
      </c>
      <c r="G329" t="s">
        <v>1877</v>
      </c>
      <c r="H329">
        <v>8644.19</v>
      </c>
      <c r="I329" t="s">
        <v>2708</v>
      </c>
      <c r="J329" t="s">
        <v>3674</v>
      </c>
      <c r="M329" s="14" t="s">
        <v>3857</v>
      </c>
    </row>
    <row r="330" spans="1:13" x14ac:dyDescent="0.3">
      <c r="A330" t="s">
        <v>3858</v>
      </c>
      <c r="B330" t="s">
        <v>3859</v>
      </c>
      <c r="D330" t="s">
        <v>2716</v>
      </c>
      <c r="E330" t="s">
        <v>2717</v>
      </c>
      <c r="F330" t="s">
        <v>950</v>
      </c>
      <c r="G330" t="s">
        <v>1877</v>
      </c>
      <c r="H330">
        <v>9117.2999999999993</v>
      </c>
      <c r="I330" t="s">
        <v>2708</v>
      </c>
      <c r="J330" t="s">
        <v>3678</v>
      </c>
      <c r="M330" s="14" t="s">
        <v>3860</v>
      </c>
    </row>
    <row r="331" spans="1:13" x14ac:dyDescent="0.3">
      <c r="A331" t="s">
        <v>3861</v>
      </c>
      <c r="B331" t="s">
        <v>3862</v>
      </c>
      <c r="D331" t="s">
        <v>2716</v>
      </c>
      <c r="E331" t="s">
        <v>2717</v>
      </c>
      <c r="F331" t="s">
        <v>950</v>
      </c>
      <c r="G331" t="s">
        <v>1877</v>
      </c>
      <c r="H331">
        <v>9473.42</v>
      </c>
      <c r="I331" t="s">
        <v>2708</v>
      </c>
      <c r="J331" t="s">
        <v>3682</v>
      </c>
      <c r="M331" s="14" t="s">
        <v>3863</v>
      </c>
    </row>
    <row r="332" spans="1:13" x14ac:dyDescent="0.3">
      <c r="A332" t="s">
        <v>3864</v>
      </c>
      <c r="B332" t="s">
        <v>3865</v>
      </c>
      <c r="D332" t="s">
        <v>2716</v>
      </c>
      <c r="E332" t="s">
        <v>2717</v>
      </c>
      <c r="F332" t="s">
        <v>950</v>
      </c>
      <c r="G332" t="s">
        <v>1877</v>
      </c>
      <c r="H332">
        <v>10031.08</v>
      </c>
      <c r="I332" t="s">
        <v>2708</v>
      </c>
      <c r="J332" t="s">
        <v>3686</v>
      </c>
      <c r="M332" s="14" t="s">
        <v>3866</v>
      </c>
    </row>
    <row r="333" spans="1:13" x14ac:dyDescent="0.3">
      <c r="A333" t="s">
        <v>3867</v>
      </c>
      <c r="B333" t="s">
        <v>3868</v>
      </c>
      <c r="C333" t="s">
        <v>3869</v>
      </c>
      <c r="D333" t="s">
        <v>2706</v>
      </c>
      <c r="E333" t="s">
        <v>2707</v>
      </c>
      <c r="F333" t="s">
        <v>950</v>
      </c>
      <c r="G333" t="s">
        <v>1877</v>
      </c>
      <c r="H333">
        <v>3265.5</v>
      </c>
      <c r="I333" t="s">
        <v>2708</v>
      </c>
      <c r="M333" s="14" t="s">
        <v>3870</v>
      </c>
    </row>
    <row r="334" spans="1:13" x14ac:dyDescent="0.3">
      <c r="A334" t="s">
        <v>3871</v>
      </c>
      <c r="B334" t="s">
        <v>3872</v>
      </c>
      <c r="C334" t="s">
        <v>3873</v>
      </c>
      <c r="D334" t="s">
        <v>2706</v>
      </c>
      <c r="E334" t="s">
        <v>2707</v>
      </c>
      <c r="F334" t="s">
        <v>950</v>
      </c>
      <c r="G334" t="s">
        <v>1877</v>
      </c>
      <c r="H334">
        <v>3378.9</v>
      </c>
      <c r="I334" t="s">
        <v>2708</v>
      </c>
      <c r="M334" s="14" t="s">
        <v>3874</v>
      </c>
    </row>
    <row r="335" spans="1:13" x14ac:dyDescent="0.3">
      <c r="A335" t="s">
        <v>3875</v>
      </c>
      <c r="B335" t="s">
        <v>3876</v>
      </c>
      <c r="C335" t="s">
        <v>3877</v>
      </c>
      <c r="D335" t="s">
        <v>2706</v>
      </c>
      <c r="E335" t="s">
        <v>2707</v>
      </c>
      <c r="F335" t="s">
        <v>950</v>
      </c>
      <c r="G335" t="s">
        <v>1877</v>
      </c>
      <c r="H335">
        <v>1304.0999999999999</v>
      </c>
      <c r="I335" t="s">
        <v>2708</v>
      </c>
      <c r="M335" s="14" t="s">
        <v>3878</v>
      </c>
    </row>
    <row r="336" spans="1:13" x14ac:dyDescent="0.3">
      <c r="A336" t="s">
        <v>3879</v>
      </c>
      <c r="B336" t="s">
        <v>3880</v>
      </c>
      <c r="C336" t="s">
        <v>3881</v>
      </c>
      <c r="D336" t="s">
        <v>2706</v>
      </c>
      <c r="E336" t="s">
        <v>2707</v>
      </c>
      <c r="F336" t="s">
        <v>950</v>
      </c>
      <c r="G336" t="s">
        <v>1877</v>
      </c>
      <c r="H336">
        <v>2064.3000000000002</v>
      </c>
      <c r="I336" t="s">
        <v>2708</v>
      </c>
      <c r="M336" s="14" t="s">
        <v>3882</v>
      </c>
    </row>
    <row r="337" spans="1:13" x14ac:dyDescent="0.3">
      <c r="A337" t="s">
        <v>3883</v>
      </c>
      <c r="B337" t="s">
        <v>3884</v>
      </c>
      <c r="C337" t="s">
        <v>3885</v>
      </c>
      <c r="D337" t="s">
        <v>2706</v>
      </c>
      <c r="E337" t="s">
        <v>2707</v>
      </c>
      <c r="F337" t="s">
        <v>950</v>
      </c>
      <c r="G337" t="s">
        <v>1877</v>
      </c>
      <c r="H337">
        <v>2313.15</v>
      </c>
      <c r="I337" t="s">
        <v>2708</v>
      </c>
      <c r="M337" s="14" t="s">
        <v>3886</v>
      </c>
    </row>
    <row r="338" spans="1:13" x14ac:dyDescent="0.3">
      <c r="A338" t="s">
        <v>3887</v>
      </c>
      <c r="B338" t="s">
        <v>3888</v>
      </c>
      <c r="C338" t="s">
        <v>3889</v>
      </c>
      <c r="D338" t="s">
        <v>2706</v>
      </c>
      <c r="E338" t="s">
        <v>2707</v>
      </c>
      <c r="F338" t="s">
        <v>950</v>
      </c>
      <c r="G338" t="s">
        <v>1877</v>
      </c>
      <c r="H338">
        <v>2313.15</v>
      </c>
      <c r="I338" t="s">
        <v>2708</v>
      </c>
      <c r="M338" s="14" t="s">
        <v>3890</v>
      </c>
    </row>
    <row r="339" spans="1:13" x14ac:dyDescent="0.3">
      <c r="A339" t="s">
        <v>3891</v>
      </c>
      <c r="B339" t="s">
        <v>3892</v>
      </c>
      <c r="C339" t="s">
        <v>3893</v>
      </c>
      <c r="D339" t="s">
        <v>2706</v>
      </c>
      <c r="E339" t="s">
        <v>2707</v>
      </c>
      <c r="F339" t="s">
        <v>950</v>
      </c>
      <c r="G339" t="s">
        <v>1877</v>
      </c>
      <c r="H339">
        <v>2074.8000000000002</v>
      </c>
      <c r="I339" t="s">
        <v>2708</v>
      </c>
      <c r="M339" s="14" t="s">
        <v>3894</v>
      </c>
    </row>
    <row r="340" spans="1:13" x14ac:dyDescent="0.3">
      <c r="A340" t="s">
        <v>3895</v>
      </c>
      <c r="B340" t="s">
        <v>3896</v>
      </c>
      <c r="C340" t="s">
        <v>3897</v>
      </c>
      <c r="D340" t="s">
        <v>2706</v>
      </c>
      <c r="E340" t="s">
        <v>2707</v>
      </c>
      <c r="F340" t="s">
        <v>950</v>
      </c>
      <c r="G340" t="s">
        <v>1877</v>
      </c>
      <c r="H340">
        <v>2324.6999999999998</v>
      </c>
      <c r="I340" t="s">
        <v>2708</v>
      </c>
      <c r="M340" s="14" t="s">
        <v>3898</v>
      </c>
    </row>
    <row r="341" spans="1:13" x14ac:dyDescent="0.3">
      <c r="A341" t="s">
        <v>3899</v>
      </c>
      <c r="B341" t="s">
        <v>3900</v>
      </c>
      <c r="C341" t="s">
        <v>3901</v>
      </c>
      <c r="D341" t="s">
        <v>2706</v>
      </c>
      <c r="E341" t="s">
        <v>2707</v>
      </c>
      <c r="F341" t="s">
        <v>950</v>
      </c>
      <c r="G341" t="s">
        <v>1877</v>
      </c>
      <c r="H341">
        <v>2256.4499999999998</v>
      </c>
      <c r="I341" t="s">
        <v>2708</v>
      </c>
      <c r="M341" s="14" t="s">
        <v>3902</v>
      </c>
    </row>
    <row r="342" spans="1:13" x14ac:dyDescent="0.3">
      <c r="A342" t="s">
        <v>3903</v>
      </c>
      <c r="B342" t="s">
        <v>3904</v>
      </c>
      <c r="C342" t="s">
        <v>3905</v>
      </c>
      <c r="D342" t="s">
        <v>2706</v>
      </c>
      <c r="E342" t="s">
        <v>2707</v>
      </c>
      <c r="F342" t="s">
        <v>950</v>
      </c>
      <c r="G342" t="s">
        <v>1877</v>
      </c>
      <c r="H342">
        <v>2324.6999999999998</v>
      </c>
      <c r="I342" t="s">
        <v>2708</v>
      </c>
      <c r="M342" s="14" t="s">
        <v>3906</v>
      </c>
    </row>
    <row r="343" spans="1:13" x14ac:dyDescent="0.3">
      <c r="A343" t="s">
        <v>3907</v>
      </c>
      <c r="B343" t="s">
        <v>3908</v>
      </c>
      <c r="C343" t="s">
        <v>3909</v>
      </c>
      <c r="D343" t="s">
        <v>2706</v>
      </c>
      <c r="E343" t="s">
        <v>2707</v>
      </c>
      <c r="F343" t="s">
        <v>950</v>
      </c>
      <c r="G343" t="s">
        <v>1877</v>
      </c>
      <c r="H343">
        <v>2336.25</v>
      </c>
      <c r="I343" t="s">
        <v>2708</v>
      </c>
      <c r="M343" s="14" t="s">
        <v>3910</v>
      </c>
    </row>
    <row r="344" spans="1:13" x14ac:dyDescent="0.3">
      <c r="A344" t="s">
        <v>3911</v>
      </c>
      <c r="B344" t="s">
        <v>3912</v>
      </c>
      <c r="C344" t="s">
        <v>3913</v>
      </c>
      <c r="D344" t="s">
        <v>2706</v>
      </c>
      <c r="E344" t="s">
        <v>2707</v>
      </c>
      <c r="F344" t="s">
        <v>950</v>
      </c>
      <c r="G344" t="s">
        <v>1877</v>
      </c>
      <c r="H344">
        <v>2336.25</v>
      </c>
      <c r="I344" t="s">
        <v>2708</v>
      </c>
      <c r="M344" s="14" t="s">
        <v>3914</v>
      </c>
    </row>
    <row r="345" spans="1:13" x14ac:dyDescent="0.3">
      <c r="A345" t="s">
        <v>3915</v>
      </c>
      <c r="B345" t="s">
        <v>3916</v>
      </c>
      <c r="C345" t="s">
        <v>3917</v>
      </c>
      <c r="D345" t="s">
        <v>2706</v>
      </c>
      <c r="E345" t="s">
        <v>2707</v>
      </c>
      <c r="F345" t="s">
        <v>950</v>
      </c>
      <c r="G345" t="s">
        <v>1877</v>
      </c>
      <c r="H345">
        <v>2291.1</v>
      </c>
      <c r="I345" t="s">
        <v>2708</v>
      </c>
      <c r="M345" s="14" t="s">
        <v>3918</v>
      </c>
    </row>
    <row r="346" spans="1:13" x14ac:dyDescent="0.3">
      <c r="A346" t="s">
        <v>3919</v>
      </c>
      <c r="B346" t="s">
        <v>3920</v>
      </c>
      <c r="C346" t="s">
        <v>3921</v>
      </c>
      <c r="D346" t="s">
        <v>2706</v>
      </c>
      <c r="E346" t="s">
        <v>2707</v>
      </c>
      <c r="F346" t="s">
        <v>950</v>
      </c>
      <c r="G346" t="s">
        <v>1877</v>
      </c>
      <c r="H346">
        <v>3198.3</v>
      </c>
      <c r="I346" t="s">
        <v>2708</v>
      </c>
      <c r="M346" s="14" t="s">
        <v>3922</v>
      </c>
    </row>
    <row r="347" spans="1:13" x14ac:dyDescent="0.3">
      <c r="A347" t="s">
        <v>3923</v>
      </c>
      <c r="B347" t="s">
        <v>3924</v>
      </c>
      <c r="C347" t="s">
        <v>3925</v>
      </c>
      <c r="D347" t="s">
        <v>2706</v>
      </c>
      <c r="E347" t="s">
        <v>2707</v>
      </c>
      <c r="F347" t="s">
        <v>950</v>
      </c>
      <c r="G347" t="s">
        <v>1877</v>
      </c>
      <c r="H347">
        <v>5646.9</v>
      </c>
      <c r="I347" t="s">
        <v>2708</v>
      </c>
      <c r="M347" s="14" t="s">
        <v>3926</v>
      </c>
    </row>
    <row r="348" spans="1:13" x14ac:dyDescent="0.3">
      <c r="A348" t="s">
        <v>3927</v>
      </c>
      <c r="B348" t="s">
        <v>3928</v>
      </c>
      <c r="C348" t="s">
        <v>3929</v>
      </c>
      <c r="D348" t="s">
        <v>2706</v>
      </c>
      <c r="E348" t="s">
        <v>2707</v>
      </c>
      <c r="F348" t="s">
        <v>950</v>
      </c>
      <c r="G348" t="s">
        <v>1877</v>
      </c>
      <c r="H348">
        <v>6690.6</v>
      </c>
      <c r="I348" t="s">
        <v>2708</v>
      </c>
      <c r="M348" s="14" t="s">
        <v>3930</v>
      </c>
    </row>
    <row r="349" spans="1:13" x14ac:dyDescent="0.3">
      <c r="A349" t="s">
        <v>3931</v>
      </c>
      <c r="B349" t="s">
        <v>3932</v>
      </c>
      <c r="C349" t="s">
        <v>3933</v>
      </c>
      <c r="D349" t="s">
        <v>2706</v>
      </c>
      <c r="E349" t="s">
        <v>2707</v>
      </c>
      <c r="F349" t="s">
        <v>950</v>
      </c>
      <c r="G349" t="s">
        <v>1877</v>
      </c>
      <c r="H349">
        <v>6917.4</v>
      </c>
      <c r="I349" t="s">
        <v>2708</v>
      </c>
      <c r="M349" s="14" t="s">
        <v>3934</v>
      </c>
    </row>
    <row r="350" spans="1:13" x14ac:dyDescent="0.3">
      <c r="A350" t="s">
        <v>3935</v>
      </c>
      <c r="B350" t="s">
        <v>3936</v>
      </c>
      <c r="C350" t="s">
        <v>3937</v>
      </c>
      <c r="D350" t="s">
        <v>2706</v>
      </c>
      <c r="E350" t="s">
        <v>2707</v>
      </c>
      <c r="F350" t="s">
        <v>950</v>
      </c>
      <c r="G350" t="s">
        <v>1877</v>
      </c>
      <c r="H350">
        <v>7371</v>
      </c>
      <c r="I350" t="s">
        <v>2708</v>
      </c>
      <c r="M350" s="14" t="s">
        <v>3938</v>
      </c>
    </row>
    <row r="351" spans="1:13" x14ac:dyDescent="0.3">
      <c r="A351" t="s">
        <v>3939</v>
      </c>
      <c r="B351" t="s">
        <v>3940</v>
      </c>
      <c r="C351" t="s">
        <v>3941</v>
      </c>
      <c r="D351" t="s">
        <v>2706</v>
      </c>
      <c r="E351" t="s">
        <v>2707</v>
      </c>
      <c r="F351" t="s">
        <v>950</v>
      </c>
      <c r="G351" t="s">
        <v>1877</v>
      </c>
      <c r="H351">
        <v>8391.6</v>
      </c>
      <c r="I351" t="s">
        <v>2708</v>
      </c>
      <c r="M351" s="14" t="s">
        <v>3942</v>
      </c>
    </row>
    <row r="352" spans="1:13" x14ac:dyDescent="0.3">
      <c r="A352" t="s">
        <v>3943</v>
      </c>
      <c r="B352" t="s">
        <v>3944</v>
      </c>
      <c r="C352" t="s">
        <v>3945</v>
      </c>
      <c r="D352" t="s">
        <v>2706</v>
      </c>
      <c r="E352" t="s">
        <v>2707</v>
      </c>
      <c r="F352" t="s">
        <v>950</v>
      </c>
      <c r="G352" t="s">
        <v>1877</v>
      </c>
      <c r="H352">
        <v>9752.4</v>
      </c>
      <c r="I352" t="s">
        <v>2708</v>
      </c>
      <c r="M352" s="14" t="s">
        <v>3946</v>
      </c>
    </row>
    <row r="353" spans="1:13" x14ac:dyDescent="0.3">
      <c r="A353" t="s">
        <v>3947</v>
      </c>
      <c r="B353" t="s">
        <v>3948</v>
      </c>
      <c r="C353" t="s">
        <v>3949</v>
      </c>
      <c r="D353" t="s">
        <v>2706</v>
      </c>
      <c r="E353" t="s">
        <v>2707</v>
      </c>
      <c r="F353" t="s">
        <v>950</v>
      </c>
      <c r="G353" t="s">
        <v>1877</v>
      </c>
      <c r="H353">
        <v>10432.799999999999</v>
      </c>
      <c r="I353" t="s">
        <v>2708</v>
      </c>
      <c r="M353" s="14" t="s">
        <v>3950</v>
      </c>
    </row>
    <row r="354" spans="1:13" x14ac:dyDescent="0.3">
      <c r="A354" t="s">
        <v>3951</v>
      </c>
      <c r="B354" t="s">
        <v>3952</v>
      </c>
      <c r="C354" t="s">
        <v>3953</v>
      </c>
      <c r="D354" t="s">
        <v>2706</v>
      </c>
      <c r="E354" t="s">
        <v>2707</v>
      </c>
      <c r="F354" t="s">
        <v>950</v>
      </c>
      <c r="G354" t="s">
        <v>1877</v>
      </c>
      <c r="H354">
        <v>10659.6</v>
      </c>
      <c r="I354" t="s">
        <v>2708</v>
      </c>
      <c r="M354" s="14" t="s">
        <v>3954</v>
      </c>
    </row>
    <row r="355" spans="1:13" x14ac:dyDescent="0.3">
      <c r="A355" t="s">
        <v>3955</v>
      </c>
      <c r="B355" t="s">
        <v>3956</v>
      </c>
      <c r="C355" t="s">
        <v>3957</v>
      </c>
      <c r="D355" t="s">
        <v>2706</v>
      </c>
      <c r="E355" t="s">
        <v>2707</v>
      </c>
      <c r="F355" t="s">
        <v>950</v>
      </c>
      <c r="G355" t="s">
        <v>1877</v>
      </c>
      <c r="H355">
        <v>10886.4</v>
      </c>
      <c r="I355" t="s">
        <v>2708</v>
      </c>
      <c r="M355" s="14" t="s">
        <v>3958</v>
      </c>
    </row>
    <row r="356" spans="1:13" x14ac:dyDescent="0.3">
      <c r="A356" t="s">
        <v>3959</v>
      </c>
      <c r="B356" t="s">
        <v>3960</v>
      </c>
      <c r="C356" t="s">
        <v>3961</v>
      </c>
      <c r="D356" t="s">
        <v>2706</v>
      </c>
      <c r="E356" t="s">
        <v>2707</v>
      </c>
      <c r="F356" t="s">
        <v>950</v>
      </c>
      <c r="G356" t="s">
        <v>1877</v>
      </c>
      <c r="H356">
        <v>5556.6</v>
      </c>
      <c r="I356" t="s">
        <v>2708</v>
      </c>
      <c r="M356" s="14" t="s">
        <v>3962</v>
      </c>
    </row>
    <row r="357" spans="1:13" x14ac:dyDescent="0.3">
      <c r="A357" t="s">
        <v>3963</v>
      </c>
      <c r="B357" t="s">
        <v>3964</v>
      </c>
      <c r="C357" t="s">
        <v>3965</v>
      </c>
      <c r="D357" t="s">
        <v>2706</v>
      </c>
      <c r="E357" t="s">
        <v>2707</v>
      </c>
      <c r="F357" t="s">
        <v>950</v>
      </c>
      <c r="G357" t="s">
        <v>1877</v>
      </c>
      <c r="H357">
        <v>158.55000000000001</v>
      </c>
      <c r="I357" t="s">
        <v>2708</v>
      </c>
      <c r="M357" s="14" t="s">
        <v>3966</v>
      </c>
    </row>
    <row r="358" spans="1:13" x14ac:dyDescent="0.3">
      <c r="A358" t="s">
        <v>3967</v>
      </c>
      <c r="B358" t="s">
        <v>3968</v>
      </c>
      <c r="C358" t="s">
        <v>3969</v>
      </c>
      <c r="D358" t="s">
        <v>2706</v>
      </c>
      <c r="E358" t="s">
        <v>2707</v>
      </c>
      <c r="F358" t="s">
        <v>950</v>
      </c>
      <c r="G358" t="s">
        <v>1877</v>
      </c>
      <c r="H358">
        <v>226.8</v>
      </c>
      <c r="I358" t="s">
        <v>2708</v>
      </c>
      <c r="M358" s="14" t="s">
        <v>3970</v>
      </c>
    </row>
    <row r="359" spans="1:13" x14ac:dyDescent="0.3">
      <c r="A359" t="s">
        <v>3971</v>
      </c>
      <c r="B359" t="s">
        <v>3972</v>
      </c>
      <c r="C359" t="s">
        <v>3973</v>
      </c>
      <c r="D359" t="s">
        <v>2706</v>
      </c>
      <c r="E359" t="s">
        <v>2707</v>
      </c>
      <c r="F359" t="s">
        <v>950</v>
      </c>
      <c r="G359" t="s">
        <v>1877</v>
      </c>
      <c r="H359">
        <v>170.1</v>
      </c>
      <c r="I359" t="s">
        <v>2708</v>
      </c>
      <c r="M359" s="14" t="s">
        <v>3974</v>
      </c>
    </row>
    <row r="360" spans="1:13" x14ac:dyDescent="0.3">
      <c r="A360" t="s">
        <v>3975</v>
      </c>
      <c r="B360" t="s">
        <v>3976</v>
      </c>
      <c r="C360" t="s">
        <v>3977</v>
      </c>
      <c r="D360" t="s">
        <v>2706</v>
      </c>
      <c r="E360" t="s">
        <v>2707</v>
      </c>
      <c r="F360" t="s">
        <v>950</v>
      </c>
      <c r="G360" t="s">
        <v>1877</v>
      </c>
      <c r="H360">
        <v>277.2</v>
      </c>
      <c r="I360" t="s">
        <v>2708</v>
      </c>
      <c r="M360" s="14" t="s">
        <v>3978</v>
      </c>
    </row>
    <row r="361" spans="1:13" x14ac:dyDescent="0.3">
      <c r="A361" t="s">
        <v>3979</v>
      </c>
      <c r="B361" t="s">
        <v>3980</v>
      </c>
      <c r="E361" t="s">
        <v>3981</v>
      </c>
      <c r="F361" t="s">
        <v>183</v>
      </c>
      <c r="G361" t="s">
        <v>1132</v>
      </c>
      <c r="H361">
        <v>52500</v>
      </c>
      <c r="I361" t="s">
        <v>3982</v>
      </c>
      <c r="M361" s="14" t="s">
        <v>3983</v>
      </c>
    </row>
    <row r="362" spans="1:13" x14ac:dyDescent="0.3">
      <c r="A362" t="s">
        <v>3984</v>
      </c>
      <c r="B362" t="s">
        <v>3985</v>
      </c>
      <c r="E362" t="s">
        <v>3981</v>
      </c>
      <c r="F362" t="s">
        <v>183</v>
      </c>
      <c r="G362" t="s">
        <v>1132</v>
      </c>
      <c r="H362">
        <v>105000</v>
      </c>
      <c r="I362" t="s">
        <v>3982</v>
      </c>
      <c r="M362" s="14" t="s">
        <v>3986</v>
      </c>
    </row>
    <row r="363" spans="1:13" x14ac:dyDescent="0.3">
      <c r="A363" t="s">
        <v>3987</v>
      </c>
      <c r="B363" t="s">
        <v>3988</v>
      </c>
      <c r="E363" t="s">
        <v>3981</v>
      </c>
      <c r="F363" t="s">
        <v>183</v>
      </c>
      <c r="G363" t="s">
        <v>1132</v>
      </c>
      <c r="H363">
        <v>87150</v>
      </c>
      <c r="I363" t="s">
        <v>3982</v>
      </c>
      <c r="J363" t="s">
        <v>3989</v>
      </c>
      <c r="M363" s="14" t="s">
        <v>3990</v>
      </c>
    </row>
    <row r="364" spans="1:13" x14ac:dyDescent="0.3">
      <c r="A364" t="s">
        <v>3991</v>
      </c>
      <c r="B364" t="s">
        <v>3992</v>
      </c>
      <c r="E364" t="s">
        <v>3981</v>
      </c>
      <c r="F364" t="s">
        <v>183</v>
      </c>
      <c r="G364" t="s">
        <v>1132</v>
      </c>
      <c r="H364">
        <v>88725</v>
      </c>
      <c r="I364" t="s">
        <v>3982</v>
      </c>
      <c r="J364" t="s">
        <v>3989</v>
      </c>
      <c r="M364" s="14" t="s">
        <v>3993</v>
      </c>
    </row>
    <row r="365" spans="1:13" x14ac:dyDescent="0.3">
      <c r="A365" t="s">
        <v>3994</v>
      </c>
      <c r="B365" t="s">
        <v>3995</v>
      </c>
      <c r="E365" t="s">
        <v>3981</v>
      </c>
      <c r="F365" t="s">
        <v>183</v>
      </c>
      <c r="G365" t="s">
        <v>1132</v>
      </c>
      <c r="H365">
        <v>148575</v>
      </c>
      <c r="I365" t="s">
        <v>3982</v>
      </c>
      <c r="J365" t="s">
        <v>3996</v>
      </c>
      <c r="M365" s="14" t="s">
        <v>3997</v>
      </c>
    </row>
    <row r="366" spans="1:13" x14ac:dyDescent="0.3">
      <c r="A366" t="s">
        <v>3998</v>
      </c>
      <c r="B366" t="s">
        <v>3999</v>
      </c>
      <c r="E366" t="s">
        <v>3981</v>
      </c>
      <c r="F366" t="s">
        <v>183</v>
      </c>
      <c r="G366" t="s">
        <v>1132</v>
      </c>
      <c r="H366">
        <v>223650</v>
      </c>
      <c r="I366" t="s">
        <v>3982</v>
      </c>
      <c r="J366" t="s">
        <v>4000</v>
      </c>
      <c r="M366" s="14" t="s">
        <v>4001</v>
      </c>
    </row>
    <row r="367" spans="1:13" x14ac:dyDescent="0.3">
      <c r="A367" t="s">
        <v>4002</v>
      </c>
      <c r="B367" t="s">
        <v>4003</v>
      </c>
      <c r="E367" t="s">
        <v>3981</v>
      </c>
      <c r="F367" t="s">
        <v>183</v>
      </c>
      <c r="G367" t="s">
        <v>1132</v>
      </c>
      <c r="H367">
        <v>110250</v>
      </c>
      <c r="I367" t="s">
        <v>3982</v>
      </c>
      <c r="J367" t="s">
        <v>4004</v>
      </c>
      <c r="M367" s="14" t="s">
        <v>4005</v>
      </c>
    </row>
    <row r="368" spans="1:13" x14ac:dyDescent="0.3">
      <c r="A368" t="s">
        <v>4006</v>
      </c>
      <c r="B368" t="s">
        <v>812</v>
      </c>
      <c r="E368" t="s">
        <v>3981</v>
      </c>
      <c r="F368" t="s">
        <v>183</v>
      </c>
      <c r="G368" t="s">
        <v>1132</v>
      </c>
      <c r="H368">
        <v>8400</v>
      </c>
      <c r="I368" t="s">
        <v>3982</v>
      </c>
      <c r="M368" s="14" t="s">
        <v>4007</v>
      </c>
    </row>
    <row r="369" spans="1:13" x14ac:dyDescent="0.3">
      <c r="A369" t="s">
        <v>4008</v>
      </c>
      <c r="B369" t="s">
        <v>1152</v>
      </c>
      <c r="E369" t="s">
        <v>3981</v>
      </c>
      <c r="F369" t="s">
        <v>88</v>
      </c>
      <c r="G369" t="s">
        <v>1132</v>
      </c>
      <c r="H369">
        <v>15750</v>
      </c>
      <c r="I369" t="s">
        <v>3982</v>
      </c>
      <c r="M369" s="14" t="s">
        <v>4009</v>
      </c>
    </row>
    <row r="370" spans="1:13" x14ac:dyDescent="0.3">
      <c r="A370" t="s">
        <v>4010</v>
      </c>
      <c r="B370" t="s">
        <v>4011</v>
      </c>
      <c r="E370" t="s">
        <v>3981</v>
      </c>
      <c r="F370" t="s">
        <v>88</v>
      </c>
      <c r="G370" t="s">
        <v>1132</v>
      </c>
      <c r="H370">
        <v>15225</v>
      </c>
      <c r="I370" t="s">
        <v>3982</v>
      </c>
      <c r="M370" s="14" t="s">
        <v>4012</v>
      </c>
    </row>
    <row r="371" spans="1:13" x14ac:dyDescent="0.3">
      <c r="A371" t="s">
        <v>4013</v>
      </c>
      <c r="B371" t="s">
        <v>4014</v>
      </c>
      <c r="E371" t="s">
        <v>3981</v>
      </c>
      <c r="F371" t="s">
        <v>88</v>
      </c>
      <c r="G371" t="s">
        <v>1132</v>
      </c>
      <c r="H371">
        <v>14700</v>
      </c>
      <c r="I371" t="s">
        <v>3982</v>
      </c>
      <c r="M371" s="14" t="s">
        <v>4015</v>
      </c>
    </row>
    <row r="372" spans="1:13" x14ac:dyDescent="0.3">
      <c r="A372" t="s">
        <v>4016</v>
      </c>
      <c r="B372" t="s">
        <v>4017</v>
      </c>
      <c r="E372" t="s">
        <v>3981</v>
      </c>
      <c r="F372" t="s">
        <v>88</v>
      </c>
      <c r="G372" t="s">
        <v>1132</v>
      </c>
      <c r="H372">
        <v>18060</v>
      </c>
      <c r="I372" t="s">
        <v>3982</v>
      </c>
      <c r="M372" s="14" t="s">
        <v>4018</v>
      </c>
    </row>
    <row r="373" spans="1:13" x14ac:dyDescent="0.3">
      <c r="A373" t="s">
        <v>4019</v>
      </c>
      <c r="B373" t="s">
        <v>4020</v>
      </c>
      <c r="E373" t="s">
        <v>3981</v>
      </c>
      <c r="F373" t="s">
        <v>88</v>
      </c>
      <c r="G373" t="s">
        <v>1132</v>
      </c>
      <c r="H373">
        <v>17535</v>
      </c>
      <c r="I373" t="s">
        <v>3982</v>
      </c>
      <c r="M373" s="14" t="s">
        <v>4021</v>
      </c>
    </row>
    <row r="374" spans="1:13" x14ac:dyDescent="0.3">
      <c r="A374" t="s">
        <v>4022</v>
      </c>
      <c r="B374" t="s">
        <v>4023</v>
      </c>
      <c r="E374" t="s">
        <v>3981</v>
      </c>
      <c r="F374" t="s">
        <v>183</v>
      </c>
      <c r="G374" t="s">
        <v>1132</v>
      </c>
      <c r="H374">
        <v>39900</v>
      </c>
      <c r="I374" t="s">
        <v>3982</v>
      </c>
      <c r="M374" s="14" t="s">
        <v>4024</v>
      </c>
    </row>
    <row r="375" spans="1:13" x14ac:dyDescent="0.3">
      <c r="A375" t="s">
        <v>4025</v>
      </c>
      <c r="B375" t="s">
        <v>4026</v>
      </c>
      <c r="E375" t="s">
        <v>3981</v>
      </c>
      <c r="F375" t="s">
        <v>183</v>
      </c>
      <c r="G375" t="s">
        <v>1132</v>
      </c>
      <c r="H375">
        <v>110250</v>
      </c>
      <c r="I375" t="s">
        <v>3982</v>
      </c>
      <c r="M375" s="14" t="s">
        <v>4027</v>
      </c>
    </row>
    <row r="376" spans="1:13" x14ac:dyDescent="0.3">
      <c r="A376" t="s">
        <v>4028</v>
      </c>
      <c r="B376" t="s">
        <v>4029</v>
      </c>
      <c r="E376" t="s">
        <v>3981</v>
      </c>
      <c r="F376" t="s">
        <v>950</v>
      </c>
      <c r="G376" t="s">
        <v>1132</v>
      </c>
      <c r="H376">
        <v>8000</v>
      </c>
      <c r="I376" t="s">
        <v>3982</v>
      </c>
      <c r="M376" s="14" t="s">
        <v>4030</v>
      </c>
    </row>
    <row r="377" spans="1:13" x14ac:dyDescent="0.3">
      <c r="A377" t="s">
        <v>4031</v>
      </c>
      <c r="B377" t="s">
        <v>4032</v>
      </c>
      <c r="E377" t="s">
        <v>3981</v>
      </c>
      <c r="F377" t="s">
        <v>183</v>
      </c>
      <c r="G377" t="s">
        <v>1132</v>
      </c>
      <c r="H377">
        <v>78120</v>
      </c>
      <c r="I377" t="s">
        <v>3982</v>
      </c>
      <c r="M377" s="14" t="s">
        <v>4033</v>
      </c>
    </row>
    <row r="378" spans="1:13" x14ac:dyDescent="0.3">
      <c r="A378" t="s">
        <v>4034</v>
      </c>
      <c r="B378" t="s">
        <v>4035</v>
      </c>
      <c r="E378" t="s">
        <v>3981</v>
      </c>
      <c r="F378" t="s">
        <v>183</v>
      </c>
      <c r="G378" t="s">
        <v>1132</v>
      </c>
      <c r="H378">
        <v>102585</v>
      </c>
      <c r="I378" t="s">
        <v>3982</v>
      </c>
      <c r="M378" s="14" t="s">
        <v>4036</v>
      </c>
    </row>
    <row r="379" spans="1:13" x14ac:dyDescent="0.3">
      <c r="A379" t="s">
        <v>4037</v>
      </c>
      <c r="B379" t="s">
        <v>4038</v>
      </c>
      <c r="E379" t="s">
        <v>3981</v>
      </c>
      <c r="F379" t="s">
        <v>183</v>
      </c>
      <c r="G379" t="s">
        <v>1132</v>
      </c>
      <c r="H379">
        <v>78750</v>
      </c>
      <c r="I379" t="s">
        <v>3982</v>
      </c>
      <c r="M379" s="14" t="s">
        <v>4039</v>
      </c>
    </row>
    <row r="380" spans="1:13" x14ac:dyDescent="0.3">
      <c r="A380" t="s">
        <v>4040</v>
      </c>
      <c r="B380" t="s">
        <v>4041</v>
      </c>
      <c r="E380" t="s">
        <v>3981</v>
      </c>
      <c r="F380" t="s">
        <v>183</v>
      </c>
      <c r="G380" t="s">
        <v>1132</v>
      </c>
      <c r="H380">
        <v>99750</v>
      </c>
      <c r="I380" t="s">
        <v>3982</v>
      </c>
      <c r="M380" s="14" t="s">
        <v>4042</v>
      </c>
    </row>
    <row r="381" spans="1:13" x14ac:dyDescent="0.3">
      <c r="A381" t="s">
        <v>4043</v>
      </c>
      <c r="B381" t="s">
        <v>4044</v>
      </c>
      <c r="E381" t="s">
        <v>3981</v>
      </c>
      <c r="F381" t="s">
        <v>183</v>
      </c>
      <c r="G381" t="s">
        <v>1132</v>
      </c>
      <c r="H381">
        <v>112350</v>
      </c>
      <c r="I381" t="s">
        <v>3982</v>
      </c>
      <c r="M381" s="14" t="s">
        <v>4045</v>
      </c>
    </row>
    <row r="382" spans="1:13" x14ac:dyDescent="0.3">
      <c r="A382" t="s">
        <v>4046</v>
      </c>
      <c r="B382" t="s">
        <v>4047</v>
      </c>
      <c r="E382" t="s">
        <v>3981</v>
      </c>
      <c r="F382" t="s">
        <v>183</v>
      </c>
      <c r="G382" t="s">
        <v>1132</v>
      </c>
      <c r="H382">
        <v>93450</v>
      </c>
      <c r="I382" t="s">
        <v>3982</v>
      </c>
      <c r="M382" s="14" t="s">
        <v>4048</v>
      </c>
    </row>
    <row r="383" spans="1:13" x14ac:dyDescent="0.3">
      <c r="A383" t="s">
        <v>4049</v>
      </c>
      <c r="B383" t="s">
        <v>4050</v>
      </c>
      <c r="D383" t="s">
        <v>4051</v>
      </c>
      <c r="E383" t="s">
        <v>4052</v>
      </c>
      <c r="F383" t="s">
        <v>950</v>
      </c>
      <c r="G383" t="s">
        <v>804</v>
      </c>
      <c r="H383">
        <v>460</v>
      </c>
      <c r="I383" t="s">
        <v>3982</v>
      </c>
      <c r="M383" s="14" t="s">
        <v>4053</v>
      </c>
    </row>
    <row r="384" spans="1:13" x14ac:dyDescent="0.3">
      <c r="A384" t="s">
        <v>4054</v>
      </c>
      <c r="B384" t="s">
        <v>4055</v>
      </c>
      <c r="D384" t="s">
        <v>4051</v>
      </c>
      <c r="E384" t="s">
        <v>4052</v>
      </c>
      <c r="F384" t="s">
        <v>950</v>
      </c>
      <c r="G384" t="s">
        <v>804</v>
      </c>
      <c r="H384">
        <v>690</v>
      </c>
      <c r="I384" t="s">
        <v>3982</v>
      </c>
      <c r="M384" s="14" t="s">
        <v>4056</v>
      </c>
    </row>
    <row r="385" spans="1:13" x14ac:dyDescent="0.3">
      <c r="A385" t="s">
        <v>4057</v>
      </c>
      <c r="B385" t="s">
        <v>4058</v>
      </c>
      <c r="D385" t="s">
        <v>4051</v>
      </c>
      <c r="E385" t="s">
        <v>4052</v>
      </c>
      <c r="F385" t="s">
        <v>950</v>
      </c>
      <c r="G385" t="s">
        <v>804</v>
      </c>
      <c r="H385">
        <v>270</v>
      </c>
      <c r="I385" t="s">
        <v>3982</v>
      </c>
      <c r="M385" s="14" t="s">
        <v>4059</v>
      </c>
    </row>
    <row r="386" spans="1:13" x14ac:dyDescent="0.3">
      <c r="A386" t="s">
        <v>4060</v>
      </c>
      <c r="B386" t="s">
        <v>4061</v>
      </c>
      <c r="D386" t="s">
        <v>4051</v>
      </c>
      <c r="E386" t="s">
        <v>4052</v>
      </c>
      <c r="F386" t="s">
        <v>950</v>
      </c>
      <c r="G386" t="s">
        <v>804</v>
      </c>
      <c r="H386">
        <v>390</v>
      </c>
      <c r="I386" t="s">
        <v>3982</v>
      </c>
      <c r="M386" s="14" t="s">
        <v>4062</v>
      </c>
    </row>
    <row r="387" spans="1:13" x14ac:dyDescent="0.3">
      <c r="A387" t="s">
        <v>4063</v>
      </c>
      <c r="B387" t="s">
        <v>4064</v>
      </c>
      <c r="D387" t="s">
        <v>4051</v>
      </c>
      <c r="E387" t="s">
        <v>4052</v>
      </c>
      <c r="F387" t="s">
        <v>950</v>
      </c>
      <c r="G387" t="s">
        <v>804</v>
      </c>
      <c r="H387">
        <v>410</v>
      </c>
      <c r="I387" t="s">
        <v>3982</v>
      </c>
      <c r="M387" s="14" t="s">
        <v>4065</v>
      </c>
    </row>
    <row r="388" spans="1:13" x14ac:dyDescent="0.3">
      <c r="A388" t="s">
        <v>4066</v>
      </c>
      <c r="B388" t="s">
        <v>4067</v>
      </c>
      <c r="D388" t="s">
        <v>4051</v>
      </c>
      <c r="E388" t="s">
        <v>4052</v>
      </c>
      <c r="F388" t="s">
        <v>950</v>
      </c>
      <c r="G388" t="s">
        <v>804</v>
      </c>
      <c r="H388">
        <v>121</v>
      </c>
      <c r="I388" t="s">
        <v>3982</v>
      </c>
      <c r="M388" s="14" t="s">
        <v>4068</v>
      </c>
    </row>
    <row r="389" spans="1:13" x14ac:dyDescent="0.3">
      <c r="A389" t="s">
        <v>4069</v>
      </c>
      <c r="B389" t="s">
        <v>4070</v>
      </c>
      <c r="D389" t="s">
        <v>4051</v>
      </c>
      <c r="E389" t="s">
        <v>4052</v>
      </c>
      <c r="F389" t="s">
        <v>950</v>
      </c>
      <c r="G389" t="s">
        <v>804</v>
      </c>
      <c r="H389">
        <v>510</v>
      </c>
      <c r="I389" t="s">
        <v>3982</v>
      </c>
      <c r="M389" s="14" t="s">
        <v>4071</v>
      </c>
    </row>
    <row r="390" spans="1:13" x14ac:dyDescent="0.3">
      <c r="A390" t="s">
        <v>4072</v>
      </c>
      <c r="B390" t="s">
        <v>4073</v>
      </c>
      <c r="D390" t="s">
        <v>4051</v>
      </c>
      <c r="E390" t="s">
        <v>4052</v>
      </c>
      <c r="F390" t="s">
        <v>950</v>
      </c>
      <c r="G390" t="s">
        <v>804</v>
      </c>
      <c r="H390">
        <v>75</v>
      </c>
      <c r="I390" t="s">
        <v>3982</v>
      </c>
      <c r="M390" s="14" t="s">
        <v>4074</v>
      </c>
    </row>
    <row r="391" spans="1:13" x14ac:dyDescent="0.3">
      <c r="A391" t="s">
        <v>4075</v>
      </c>
      <c r="B391" t="s">
        <v>4076</v>
      </c>
      <c r="D391" t="s">
        <v>4077</v>
      </c>
      <c r="E391" t="s">
        <v>4077</v>
      </c>
      <c r="F391" t="s">
        <v>183</v>
      </c>
      <c r="G391" t="s">
        <v>804</v>
      </c>
      <c r="H391">
        <v>5775</v>
      </c>
      <c r="I391" t="s">
        <v>3982</v>
      </c>
      <c r="M391" s="14" t="s">
        <v>4078</v>
      </c>
    </row>
    <row r="392" spans="1:13" x14ac:dyDescent="0.3">
      <c r="A392" t="s">
        <v>4079</v>
      </c>
      <c r="B392" t="s">
        <v>4080</v>
      </c>
      <c r="D392" t="s">
        <v>4051</v>
      </c>
      <c r="E392" t="s">
        <v>4052</v>
      </c>
      <c r="F392" t="s">
        <v>950</v>
      </c>
      <c r="G392" t="s">
        <v>804</v>
      </c>
      <c r="H392">
        <v>245</v>
      </c>
      <c r="I392" t="s">
        <v>3982</v>
      </c>
      <c r="M392" s="14" t="s">
        <v>4081</v>
      </c>
    </row>
    <row r="393" spans="1:13" x14ac:dyDescent="0.3">
      <c r="A393" t="s">
        <v>4082</v>
      </c>
      <c r="B393" t="s">
        <v>4083</v>
      </c>
      <c r="D393" t="s">
        <v>4051</v>
      </c>
      <c r="E393" t="s">
        <v>4052</v>
      </c>
      <c r="F393" t="s">
        <v>950</v>
      </c>
      <c r="G393" t="s">
        <v>804</v>
      </c>
      <c r="H393">
        <v>276</v>
      </c>
      <c r="I393" t="s">
        <v>3982</v>
      </c>
      <c r="M393" s="14" t="s">
        <v>4084</v>
      </c>
    </row>
    <row r="394" spans="1:13" x14ac:dyDescent="0.3">
      <c r="A394" t="s">
        <v>4085</v>
      </c>
      <c r="B394" t="s">
        <v>4086</v>
      </c>
      <c r="D394" t="s">
        <v>4077</v>
      </c>
      <c r="E394" t="s">
        <v>4077</v>
      </c>
      <c r="F394" t="s">
        <v>183</v>
      </c>
      <c r="G394" t="s">
        <v>794</v>
      </c>
      <c r="H394">
        <v>89201.7</v>
      </c>
      <c r="I394" t="s">
        <v>3982</v>
      </c>
      <c r="M394" s="14" t="s">
        <v>4087</v>
      </c>
    </row>
    <row r="395" spans="1:13" x14ac:dyDescent="0.3">
      <c r="A395" t="s">
        <v>4088</v>
      </c>
      <c r="B395" t="s">
        <v>4089</v>
      </c>
      <c r="D395" t="s">
        <v>4077</v>
      </c>
      <c r="E395" t="s">
        <v>4077</v>
      </c>
      <c r="F395" t="s">
        <v>183</v>
      </c>
      <c r="G395" t="s">
        <v>794</v>
      </c>
      <c r="H395">
        <v>76440</v>
      </c>
      <c r="I395" t="s">
        <v>3982</v>
      </c>
      <c r="M395" s="14" t="s">
        <v>4090</v>
      </c>
    </row>
    <row r="396" spans="1:13" x14ac:dyDescent="0.3">
      <c r="A396" t="s">
        <v>4091</v>
      </c>
      <c r="B396" t="s">
        <v>4092</v>
      </c>
      <c r="D396" t="s">
        <v>4077</v>
      </c>
      <c r="E396" t="s">
        <v>4077</v>
      </c>
      <c r="F396" t="s">
        <v>183</v>
      </c>
      <c r="G396" t="s">
        <v>794</v>
      </c>
      <c r="H396">
        <v>51219</v>
      </c>
      <c r="I396" t="s">
        <v>3982</v>
      </c>
      <c r="M396" s="14" t="s">
        <v>4093</v>
      </c>
    </row>
    <row r="397" spans="1:13" x14ac:dyDescent="0.3">
      <c r="A397" t="s">
        <v>4094</v>
      </c>
      <c r="B397" t="s">
        <v>4095</v>
      </c>
      <c r="D397" t="s">
        <v>4077</v>
      </c>
      <c r="E397" t="s">
        <v>4077</v>
      </c>
      <c r="F397" t="s">
        <v>183</v>
      </c>
      <c r="G397" t="s">
        <v>794</v>
      </c>
      <c r="H397">
        <v>43806</v>
      </c>
      <c r="I397" t="s">
        <v>3982</v>
      </c>
      <c r="M397" s="14" t="s">
        <v>4096</v>
      </c>
    </row>
    <row r="398" spans="1:13" x14ac:dyDescent="0.3">
      <c r="A398" t="s">
        <v>4097</v>
      </c>
      <c r="B398" t="s">
        <v>4098</v>
      </c>
      <c r="D398" t="s">
        <v>4077</v>
      </c>
      <c r="E398" t="s">
        <v>4077</v>
      </c>
      <c r="F398" t="s">
        <v>183</v>
      </c>
      <c r="G398" t="s">
        <v>794</v>
      </c>
      <c r="H398">
        <v>73572.45</v>
      </c>
      <c r="I398" t="s">
        <v>3982</v>
      </c>
      <c r="M398" s="14" t="s">
        <v>4099</v>
      </c>
    </row>
    <row r="399" spans="1:13" x14ac:dyDescent="0.3">
      <c r="A399" t="s">
        <v>4100</v>
      </c>
      <c r="B399" t="s">
        <v>4101</v>
      </c>
      <c r="D399" t="s">
        <v>4077</v>
      </c>
      <c r="E399" t="s">
        <v>4077</v>
      </c>
      <c r="F399" t="s">
        <v>183</v>
      </c>
      <c r="G399" t="s">
        <v>794</v>
      </c>
      <c r="H399">
        <v>63349.65</v>
      </c>
      <c r="I399" t="s">
        <v>3982</v>
      </c>
      <c r="M399" s="14" t="s">
        <v>4102</v>
      </c>
    </row>
    <row r="400" spans="1:13" x14ac:dyDescent="0.3">
      <c r="A400" t="s">
        <v>4103</v>
      </c>
      <c r="B400" t="s">
        <v>4104</v>
      </c>
      <c r="D400" t="s">
        <v>4051</v>
      </c>
      <c r="E400" t="s">
        <v>4052</v>
      </c>
      <c r="F400" t="s">
        <v>2604</v>
      </c>
      <c r="G400" t="s">
        <v>842</v>
      </c>
      <c r="H400">
        <v>11655</v>
      </c>
      <c r="I400" t="s">
        <v>3982</v>
      </c>
      <c r="M400" s="14" t="s">
        <v>4105</v>
      </c>
    </row>
    <row r="401" spans="1:13" x14ac:dyDescent="0.3">
      <c r="A401" t="s">
        <v>4106</v>
      </c>
      <c r="B401" t="s">
        <v>4107</v>
      </c>
      <c r="D401" t="s">
        <v>4051</v>
      </c>
      <c r="E401" t="s">
        <v>4052</v>
      </c>
      <c r="F401" t="s">
        <v>2604</v>
      </c>
      <c r="G401" t="s">
        <v>842</v>
      </c>
      <c r="H401">
        <v>11655</v>
      </c>
      <c r="I401" t="s">
        <v>3982</v>
      </c>
      <c r="M401" s="14" t="s">
        <v>4108</v>
      </c>
    </row>
    <row r="402" spans="1:13" x14ac:dyDescent="0.3">
      <c r="A402" t="s">
        <v>4109</v>
      </c>
      <c r="B402" t="s">
        <v>4110</v>
      </c>
      <c r="D402" t="s">
        <v>4051</v>
      </c>
      <c r="E402" t="s">
        <v>4052</v>
      </c>
      <c r="F402" t="s">
        <v>2604</v>
      </c>
      <c r="G402" t="s">
        <v>842</v>
      </c>
      <c r="H402">
        <v>11655</v>
      </c>
      <c r="I402" t="s">
        <v>3982</v>
      </c>
      <c r="M402" s="14" t="s">
        <v>4111</v>
      </c>
    </row>
    <row r="403" spans="1:13" x14ac:dyDescent="0.3">
      <c r="A403" t="s">
        <v>4112</v>
      </c>
      <c r="B403" t="s">
        <v>4113</v>
      </c>
      <c r="D403" t="s">
        <v>4051</v>
      </c>
      <c r="E403" t="s">
        <v>4052</v>
      </c>
      <c r="F403" t="s">
        <v>2604</v>
      </c>
      <c r="G403" t="s">
        <v>842</v>
      </c>
      <c r="H403">
        <v>11655</v>
      </c>
      <c r="I403" t="s">
        <v>3982</v>
      </c>
      <c r="M403" s="14" t="s">
        <v>4114</v>
      </c>
    </row>
    <row r="404" spans="1:13" x14ac:dyDescent="0.3">
      <c r="A404" t="s">
        <v>4115</v>
      </c>
      <c r="B404" t="s">
        <v>4116</v>
      </c>
      <c r="E404" t="s">
        <v>4117</v>
      </c>
      <c r="F404" t="s">
        <v>950</v>
      </c>
      <c r="G404" t="s">
        <v>842</v>
      </c>
      <c r="H404">
        <v>93350</v>
      </c>
      <c r="I404" t="s">
        <v>3982</v>
      </c>
      <c r="M404" s="14" t="s">
        <v>4118</v>
      </c>
    </row>
    <row r="405" spans="1:13" x14ac:dyDescent="0.3">
      <c r="A405" t="s">
        <v>4119</v>
      </c>
      <c r="B405" t="s">
        <v>4120</v>
      </c>
      <c r="E405" t="s">
        <v>4117</v>
      </c>
      <c r="F405" t="s">
        <v>950</v>
      </c>
      <c r="G405" t="s">
        <v>842</v>
      </c>
      <c r="H405">
        <v>88300</v>
      </c>
      <c r="I405" t="s">
        <v>3982</v>
      </c>
      <c r="M405" s="14" t="s">
        <v>4121</v>
      </c>
    </row>
    <row r="406" spans="1:13" x14ac:dyDescent="0.3">
      <c r="A406" t="s">
        <v>4122</v>
      </c>
      <c r="B406" t="s">
        <v>4123</v>
      </c>
      <c r="E406" t="s">
        <v>4117</v>
      </c>
      <c r="F406" t="s">
        <v>950</v>
      </c>
      <c r="G406" t="s">
        <v>820</v>
      </c>
      <c r="H406">
        <v>95950</v>
      </c>
      <c r="I406" t="s">
        <v>3982</v>
      </c>
      <c r="M406" s="14" t="s">
        <v>4124</v>
      </c>
    </row>
    <row r="407" spans="1:13" x14ac:dyDescent="0.3">
      <c r="A407" t="s">
        <v>4125</v>
      </c>
      <c r="B407" t="s">
        <v>4126</v>
      </c>
      <c r="E407" t="s">
        <v>4117</v>
      </c>
      <c r="F407" t="s">
        <v>950</v>
      </c>
      <c r="G407" t="s">
        <v>820</v>
      </c>
      <c r="H407">
        <v>161350</v>
      </c>
      <c r="I407" t="s">
        <v>3982</v>
      </c>
      <c r="M407" s="14" t="s">
        <v>4127</v>
      </c>
    </row>
    <row r="408" spans="1:13" x14ac:dyDescent="0.3">
      <c r="A408" t="s">
        <v>4128</v>
      </c>
      <c r="B408" t="s">
        <v>4129</v>
      </c>
      <c r="E408" t="s">
        <v>4117</v>
      </c>
      <c r="F408" t="s">
        <v>183</v>
      </c>
      <c r="G408" t="s">
        <v>820</v>
      </c>
      <c r="H408">
        <v>106310.39999999999</v>
      </c>
      <c r="I408" t="s">
        <v>3982</v>
      </c>
      <c r="M408" s="14" t="s">
        <v>4130</v>
      </c>
    </row>
    <row r="409" spans="1:13" x14ac:dyDescent="0.3">
      <c r="A409" t="s">
        <v>4131</v>
      </c>
      <c r="B409" t="s">
        <v>4132</v>
      </c>
      <c r="E409" t="s">
        <v>4117</v>
      </c>
      <c r="F409" t="s">
        <v>183</v>
      </c>
      <c r="G409" t="s">
        <v>820</v>
      </c>
      <c r="H409">
        <v>46510.8</v>
      </c>
      <c r="I409" t="s">
        <v>3982</v>
      </c>
      <c r="M409" s="14" t="s">
        <v>4133</v>
      </c>
    </row>
    <row r="410" spans="1:13" x14ac:dyDescent="0.3">
      <c r="A410" t="s">
        <v>4134</v>
      </c>
      <c r="B410" t="s">
        <v>4135</v>
      </c>
      <c r="E410" t="s">
        <v>4117</v>
      </c>
      <c r="F410" t="s">
        <v>183</v>
      </c>
      <c r="G410" t="s">
        <v>820</v>
      </c>
      <c r="H410">
        <v>72350.25</v>
      </c>
      <c r="I410" t="s">
        <v>3982</v>
      </c>
      <c r="M410" s="14" t="s">
        <v>4136</v>
      </c>
    </row>
    <row r="411" spans="1:13" x14ac:dyDescent="0.3">
      <c r="A411" t="s">
        <v>4137</v>
      </c>
      <c r="B411" t="s">
        <v>4138</v>
      </c>
      <c r="C411" t="s">
        <v>4139</v>
      </c>
      <c r="D411" t="s">
        <v>4140</v>
      </c>
      <c r="E411" t="s">
        <v>4140</v>
      </c>
      <c r="F411" t="s">
        <v>950</v>
      </c>
      <c r="G411" t="s">
        <v>1715</v>
      </c>
      <c r="H411">
        <v>49888.13</v>
      </c>
      <c r="I411" t="s">
        <v>3982</v>
      </c>
      <c r="M411" s="14" t="s">
        <v>4141</v>
      </c>
    </row>
    <row r="412" spans="1:13" x14ac:dyDescent="0.3">
      <c r="A412" t="s">
        <v>4142</v>
      </c>
      <c r="B412" t="s">
        <v>4143</v>
      </c>
      <c r="C412" t="s">
        <v>4144</v>
      </c>
      <c r="D412" t="s">
        <v>4140</v>
      </c>
      <c r="E412" t="s">
        <v>4140</v>
      </c>
      <c r="F412" t="s">
        <v>950</v>
      </c>
      <c r="G412" t="s">
        <v>1715</v>
      </c>
      <c r="H412">
        <v>12056.63</v>
      </c>
      <c r="I412" t="s">
        <v>3982</v>
      </c>
      <c r="M412" s="14" t="s">
        <v>4145</v>
      </c>
    </row>
    <row r="413" spans="1:13" x14ac:dyDescent="0.3">
      <c r="A413" t="s">
        <v>4146</v>
      </c>
      <c r="B413" t="s">
        <v>4147</v>
      </c>
      <c r="C413" t="s">
        <v>4148</v>
      </c>
      <c r="D413" t="s">
        <v>4140</v>
      </c>
      <c r="E413" t="s">
        <v>4140</v>
      </c>
      <c r="F413" t="s">
        <v>950</v>
      </c>
      <c r="G413" t="s">
        <v>1715</v>
      </c>
      <c r="H413">
        <v>25452</v>
      </c>
      <c r="I413" t="s">
        <v>3982</v>
      </c>
      <c r="M413" s="14" t="s">
        <v>4149</v>
      </c>
    </row>
    <row r="414" spans="1:13" x14ac:dyDescent="0.3">
      <c r="A414" t="s">
        <v>4150</v>
      </c>
      <c r="B414" t="s">
        <v>4151</v>
      </c>
      <c r="C414" t="s">
        <v>4152</v>
      </c>
      <c r="D414" t="s">
        <v>4140</v>
      </c>
      <c r="E414" t="s">
        <v>4140</v>
      </c>
      <c r="F414" t="s">
        <v>950</v>
      </c>
      <c r="G414" t="s">
        <v>1715</v>
      </c>
      <c r="H414">
        <v>44730</v>
      </c>
      <c r="I414" t="s">
        <v>3982</v>
      </c>
      <c r="M414" s="14" t="s">
        <v>4153</v>
      </c>
    </row>
    <row r="415" spans="1:13" x14ac:dyDescent="0.3">
      <c r="A415" t="s">
        <v>4154</v>
      </c>
      <c r="B415" t="s">
        <v>4155</v>
      </c>
      <c r="C415" t="s">
        <v>4156</v>
      </c>
      <c r="D415" t="s">
        <v>4157</v>
      </c>
      <c r="E415" t="s">
        <v>4158</v>
      </c>
      <c r="F415" t="s">
        <v>950</v>
      </c>
      <c r="G415" t="s">
        <v>2473</v>
      </c>
      <c r="H415">
        <v>9303.8700000000008</v>
      </c>
      <c r="I415" t="s">
        <v>3982</v>
      </c>
      <c r="M415" s="14" t="s">
        <v>4159</v>
      </c>
    </row>
    <row r="416" spans="1:13" x14ac:dyDescent="0.3">
      <c r="A416" t="s">
        <v>4160</v>
      </c>
      <c r="B416" t="s">
        <v>4161</v>
      </c>
      <c r="D416" t="s">
        <v>4162</v>
      </c>
      <c r="E416" t="s">
        <v>4162</v>
      </c>
      <c r="F416" t="s">
        <v>950</v>
      </c>
      <c r="G416" t="s">
        <v>1699</v>
      </c>
      <c r="H416">
        <v>957561.21</v>
      </c>
      <c r="I416" t="s">
        <v>3982</v>
      </c>
      <c r="M416" s="14" t="s">
        <v>4163</v>
      </c>
    </row>
    <row r="417" spans="1:13" x14ac:dyDescent="0.3">
      <c r="A417" t="s">
        <v>4164</v>
      </c>
      <c r="B417" t="s">
        <v>4165</v>
      </c>
      <c r="D417" t="s">
        <v>4166</v>
      </c>
      <c r="E417" t="s">
        <v>4166</v>
      </c>
      <c r="F417" t="s">
        <v>950</v>
      </c>
      <c r="G417" t="s">
        <v>1699</v>
      </c>
      <c r="H417">
        <v>760284</v>
      </c>
      <c r="I417" t="s">
        <v>3982</v>
      </c>
      <c r="M417" s="14" t="s">
        <v>4167</v>
      </c>
    </row>
    <row r="418" spans="1:13" x14ac:dyDescent="0.3">
      <c r="A418" t="s">
        <v>4168</v>
      </c>
      <c r="B418" t="s">
        <v>4169</v>
      </c>
      <c r="D418" t="s">
        <v>4166</v>
      </c>
      <c r="E418" t="s">
        <v>4166</v>
      </c>
      <c r="F418" t="s">
        <v>950</v>
      </c>
      <c r="G418" t="s">
        <v>1699</v>
      </c>
      <c r="H418">
        <v>704791.5</v>
      </c>
      <c r="I418" t="s">
        <v>3982</v>
      </c>
      <c r="M418" s="14" t="s">
        <v>4170</v>
      </c>
    </row>
    <row r="419" spans="1:13" x14ac:dyDescent="0.3">
      <c r="A419" t="s">
        <v>4171</v>
      </c>
      <c r="B419" t="s">
        <v>4172</v>
      </c>
      <c r="D419" t="s">
        <v>4166</v>
      </c>
      <c r="E419" t="s">
        <v>4166</v>
      </c>
      <c r="F419" t="s">
        <v>950</v>
      </c>
      <c r="G419" t="s">
        <v>1699</v>
      </c>
      <c r="H419">
        <v>781819.5</v>
      </c>
      <c r="I419" t="s">
        <v>3982</v>
      </c>
      <c r="M419" s="14" t="s">
        <v>4173</v>
      </c>
    </row>
    <row r="420" spans="1:13" x14ac:dyDescent="0.3">
      <c r="A420" t="s">
        <v>4174</v>
      </c>
      <c r="B420" t="s">
        <v>4175</v>
      </c>
      <c r="D420" t="s">
        <v>4166</v>
      </c>
      <c r="E420" t="s">
        <v>4166</v>
      </c>
      <c r="F420" t="s">
        <v>950</v>
      </c>
      <c r="G420" t="s">
        <v>1699</v>
      </c>
      <c r="H420">
        <v>906916.5</v>
      </c>
      <c r="I420" t="s">
        <v>3982</v>
      </c>
      <c r="M420" s="14" t="s">
        <v>4176</v>
      </c>
    </row>
    <row r="421" spans="1:13" x14ac:dyDescent="0.3">
      <c r="A421" t="s">
        <v>4177</v>
      </c>
      <c r="B421" t="s">
        <v>4178</v>
      </c>
      <c r="D421" t="s">
        <v>4166</v>
      </c>
      <c r="E421" t="s">
        <v>4166</v>
      </c>
      <c r="F421" t="s">
        <v>950</v>
      </c>
      <c r="G421" t="s">
        <v>1699</v>
      </c>
      <c r="H421">
        <v>1165342.5</v>
      </c>
      <c r="I421" t="s">
        <v>3982</v>
      </c>
      <c r="M421" s="14" t="s">
        <v>4179</v>
      </c>
    </row>
    <row r="422" spans="1:13" x14ac:dyDescent="0.3">
      <c r="A422" t="s">
        <v>4180</v>
      </c>
      <c r="B422" t="s">
        <v>4181</v>
      </c>
      <c r="D422" t="s">
        <v>4166</v>
      </c>
      <c r="E422" t="s">
        <v>4166</v>
      </c>
      <c r="F422" t="s">
        <v>950</v>
      </c>
      <c r="G422" t="s">
        <v>1699</v>
      </c>
      <c r="H422">
        <v>1206502.5</v>
      </c>
      <c r="I422" t="s">
        <v>3982</v>
      </c>
      <c r="M422" s="14" t="s">
        <v>4182</v>
      </c>
    </row>
    <row r="423" spans="1:13" x14ac:dyDescent="0.3">
      <c r="A423" t="s">
        <v>4183</v>
      </c>
      <c r="B423" t="s">
        <v>4184</v>
      </c>
      <c r="D423" t="s">
        <v>4166</v>
      </c>
      <c r="E423" t="s">
        <v>4166</v>
      </c>
      <c r="F423" t="s">
        <v>950</v>
      </c>
      <c r="G423" t="s">
        <v>1699</v>
      </c>
      <c r="H423">
        <v>1507705.5</v>
      </c>
      <c r="I423" t="s">
        <v>3982</v>
      </c>
      <c r="M423" s="14" t="s">
        <v>4185</v>
      </c>
    </row>
    <row r="424" spans="1:13" x14ac:dyDescent="0.3">
      <c r="A424" t="s">
        <v>4186</v>
      </c>
      <c r="B424" t="s">
        <v>4187</v>
      </c>
      <c r="D424" t="s">
        <v>4166</v>
      </c>
      <c r="E424" t="s">
        <v>4166</v>
      </c>
      <c r="F424" t="s">
        <v>950</v>
      </c>
      <c r="G424" t="s">
        <v>1699</v>
      </c>
      <c r="H424">
        <v>1835736</v>
      </c>
      <c r="I424" t="s">
        <v>3982</v>
      </c>
      <c r="M424" s="14" t="s">
        <v>4188</v>
      </c>
    </row>
    <row r="425" spans="1:13" x14ac:dyDescent="0.3">
      <c r="A425" t="s">
        <v>4189</v>
      </c>
      <c r="B425" t="s">
        <v>4190</v>
      </c>
      <c r="D425" t="s">
        <v>4166</v>
      </c>
      <c r="E425" t="s">
        <v>4166</v>
      </c>
      <c r="F425" t="s">
        <v>950</v>
      </c>
      <c r="G425" t="s">
        <v>1699</v>
      </c>
      <c r="H425">
        <v>2126943</v>
      </c>
      <c r="I425" t="s">
        <v>3982</v>
      </c>
      <c r="M425" s="14" t="s">
        <v>4191</v>
      </c>
    </row>
    <row r="426" spans="1:13" x14ac:dyDescent="0.3">
      <c r="A426" t="s">
        <v>4192</v>
      </c>
      <c r="B426" t="s">
        <v>4193</v>
      </c>
      <c r="D426" t="s">
        <v>4162</v>
      </c>
      <c r="E426" t="s">
        <v>4162</v>
      </c>
      <c r="F426" t="s">
        <v>950</v>
      </c>
      <c r="G426" t="s">
        <v>1699</v>
      </c>
      <c r="H426">
        <v>646944.42000000004</v>
      </c>
      <c r="I426" t="s">
        <v>3982</v>
      </c>
      <c r="M426" s="14" t="s">
        <v>4194</v>
      </c>
    </row>
    <row r="427" spans="1:13" x14ac:dyDescent="0.3">
      <c r="A427" t="s">
        <v>4195</v>
      </c>
      <c r="B427" t="s">
        <v>4196</v>
      </c>
      <c r="D427" t="s">
        <v>4162</v>
      </c>
      <c r="E427" t="s">
        <v>4162</v>
      </c>
      <c r="F427" t="s">
        <v>950</v>
      </c>
      <c r="G427" t="s">
        <v>1699</v>
      </c>
      <c r="H427">
        <v>1129865.0900000001</v>
      </c>
      <c r="I427" t="s">
        <v>3982</v>
      </c>
      <c r="M427" s="14" t="s">
        <v>4197</v>
      </c>
    </row>
    <row r="428" spans="1:13" x14ac:dyDescent="0.3">
      <c r="A428" t="s">
        <v>4198</v>
      </c>
      <c r="B428" t="s">
        <v>4199</v>
      </c>
      <c r="D428" t="s">
        <v>4162</v>
      </c>
      <c r="E428" t="s">
        <v>4162</v>
      </c>
      <c r="F428" t="s">
        <v>950</v>
      </c>
      <c r="G428" t="s">
        <v>1699</v>
      </c>
      <c r="H428">
        <v>1219466.9099999999</v>
      </c>
      <c r="I428" t="s">
        <v>3982</v>
      </c>
      <c r="M428" s="14" t="s">
        <v>4200</v>
      </c>
    </row>
    <row r="429" spans="1:13" x14ac:dyDescent="0.3">
      <c r="A429" t="s">
        <v>4201</v>
      </c>
      <c r="B429" t="s">
        <v>4199</v>
      </c>
      <c r="D429" t="s">
        <v>4162</v>
      </c>
      <c r="E429" t="s">
        <v>4162</v>
      </c>
      <c r="F429" t="s">
        <v>950</v>
      </c>
      <c r="G429" t="s">
        <v>1699</v>
      </c>
      <c r="H429">
        <v>1219466.9099999999</v>
      </c>
      <c r="I429" t="s">
        <v>3982</v>
      </c>
      <c r="M429" s="14" t="s">
        <v>4202</v>
      </c>
    </row>
    <row r="430" spans="1:13" x14ac:dyDescent="0.3">
      <c r="A430" t="s">
        <v>4203</v>
      </c>
      <c r="B430" t="s">
        <v>4204</v>
      </c>
      <c r="D430" t="s">
        <v>4162</v>
      </c>
      <c r="E430" t="s">
        <v>4162</v>
      </c>
      <c r="F430" t="s">
        <v>950</v>
      </c>
      <c r="G430" t="s">
        <v>1699</v>
      </c>
      <c r="H430">
        <v>798879.73</v>
      </c>
      <c r="I430" t="s">
        <v>3982</v>
      </c>
      <c r="M430" s="14" t="s">
        <v>4205</v>
      </c>
    </row>
    <row r="431" spans="1:13" x14ac:dyDescent="0.3">
      <c r="A431" t="s">
        <v>4206</v>
      </c>
      <c r="B431" t="s">
        <v>4204</v>
      </c>
      <c r="D431" t="s">
        <v>4162</v>
      </c>
      <c r="E431" t="s">
        <v>4162</v>
      </c>
      <c r="F431" t="s">
        <v>950</v>
      </c>
      <c r="G431" t="s">
        <v>1699</v>
      </c>
      <c r="H431">
        <v>813565.81</v>
      </c>
      <c r="I431" t="s">
        <v>3982</v>
      </c>
      <c r="M431" s="14" t="s">
        <v>4207</v>
      </c>
    </row>
    <row r="432" spans="1:13" x14ac:dyDescent="0.3">
      <c r="A432" t="s">
        <v>4208</v>
      </c>
      <c r="B432" t="s">
        <v>4209</v>
      </c>
      <c r="E432" t="s">
        <v>4117</v>
      </c>
      <c r="F432" t="s">
        <v>88</v>
      </c>
      <c r="G432" t="s">
        <v>707</v>
      </c>
      <c r="H432">
        <v>15250</v>
      </c>
      <c r="I432" t="s">
        <v>3982</v>
      </c>
      <c r="M432" s="14" t="s">
        <v>4210</v>
      </c>
    </row>
    <row r="433" spans="1:13" x14ac:dyDescent="0.3">
      <c r="A433" t="s">
        <v>4211</v>
      </c>
      <c r="B433" t="s">
        <v>4212</v>
      </c>
      <c r="C433" t="s">
        <v>4213</v>
      </c>
      <c r="E433" t="s">
        <v>4214</v>
      </c>
      <c r="F433" t="s">
        <v>88</v>
      </c>
      <c r="G433" t="s">
        <v>724</v>
      </c>
      <c r="H433">
        <v>5197.5</v>
      </c>
      <c r="I433" t="s">
        <v>3982</v>
      </c>
      <c r="M433" s="14" t="s">
        <v>4215</v>
      </c>
    </row>
    <row r="434" spans="1:13" x14ac:dyDescent="0.3">
      <c r="A434" t="s">
        <v>4216</v>
      </c>
      <c r="B434" t="s">
        <v>4217</v>
      </c>
      <c r="E434" t="s">
        <v>4214</v>
      </c>
      <c r="F434" t="s">
        <v>88</v>
      </c>
      <c r="G434" t="s">
        <v>724</v>
      </c>
      <c r="H434">
        <v>7507.5</v>
      </c>
      <c r="I434" t="s">
        <v>3982</v>
      </c>
      <c r="M434" s="14" t="s">
        <v>4218</v>
      </c>
    </row>
    <row r="435" spans="1:13" x14ac:dyDescent="0.3">
      <c r="A435" t="s">
        <v>4219</v>
      </c>
      <c r="B435" t="s">
        <v>4220</v>
      </c>
      <c r="E435" t="s">
        <v>4214</v>
      </c>
      <c r="F435" t="s">
        <v>950</v>
      </c>
      <c r="G435" t="s">
        <v>724</v>
      </c>
      <c r="H435">
        <v>17640</v>
      </c>
      <c r="I435" t="s">
        <v>3982</v>
      </c>
      <c r="M435" s="14" t="s">
        <v>4221</v>
      </c>
    </row>
    <row r="436" spans="1:13" x14ac:dyDescent="0.3">
      <c r="A436" t="s">
        <v>4222</v>
      </c>
      <c r="B436" t="s">
        <v>4223</v>
      </c>
      <c r="E436" t="s">
        <v>4214</v>
      </c>
      <c r="F436" t="s">
        <v>950</v>
      </c>
      <c r="G436" t="s">
        <v>724</v>
      </c>
      <c r="H436">
        <v>18427.5</v>
      </c>
      <c r="I436" t="s">
        <v>3982</v>
      </c>
      <c r="M436" s="14" t="s">
        <v>4224</v>
      </c>
    </row>
    <row r="437" spans="1:13" x14ac:dyDescent="0.3">
      <c r="A437" t="s">
        <v>4225</v>
      </c>
      <c r="B437" t="s">
        <v>4226</v>
      </c>
      <c r="E437" t="s">
        <v>4214</v>
      </c>
      <c r="F437" t="s">
        <v>88</v>
      </c>
      <c r="G437" t="s">
        <v>724</v>
      </c>
      <c r="H437">
        <v>37170</v>
      </c>
      <c r="I437" t="s">
        <v>3982</v>
      </c>
      <c r="M437" s="14" t="s">
        <v>4227</v>
      </c>
    </row>
    <row r="438" spans="1:13" x14ac:dyDescent="0.3">
      <c r="A438" t="s">
        <v>4228</v>
      </c>
      <c r="B438" t="s">
        <v>4229</v>
      </c>
      <c r="E438" t="s">
        <v>4214</v>
      </c>
      <c r="F438" t="s">
        <v>88</v>
      </c>
      <c r="G438" t="s">
        <v>724</v>
      </c>
      <c r="H438">
        <v>33295.5</v>
      </c>
      <c r="I438" t="s">
        <v>3982</v>
      </c>
      <c r="M438" s="14" t="s">
        <v>4230</v>
      </c>
    </row>
    <row r="439" spans="1:13" x14ac:dyDescent="0.3">
      <c r="A439" t="s">
        <v>4231</v>
      </c>
      <c r="B439" t="s">
        <v>4232</v>
      </c>
      <c r="E439" t="s">
        <v>4214</v>
      </c>
      <c r="F439" t="s">
        <v>88</v>
      </c>
      <c r="G439" t="s">
        <v>724</v>
      </c>
      <c r="H439">
        <v>32235</v>
      </c>
      <c r="I439" t="s">
        <v>3982</v>
      </c>
      <c r="M439" s="14" t="s">
        <v>4233</v>
      </c>
    </row>
    <row r="440" spans="1:13" x14ac:dyDescent="0.3">
      <c r="A440" t="s">
        <v>4234</v>
      </c>
      <c r="B440" t="s">
        <v>4235</v>
      </c>
      <c r="C440" t="s">
        <v>4213</v>
      </c>
      <c r="E440" t="s">
        <v>4214</v>
      </c>
      <c r="F440" t="s">
        <v>88</v>
      </c>
      <c r="G440" t="s">
        <v>724</v>
      </c>
      <c r="H440">
        <v>34230</v>
      </c>
      <c r="I440" t="s">
        <v>3982</v>
      </c>
      <c r="M440" s="14" t="s">
        <v>4236</v>
      </c>
    </row>
    <row r="441" spans="1:13" x14ac:dyDescent="0.3">
      <c r="A441" t="s">
        <v>4237</v>
      </c>
      <c r="B441" t="s">
        <v>727</v>
      </c>
      <c r="E441" t="s">
        <v>4214</v>
      </c>
      <c r="F441" t="s">
        <v>950</v>
      </c>
      <c r="G441" t="s">
        <v>724</v>
      </c>
      <c r="H441">
        <v>1323</v>
      </c>
      <c r="I441" t="s">
        <v>3982</v>
      </c>
      <c r="M441" s="14" t="s">
        <v>4238</v>
      </c>
    </row>
    <row r="442" spans="1:13" x14ac:dyDescent="0.3">
      <c r="A442" t="s">
        <v>4239</v>
      </c>
      <c r="B442" t="s">
        <v>4240</v>
      </c>
      <c r="E442" t="s">
        <v>4214</v>
      </c>
      <c r="F442" t="s">
        <v>950</v>
      </c>
      <c r="G442" t="s">
        <v>724</v>
      </c>
      <c r="H442">
        <v>1659</v>
      </c>
      <c r="I442" t="s">
        <v>3982</v>
      </c>
      <c r="M442" s="14" t="s">
        <v>4241</v>
      </c>
    </row>
    <row r="443" spans="1:13" x14ac:dyDescent="0.3">
      <c r="A443" t="s">
        <v>4242</v>
      </c>
      <c r="B443" t="s">
        <v>4243</v>
      </c>
      <c r="E443" t="s">
        <v>4244</v>
      </c>
      <c r="F443" t="s">
        <v>88</v>
      </c>
      <c r="G443" t="s">
        <v>1028</v>
      </c>
      <c r="H443">
        <v>2762.81</v>
      </c>
      <c r="I443" t="s">
        <v>3982</v>
      </c>
      <c r="J443" t="s">
        <v>4245</v>
      </c>
      <c r="M443" s="14" t="s">
        <v>4246</v>
      </c>
    </row>
    <row r="444" spans="1:13" x14ac:dyDescent="0.3">
      <c r="A444" t="s">
        <v>4247</v>
      </c>
      <c r="B444" t="s">
        <v>4248</v>
      </c>
      <c r="E444" t="s">
        <v>4244</v>
      </c>
      <c r="F444" t="s">
        <v>88</v>
      </c>
      <c r="G444" t="s">
        <v>1028</v>
      </c>
      <c r="H444">
        <v>3461.69</v>
      </c>
      <c r="I444" t="s">
        <v>3982</v>
      </c>
      <c r="J444" t="s">
        <v>4245</v>
      </c>
      <c r="M444" s="14" t="s">
        <v>4249</v>
      </c>
    </row>
    <row r="445" spans="1:13" x14ac:dyDescent="0.3">
      <c r="A445" t="s">
        <v>4250</v>
      </c>
      <c r="B445" t="s">
        <v>4251</v>
      </c>
      <c r="E445" t="s">
        <v>4244</v>
      </c>
      <c r="F445" t="s">
        <v>88</v>
      </c>
      <c r="G445" t="s">
        <v>1028</v>
      </c>
      <c r="H445">
        <v>3298.21</v>
      </c>
      <c r="I445" t="s">
        <v>3982</v>
      </c>
      <c r="J445" t="s">
        <v>4245</v>
      </c>
      <c r="M445" s="14" t="s">
        <v>4252</v>
      </c>
    </row>
    <row r="446" spans="1:13" x14ac:dyDescent="0.3">
      <c r="A446" t="s">
        <v>4253</v>
      </c>
      <c r="B446" t="s">
        <v>4254</v>
      </c>
      <c r="E446" t="s">
        <v>4244</v>
      </c>
      <c r="F446" t="s">
        <v>88</v>
      </c>
      <c r="G446" t="s">
        <v>1028</v>
      </c>
      <c r="H446">
        <v>3567.95</v>
      </c>
      <c r="I446" t="s">
        <v>3982</v>
      </c>
      <c r="J446" t="s">
        <v>4245</v>
      </c>
      <c r="M446" s="14" t="s">
        <v>4255</v>
      </c>
    </row>
    <row r="447" spans="1:13" x14ac:dyDescent="0.3">
      <c r="A447" t="s">
        <v>4256</v>
      </c>
      <c r="B447" t="s">
        <v>4257</v>
      </c>
      <c r="E447" t="s">
        <v>4244</v>
      </c>
      <c r="F447" t="s">
        <v>88</v>
      </c>
      <c r="G447" t="s">
        <v>1028</v>
      </c>
      <c r="H447">
        <v>3012.12</v>
      </c>
      <c r="I447" t="s">
        <v>3982</v>
      </c>
      <c r="J447" t="s">
        <v>4245</v>
      </c>
      <c r="M447" s="14" t="s">
        <v>4258</v>
      </c>
    </row>
    <row r="448" spans="1:13" x14ac:dyDescent="0.3">
      <c r="A448" t="s">
        <v>4259</v>
      </c>
      <c r="B448" t="s">
        <v>4260</v>
      </c>
      <c r="E448" t="s">
        <v>4244</v>
      </c>
      <c r="F448" t="s">
        <v>88</v>
      </c>
      <c r="G448" t="s">
        <v>1028</v>
      </c>
      <c r="H448">
        <v>3298.21</v>
      </c>
      <c r="I448" t="s">
        <v>3982</v>
      </c>
      <c r="J448" t="s">
        <v>4245</v>
      </c>
      <c r="M448" s="14" t="s">
        <v>4261</v>
      </c>
    </row>
    <row r="449" spans="1:13" x14ac:dyDescent="0.3">
      <c r="A449" t="s">
        <v>4262</v>
      </c>
      <c r="B449" t="s">
        <v>4263</v>
      </c>
      <c r="E449" t="s">
        <v>4244</v>
      </c>
      <c r="F449" t="s">
        <v>88</v>
      </c>
      <c r="G449" t="s">
        <v>1028</v>
      </c>
      <c r="H449">
        <v>3012.12</v>
      </c>
      <c r="I449" t="s">
        <v>3982</v>
      </c>
      <c r="J449" t="s">
        <v>4245</v>
      </c>
      <c r="M449" s="14" t="s">
        <v>4264</v>
      </c>
    </row>
    <row r="450" spans="1:13" x14ac:dyDescent="0.3">
      <c r="A450" t="s">
        <v>4265</v>
      </c>
      <c r="B450" t="s">
        <v>4266</v>
      </c>
      <c r="E450" t="s">
        <v>4267</v>
      </c>
      <c r="F450" t="s">
        <v>88</v>
      </c>
      <c r="G450" t="s">
        <v>1028</v>
      </c>
      <c r="H450">
        <v>1269.5</v>
      </c>
      <c r="I450" t="s">
        <v>3982</v>
      </c>
      <c r="J450" t="s">
        <v>4245</v>
      </c>
      <c r="M450" s="14" t="s">
        <v>4268</v>
      </c>
    </row>
    <row r="451" spans="1:13" x14ac:dyDescent="0.3">
      <c r="A451" t="s">
        <v>4269</v>
      </c>
      <c r="B451" t="s">
        <v>4270</v>
      </c>
      <c r="D451" t="s">
        <v>4271</v>
      </c>
      <c r="E451" t="s">
        <v>4272</v>
      </c>
      <c r="F451" t="s">
        <v>88</v>
      </c>
      <c r="G451" t="s">
        <v>1039</v>
      </c>
      <c r="H451">
        <v>37.909999999999997</v>
      </c>
      <c r="I451" t="s">
        <v>4273</v>
      </c>
      <c r="M451" s="14" t="s">
        <v>4274</v>
      </c>
    </row>
    <row r="452" spans="1:13" x14ac:dyDescent="0.3">
      <c r="A452" t="s">
        <v>4275</v>
      </c>
      <c r="B452" t="s">
        <v>4276</v>
      </c>
      <c r="D452" t="s">
        <v>4271</v>
      </c>
      <c r="E452" t="s">
        <v>4272</v>
      </c>
      <c r="F452" t="s">
        <v>88</v>
      </c>
      <c r="G452" t="s">
        <v>1039</v>
      </c>
      <c r="H452">
        <v>37.909999999999997</v>
      </c>
      <c r="I452" t="s">
        <v>4273</v>
      </c>
      <c r="M452" s="14" t="s">
        <v>4277</v>
      </c>
    </row>
    <row r="453" spans="1:13" x14ac:dyDescent="0.3">
      <c r="A453" t="s">
        <v>4278</v>
      </c>
      <c r="B453" t="s">
        <v>4279</v>
      </c>
      <c r="D453" t="s">
        <v>4271</v>
      </c>
      <c r="E453" t="s">
        <v>4272</v>
      </c>
      <c r="F453" t="s">
        <v>88</v>
      </c>
      <c r="G453" t="s">
        <v>1039</v>
      </c>
      <c r="H453">
        <v>37.909999999999997</v>
      </c>
      <c r="I453" t="s">
        <v>4273</v>
      </c>
      <c r="M453" s="14" t="s">
        <v>4280</v>
      </c>
    </row>
    <row r="454" spans="1:13" x14ac:dyDescent="0.3">
      <c r="A454" t="s">
        <v>4281</v>
      </c>
      <c r="B454" t="s">
        <v>4282</v>
      </c>
      <c r="D454" t="s">
        <v>4271</v>
      </c>
      <c r="E454" t="s">
        <v>4272</v>
      </c>
      <c r="F454" t="s">
        <v>88</v>
      </c>
      <c r="G454" t="s">
        <v>1039</v>
      </c>
      <c r="H454">
        <v>37.909999999999997</v>
      </c>
      <c r="I454" t="s">
        <v>4273</v>
      </c>
      <c r="M454" s="14" t="s">
        <v>4283</v>
      </c>
    </row>
    <row r="455" spans="1:13" x14ac:dyDescent="0.3">
      <c r="A455" t="s">
        <v>4284</v>
      </c>
      <c r="B455" t="s">
        <v>4285</v>
      </c>
      <c r="E455" t="s">
        <v>4286</v>
      </c>
      <c r="F455" t="s">
        <v>88</v>
      </c>
      <c r="G455" t="s">
        <v>1039</v>
      </c>
      <c r="H455">
        <v>3876.37</v>
      </c>
      <c r="I455" t="s">
        <v>3982</v>
      </c>
      <c r="M455" s="14" t="s">
        <v>4287</v>
      </c>
    </row>
    <row r="456" spans="1:13" x14ac:dyDescent="0.3">
      <c r="A456" t="s">
        <v>4288</v>
      </c>
      <c r="B456" t="s">
        <v>928</v>
      </c>
      <c r="E456" t="s">
        <v>4289</v>
      </c>
      <c r="F456" t="s">
        <v>950</v>
      </c>
      <c r="G456" t="s">
        <v>882</v>
      </c>
      <c r="H456">
        <v>15947.9</v>
      </c>
      <c r="I456" t="s">
        <v>3982</v>
      </c>
      <c r="M456" s="14" t="s">
        <v>4290</v>
      </c>
    </row>
    <row r="457" spans="1:13" x14ac:dyDescent="0.3">
      <c r="A457" t="s">
        <v>4291</v>
      </c>
      <c r="B457" t="s">
        <v>4292</v>
      </c>
      <c r="E457" t="s">
        <v>4289</v>
      </c>
      <c r="F457" t="s">
        <v>950</v>
      </c>
      <c r="G457" t="s">
        <v>882</v>
      </c>
      <c r="H457">
        <v>9988.7000000000007</v>
      </c>
      <c r="I457" t="s">
        <v>3982</v>
      </c>
      <c r="M457" s="14" t="s">
        <v>4293</v>
      </c>
    </row>
    <row r="458" spans="1:13" x14ac:dyDescent="0.3">
      <c r="A458" t="s">
        <v>4294</v>
      </c>
      <c r="B458" t="s">
        <v>4295</v>
      </c>
      <c r="E458" t="s">
        <v>4289</v>
      </c>
      <c r="F458" t="s">
        <v>950</v>
      </c>
      <c r="G458" t="s">
        <v>882</v>
      </c>
      <c r="H458">
        <v>9988.7000000000007</v>
      </c>
      <c r="I458" t="s">
        <v>3982</v>
      </c>
      <c r="M458" s="14" t="s">
        <v>4296</v>
      </c>
    </row>
    <row r="459" spans="1:13" x14ac:dyDescent="0.3">
      <c r="A459" t="s">
        <v>4297</v>
      </c>
      <c r="B459" t="s">
        <v>931</v>
      </c>
      <c r="E459" t="s">
        <v>4289</v>
      </c>
      <c r="F459" t="s">
        <v>950</v>
      </c>
      <c r="G459" t="s">
        <v>882</v>
      </c>
      <c r="H459">
        <v>9988.7000000000007</v>
      </c>
      <c r="I459" t="s">
        <v>3982</v>
      </c>
      <c r="M459" s="14" t="s">
        <v>4298</v>
      </c>
    </row>
    <row r="460" spans="1:13" x14ac:dyDescent="0.3">
      <c r="A460" t="s">
        <v>4299</v>
      </c>
      <c r="B460" t="s">
        <v>4300</v>
      </c>
      <c r="E460" t="s">
        <v>4289</v>
      </c>
      <c r="F460" t="s">
        <v>950</v>
      </c>
      <c r="G460" t="s">
        <v>882</v>
      </c>
      <c r="H460">
        <v>3473.2</v>
      </c>
      <c r="I460" t="s">
        <v>3982</v>
      </c>
      <c r="M460" s="14" t="s">
        <v>4301</v>
      </c>
    </row>
    <row r="461" spans="1:13" x14ac:dyDescent="0.3">
      <c r="A461" t="s">
        <v>4302</v>
      </c>
      <c r="B461" t="s">
        <v>4303</v>
      </c>
      <c r="C461" t="s">
        <v>4304</v>
      </c>
      <c r="D461" t="s">
        <v>4305</v>
      </c>
      <c r="E461" t="s">
        <v>4306</v>
      </c>
      <c r="F461" t="s">
        <v>2604</v>
      </c>
      <c r="G461" t="s">
        <v>1576</v>
      </c>
      <c r="H461">
        <v>399</v>
      </c>
      <c r="I461" t="s">
        <v>3982</v>
      </c>
      <c r="J461" t="s">
        <v>4307</v>
      </c>
      <c r="M461" s="14" t="s">
        <v>4308</v>
      </c>
    </row>
    <row r="462" spans="1:13" x14ac:dyDescent="0.3">
      <c r="A462" t="s">
        <v>4309</v>
      </c>
      <c r="B462" t="s">
        <v>4310</v>
      </c>
      <c r="C462" t="s">
        <v>4311</v>
      </c>
      <c r="D462" t="s">
        <v>4305</v>
      </c>
      <c r="E462" t="s">
        <v>4306</v>
      </c>
      <c r="F462" t="s">
        <v>2604</v>
      </c>
      <c r="G462" t="s">
        <v>1576</v>
      </c>
      <c r="H462">
        <v>491</v>
      </c>
      <c r="I462" t="s">
        <v>3982</v>
      </c>
      <c r="J462" t="s">
        <v>4307</v>
      </c>
      <c r="M462" s="14" t="s">
        <v>4312</v>
      </c>
    </row>
    <row r="463" spans="1:13" x14ac:dyDescent="0.3">
      <c r="A463" t="s">
        <v>4313</v>
      </c>
      <c r="B463" t="s">
        <v>4314</v>
      </c>
      <c r="C463" t="s">
        <v>4315</v>
      </c>
      <c r="D463" t="s">
        <v>4305</v>
      </c>
      <c r="E463" t="s">
        <v>4306</v>
      </c>
      <c r="F463" t="s">
        <v>950</v>
      </c>
      <c r="G463" t="s">
        <v>1576</v>
      </c>
      <c r="H463">
        <v>9250</v>
      </c>
      <c r="I463" t="s">
        <v>3982</v>
      </c>
      <c r="J463" t="s">
        <v>4307</v>
      </c>
      <c r="M463" s="14" t="s">
        <v>4316</v>
      </c>
    </row>
    <row r="464" spans="1:13" x14ac:dyDescent="0.3">
      <c r="A464" t="s">
        <v>4317</v>
      </c>
      <c r="B464" t="s">
        <v>4318</v>
      </c>
      <c r="C464" t="s">
        <v>4319</v>
      </c>
      <c r="D464" t="s">
        <v>4305</v>
      </c>
      <c r="E464" t="s">
        <v>4306</v>
      </c>
      <c r="F464" t="s">
        <v>950</v>
      </c>
      <c r="G464" t="s">
        <v>1576</v>
      </c>
      <c r="H464">
        <v>9460</v>
      </c>
      <c r="I464" t="s">
        <v>3982</v>
      </c>
      <c r="J464" t="s">
        <v>4307</v>
      </c>
      <c r="M464" s="14" t="s">
        <v>4320</v>
      </c>
    </row>
    <row r="465" spans="1:13" x14ac:dyDescent="0.3">
      <c r="A465" t="s">
        <v>4321</v>
      </c>
      <c r="B465" t="s">
        <v>4322</v>
      </c>
      <c r="C465" t="s">
        <v>4323</v>
      </c>
      <c r="D465" t="s">
        <v>4305</v>
      </c>
      <c r="E465" t="s">
        <v>4306</v>
      </c>
      <c r="F465" t="s">
        <v>950</v>
      </c>
      <c r="G465" t="s">
        <v>1576</v>
      </c>
      <c r="H465">
        <v>9660</v>
      </c>
      <c r="I465" t="s">
        <v>3982</v>
      </c>
      <c r="J465" t="s">
        <v>4307</v>
      </c>
      <c r="M465" s="14" t="s">
        <v>4324</v>
      </c>
    </row>
    <row r="466" spans="1:13" x14ac:dyDescent="0.3">
      <c r="A466" t="s">
        <v>4325</v>
      </c>
      <c r="B466" t="s">
        <v>4326</v>
      </c>
      <c r="C466" t="s">
        <v>4327</v>
      </c>
      <c r="D466" t="s">
        <v>4305</v>
      </c>
      <c r="E466" t="s">
        <v>4306</v>
      </c>
      <c r="F466" t="s">
        <v>950</v>
      </c>
      <c r="G466" t="s">
        <v>1576</v>
      </c>
      <c r="H466">
        <v>5459</v>
      </c>
      <c r="I466" t="s">
        <v>3982</v>
      </c>
      <c r="J466" t="s">
        <v>4307</v>
      </c>
      <c r="M466" s="14" t="s">
        <v>4328</v>
      </c>
    </row>
    <row r="467" spans="1:13" x14ac:dyDescent="0.3">
      <c r="A467" t="s">
        <v>4329</v>
      </c>
      <c r="B467" t="s">
        <v>4330</v>
      </c>
      <c r="C467" t="s">
        <v>4331</v>
      </c>
      <c r="D467" t="s">
        <v>4305</v>
      </c>
      <c r="E467" t="s">
        <v>4306</v>
      </c>
      <c r="F467" t="s">
        <v>950</v>
      </c>
      <c r="G467" t="s">
        <v>1576</v>
      </c>
      <c r="H467">
        <v>6384</v>
      </c>
      <c r="I467" t="s">
        <v>3982</v>
      </c>
      <c r="J467" t="s">
        <v>4307</v>
      </c>
      <c r="M467" s="14" t="s">
        <v>4332</v>
      </c>
    </row>
    <row r="468" spans="1:13" x14ac:dyDescent="0.3">
      <c r="A468" t="s">
        <v>4333</v>
      </c>
      <c r="B468" t="s">
        <v>4334</v>
      </c>
      <c r="C468" t="s">
        <v>4335</v>
      </c>
      <c r="D468" t="s">
        <v>4305</v>
      </c>
      <c r="E468" t="s">
        <v>4306</v>
      </c>
      <c r="F468" t="s">
        <v>950</v>
      </c>
      <c r="G468" t="s">
        <v>1576</v>
      </c>
      <c r="H468">
        <v>8234</v>
      </c>
      <c r="I468" t="s">
        <v>3982</v>
      </c>
      <c r="J468" t="s">
        <v>4307</v>
      </c>
      <c r="M468" s="14" t="s">
        <v>4336</v>
      </c>
    </row>
    <row r="469" spans="1:13" x14ac:dyDescent="0.3">
      <c r="A469" t="s">
        <v>4337</v>
      </c>
      <c r="B469" t="s">
        <v>4338</v>
      </c>
      <c r="C469" t="s">
        <v>4339</v>
      </c>
      <c r="D469" t="s">
        <v>4305</v>
      </c>
      <c r="E469" t="s">
        <v>4306</v>
      </c>
      <c r="F469" t="s">
        <v>950</v>
      </c>
      <c r="G469" t="s">
        <v>1576</v>
      </c>
      <c r="H469">
        <v>9159</v>
      </c>
      <c r="I469" t="s">
        <v>3982</v>
      </c>
      <c r="J469" t="s">
        <v>4307</v>
      </c>
      <c r="M469" s="14" t="s">
        <v>4340</v>
      </c>
    </row>
    <row r="470" spans="1:13" x14ac:dyDescent="0.3">
      <c r="A470" t="s">
        <v>4341</v>
      </c>
      <c r="B470" t="s">
        <v>4342</v>
      </c>
      <c r="C470" t="s">
        <v>4343</v>
      </c>
      <c r="D470" t="s">
        <v>4305</v>
      </c>
      <c r="E470" t="s">
        <v>4306</v>
      </c>
      <c r="F470" t="s">
        <v>950</v>
      </c>
      <c r="G470" t="s">
        <v>1576</v>
      </c>
      <c r="H470">
        <v>11009</v>
      </c>
      <c r="I470" t="s">
        <v>3982</v>
      </c>
      <c r="J470" t="s">
        <v>4307</v>
      </c>
      <c r="M470" s="14" t="s">
        <v>4344</v>
      </c>
    </row>
    <row r="471" spans="1:13" x14ac:dyDescent="0.3">
      <c r="A471" t="s">
        <v>4345</v>
      </c>
      <c r="B471" t="s">
        <v>4346</v>
      </c>
      <c r="C471" t="s">
        <v>4347</v>
      </c>
      <c r="D471" t="s">
        <v>4305</v>
      </c>
      <c r="E471" t="s">
        <v>4306</v>
      </c>
      <c r="F471" t="s">
        <v>950</v>
      </c>
      <c r="G471" t="s">
        <v>1576</v>
      </c>
      <c r="H471">
        <v>11934</v>
      </c>
      <c r="I471" t="s">
        <v>3982</v>
      </c>
      <c r="J471" t="s">
        <v>4307</v>
      </c>
      <c r="M471" s="14" t="s">
        <v>4348</v>
      </c>
    </row>
    <row r="472" spans="1:13" x14ac:dyDescent="0.3">
      <c r="A472" t="s">
        <v>4349</v>
      </c>
      <c r="B472" t="s">
        <v>4350</v>
      </c>
      <c r="C472" t="s">
        <v>4351</v>
      </c>
      <c r="D472" t="s">
        <v>4305</v>
      </c>
      <c r="E472" t="s">
        <v>4306</v>
      </c>
      <c r="F472" t="s">
        <v>950</v>
      </c>
      <c r="G472" t="s">
        <v>1576</v>
      </c>
      <c r="H472">
        <v>12859</v>
      </c>
      <c r="I472" t="s">
        <v>3982</v>
      </c>
      <c r="J472" t="s">
        <v>4307</v>
      </c>
      <c r="M472" s="14" t="s">
        <v>4352</v>
      </c>
    </row>
    <row r="473" spans="1:13" x14ac:dyDescent="0.3">
      <c r="A473" t="s">
        <v>4353</v>
      </c>
      <c r="B473" t="s">
        <v>4354</v>
      </c>
      <c r="C473" t="s">
        <v>4355</v>
      </c>
      <c r="D473" t="s">
        <v>4305</v>
      </c>
      <c r="E473" t="s">
        <v>4306</v>
      </c>
      <c r="F473" t="s">
        <v>950</v>
      </c>
      <c r="G473" t="s">
        <v>1576</v>
      </c>
      <c r="H473">
        <v>13784</v>
      </c>
      <c r="I473" t="s">
        <v>3982</v>
      </c>
      <c r="J473" t="s">
        <v>4307</v>
      </c>
      <c r="M473" s="14" t="s">
        <v>4356</v>
      </c>
    </row>
    <row r="474" spans="1:13" x14ac:dyDescent="0.3">
      <c r="A474" t="s">
        <v>4357</v>
      </c>
      <c r="B474" t="s">
        <v>4358</v>
      </c>
      <c r="C474" t="s">
        <v>4359</v>
      </c>
      <c r="D474" t="s">
        <v>4305</v>
      </c>
      <c r="E474" t="s">
        <v>4306</v>
      </c>
      <c r="F474" t="s">
        <v>950</v>
      </c>
      <c r="G474" t="s">
        <v>1576</v>
      </c>
      <c r="H474">
        <v>14709</v>
      </c>
      <c r="I474" t="s">
        <v>3982</v>
      </c>
      <c r="J474" t="s">
        <v>4307</v>
      </c>
      <c r="M474" s="14" t="s">
        <v>4360</v>
      </c>
    </row>
    <row r="475" spans="1:13" x14ac:dyDescent="0.3">
      <c r="A475" t="s">
        <v>4361</v>
      </c>
      <c r="B475" t="s">
        <v>4362</v>
      </c>
      <c r="C475" t="s">
        <v>4363</v>
      </c>
      <c r="D475" t="s">
        <v>4305</v>
      </c>
      <c r="E475" t="s">
        <v>4306</v>
      </c>
      <c r="F475" t="s">
        <v>950</v>
      </c>
      <c r="G475" t="s">
        <v>1576</v>
      </c>
      <c r="H475">
        <v>5543</v>
      </c>
      <c r="I475" t="s">
        <v>3982</v>
      </c>
      <c r="J475" t="s">
        <v>4307</v>
      </c>
      <c r="M475" s="14" t="s">
        <v>4364</v>
      </c>
    </row>
    <row r="476" spans="1:13" x14ac:dyDescent="0.3">
      <c r="A476" t="s">
        <v>4365</v>
      </c>
      <c r="B476" t="s">
        <v>4366</v>
      </c>
      <c r="C476" t="s">
        <v>4367</v>
      </c>
      <c r="D476" t="s">
        <v>4305</v>
      </c>
      <c r="E476" t="s">
        <v>4306</v>
      </c>
      <c r="F476" t="s">
        <v>950</v>
      </c>
      <c r="G476" t="s">
        <v>1576</v>
      </c>
      <c r="H476">
        <v>6489</v>
      </c>
      <c r="I476" t="s">
        <v>3982</v>
      </c>
      <c r="J476" t="s">
        <v>4307</v>
      </c>
      <c r="M476" s="14" t="s">
        <v>4368</v>
      </c>
    </row>
    <row r="477" spans="1:13" x14ac:dyDescent="0.3">
      <c r="A477" t="s">
        <v>4369</v>
      </c>
      <c r="B477" t="s">
        <v>4370</v>
      </c>
      <c r="C477" t="s">
        <v>4371</v>
      </c>
      <c r="D477" t="s">
        <v>4305</v>
      </c>
      <c r="E477" t="s">
        <v>4306</v>
      </c>
      <c r="F477" t="s">
        <v>950</v>
      </c>
      <c r="G477" t="s">
        <v>1576</v>
      </c>
      <c r="H477">
        <v>7435</v>
      </c>
      <c r="I477" t="s">
        <v>3982</v>
      </c>
      <c r="J477" t="s">
        <v>4307</v>
      </c>
      <c r="M477" s="14" t="s">
        <v>4372</v>
      </c>
    </row>
    <row r="478" spans="1:13" x14ac:dyDescent="0.3">
      <c r="A478" t="s">
        <v>4373</v>
      </c>
      <c r="B478" t="s">
        <v>4374</v>
      </c>
      <c r="C478" t="s">
        <v>4375</v>
      </c>
      <c r="D478" t="s">
        <v>4305</v>
      </c>
      <c r="E478" t="s">
        <v>4306</v>
      </c>
      <c r="F478" t="s">
        <v>950</v>
      </c>
      <c r="G478" t="s">
        <v>1576</v>
      </c>
      <c r="H478">
        <v>8381</v>
      </c>
      <c r="I478" t="s">
        <v>3982</v>
      </c>
      <c r="J478" t="s">
        <v>4307</v>
      </c>
      <c r="M478" s="14" t="s">
        <v>4376</v>
      </c>
    </row>
    <row r="479" spans="1:13" x14ac:dyDescent="0.3">
      <c r="A479" t="s">
        <v>4377</v>
      </c>
      <c r="B479" t="s">
        <v>4378</v>
      </c>
      <c r="C479" t="s">
        <v>4379</v>
      </c>
      <c r="D479" t="s">
        <v>4305</v>
      </c>
      <c r="E479" t="s">
        <v>4306</v>
      </c>
      <c r="F479" t="s">
        <v>950</v>
      </c>
      <c r="G479" t="s">
        <v>1576</v>
      </c>
      <c r="H479">
        <v>9327</v>
      </c>
      <c r="I479" t="s">
        <v>3982</v>
      </c>
      <c r="J479" t="s">
        <v>4307</v>
      </c>
      <c r="M479" s="14" t="s">
        <v>4380</v>
      </c>
    </row>
    <row r="480" spans="1:13" x14ac:dyDescent="0.3">
      <c r="A480" t="s">
        <v>4381</v>
      </c>
      <c r="B480" t="s">
        <v>4382</v>
      </c>
      <c r="C480" t="s">
        <v>4383</v>
      </c>
      <c r="D480" t="s">
        <v>4305</v>
      </c>
      <c r="E480" t="s">
        <v>4306</v>
      </c>
      <c r="F480" t="s">
        <v>950</v>
      </c>
      <c r="G480" t="s">
        <v>1576</v>
      </c>
      <c r="H480">
        <v>10273</v>
      </c>
      <c r="I480" t="s">
        <v>3982</v>
      </c>
      <c r="J480" t="s">
        <v>4307</v>
      </c>
      <c r="M480" s="14" t="s">
        <v>4384</v>
      </c>
    </row>
    <row r="481" spans="1:13" x14ac:dyDescent="0.3">
      <c r="A481" t="s">
        <v>4385</v>
      </c>
      <c r="B481" t="s">
        <v>4386</v>
      </c>
      <c r="C481" t="s">
        <v>4387</v>
      </c>
      <c r="D481" t="s">
        <v>4305</v>
      </c>
      <c r="E481" t="s">
        <v>4306</v>
      </c>
      <c r="F481" t="s">
        <v>950</v>
      </c>
      <c r="G481" t="s">
        <v>1576</v>
      </c>
      <c r="H481">
        <v>11219</v>
      </c>
      <c r="I481" t="s">
        <v>3982</v>
      </c>
      <c r="J481" t="s">
        <v>4307</v>
      </c>
      <c r="M481" s="14" t="s">
        <v>4388</v>
      </c>
    </row>
    <row r="482" spans="1:13" x14ac:dyDescent="0.3">
      <c r="A482" t="s">
        <v>4389</v>
      </c>
      <c r="B482" t="s">
        <v>4390</v>
      </c>
      <c r="C482" t="s">
        <v>4391</v>
      </c>
      <c r="D482" t="s">
        <v>4305</v>
      </c>
      <c r="E482" t="s">
        <v>4306</v>
      </c>
      <c r="F482" t="s">
        <v>950</v>
      </c>
      <c r="G482" t="s">
        <v>1576</v>
      </c>
      <c r="H482">
        <v>12165</v>
      </c>
      <c r="I482" t="s">
        <v>3982</v>
      </c>
      <c r="J482" t="s">
        <v>4307</v>
      </c>
      <c r="M482" s="14" t="s">
        <v>4392</v>
      </c>
    </row>
    <row r="483" spans="1:13" x14ac:dyDescent="0.3">
      <c r="A483" t="s">
        <v>4393</v>
      </c>
      <c r="B483" t="s">
        <v>4394</v>
      </c>
      <c r="C483" t="s">
        <v>4395</v>
      </c>
      <c r="D483" t="s">
        <v>4305</v>
      </c>
      <c r="E483" t="s">
        <v>4306</v>
      </c>
      <c r="F483" t="s">
        <v>950</v>
      </c>
      <c r="G483" t="s">
        <v>1576</v>
      </c>
      <c r="H483">
        <v>13111</v>
      </c>
      <c r="I483" t="s">
        <v>3982</v>
      </c>
      <c r="J483" t="s">
        <v>4307</v>
      </c>
      <c r="M483" s="14" t="s">
        <v>4396</v>
      </c>
    </row>
    <row r="484" spans="1:13" x14ac:dyDescent="0.3">
      <c r="A484" t="s">
        <v>4397</v>
      </c>
      <c r="B484" t="s">
        <v>4398</v>
      </c>
      <c r="C484" t="s">
        <v>4399</v>
      </c>
      <c r="D484" t="s">
        <v>4305</v>
      </c>
      <c r="E484" t="s">
        <v>4306</v>
      </c>
      <c r="F484" t="s">
        <v>950</v>
      </c>
      <c r="G484" t="s">
        <v>1576</v>
      </c>
      <c r="H484">
        <v>14057</v>
      </c>
      <c r="I484" t="s">
        <v>3982</v>
      </c>
      <c r="J484" t="s">
        <v>4307</v>
      </c>
      <c r="M484" s="14" t="s">
        <v>4400</v>
      </c>
    </row>
    <row r="485" spans="1:13" x14ac:dyDescent="0.3">
      <c r="A485" t="s">
        <v>4401</v>
      </c>
      <c r="B485" t="s">
        <v>4402</v>
      </c>
      <c r="C485" t="s">
        <v>4403</v>
      </c>
      <c r="D485" t="s">
        <v>4305</v>
      </c>
      <c r="E485" t="s">
        <v>4306</v>
      </c>
      <c r="F485" t="s">
        <v>950</v>
      </c>
      <c r="G485" t="s">
        <v>1576</v>
      </c>
      <c r="H485">
        <v>15003</v>
      </c>
      <c r="I485" t="s">
        <v>3982</v>
      </c>
      <c r="J485" t="s">
        <v>4307</v>
      </c>
      <c r="M485" s="14" t="s">
        <v>4404</v>
      </c>
    </row>
    <row r="486" spans="1:13" x14ac:dyDescent="0.3">
      <c r="A486" t="s">
        <v>4405</v>
      </c>
      <c r="B486" t="s">
        <v>4406</v>
      </c>
      <c r="C486" t="s">
        <v>4407</v>
      </c>
      <c r="D486" t="s">
        <v>4305</v>
      </c>
      <c r="E486" t="s">
        <v>4306</v>
      </c>
      <c r="F486" t="s">
        <v>950</v>
      </c>
      <c r="G486" t="s">
        <v>1576</v>
      </c>
      <c r="H486">
        <v>5623</v>
      </c>
      <c r="I486" t="s">
        <v>3982</v>
      </c>
      <c r="J486" t="s">
        <v>4307</v>
      </c>
      <c r="M486" s="14" t="s">
        <v>4408</v>
      </c>
    </row>
    <row r="487" spans="1:13" x14ac:dyDescent="0.3">
      <c r="A487" t="s">
        <v>4409</v>
      </c>
      <c r="B487" t="s">
        <v>4410</v>
      </c>
      <c r="C487" t="s">
        <v>4411</v>
      </c>
      <c r="D487" t="s">
        <v>4305</v>
      </c>
      <c r="E487" t="s">
        <v>4306</v>
      </c>
      <c r="F487" t="s">
        <v>950</v>
      </c>
      <c r="G487" t="s">
        <v>1576</v>
      </c>
      <c r="H487">
        <v>6589</v>
      </c>
      <c r="I487" t="s">
        <v>3982</v>
      </c>
      <c r="J487" t="s">
        <v>4307</v>
      </c>
      <c r="M487" s="14" t="s">
        <v>4412</v>
      </c>
    </row>
    <row r="488" spans="1:13" x14ac:dyDescent="0.3">
      <c r="A488" t="s">
        <v>4413</v>
      </c>
      <c r="B488" t="s">
        <v>4414</v>
      </c>
      <c r="C488" t="s">
        <v>4415</v>
      </c>
      <c r="D488" t="s">
        <v>4305</v>
      </c>
      <c r="E488" t="s">
        <v>4306</v>
      </c>
      <c r="F488" t="s">
        <v>950</v>
      </c>
      <c r="G488" t="s">
        <v>1576</v>
      </c>
      <c r="H488">
        <v>7555</v>
      </c>
      <c r="I488" t="s">
        <v>3982</v>
      </c>
      <c r="J488" t="s">
        <v>4307</v>
      </c>
      <c r="M488" s="14" t="s">
        <v>4416</v>
      </c>
    </row>
    <row r="489" spans="1:13" x14ac:dyDescent="0.3">
      <c r="A489" t="s">
        <v>4417</v>
      </c>
      <c r="B489" t="s">
        <v>4418</v>
      </c>
      <c r="C489" t="s">
        <v>4419</v>
      </c>
      <c r="D489" t="s">
        <v>4305</v>
      </c>
      <c r="E489" t="s">
        <v>4306</v>
      </c>
      <c r="F489" t="s">
        <v>950</v>
      </c>
      <c r="G489" t="s">
        <v>1576</v>
      </c>
      <c r="H489">
        <v>8521</v>
      </c>
      <c r="I489" t="s">
        <v>3982</v>
      </c>
      <c r="J489" t="s">
        <v>4307</v>
      </c>
      <c r="M489" s="14" t="s">
        <v>4420</v>
      </c>
    </row>
    <row r="490" spans="1:13" x14ac:dyDescent="0.3">
      <c r="A490" t="s">
        <v>4421</v>
      </c>
      <c r="B490" t="s">
        <v>4422</v>
      </c>
      <c r="C490" t="s">
        <v>4423</v>
      </c>
      <c r="D490" t="s">
        <v>4305</v>
      </c>
      <c r="E490" t="s">
        <v>4306</v>
      </c>
      <c r="F490" t="s">
        <v>950</v>
      </c>
      <c r="G490" t="s">
        <v>1576</v>
      </c>
      <c r="H490">
        <v>9487</v>
      </c>
      <c r="I490" t="s">
        <v>3982</v>
      </c>
      <c r="J490" t="s">
        <v>4307</v>
      </c>
      <c r="M490" s="14" t="s">
        <v>4424</v>
      </c>
    </row>
    <row r="491" spans="1:13" x14ac:dyDescent="0.3">
      <c r="A491" t="s">
        <v>4425</v>
      </c>
      <c r="B491" t="s">
        <v>4426</v>
      </c>
      <c r="C491" t="s">
        <v>4427</v>
      </c>
      <c r="D491" t="s">
        <v>4305</v>
      </c>
      <c r="E491" t="s">
        <v>4306</v>
      </c>
      <c r="F491" t="s">
        <v>950</v>
      </c>
      <c r="G491" t="s">
        <v>1576</v>
      </c>
      <c r="H491">
        <v>10453</v>
      </c>
      <c r="I491" t="s">
        <v>3982</v>
      </c>
      <c r="J491" t="s">
        <v>4307</v>
      </c>
      <c r="M491" s="14" t="s">
        <v>4428</v>
      </c>
    </row>
    <row r="492" spans="1:13" x14ac:dyDescent="0.3">
      <c r="A492" t="s">
        <v>4429</v>
      </c>
      <c r="B492" t="s">
        <v>4430</v>
      </c>
      <c r="C492" t="s">
        <v>4431</v>
      </c>
      <c r="D492" t="s">
        <v>4305</v>
      </c>
      <c r="E492" t="s">
        <v>4306</v>
      </c>
      <c r="F492" t="s">
        <v>950</v>
      </c>
      <c r="G492" t="s">
        <v>1576</v>
      </c>
      <c r="H492">
        <v>11419</v>
      </c>
      <c r="I492" t="s">
        <v>3982</v>
      </c>
      <c r="J492" t="s">
        <v>4307</v>
      </c>
      <c r="M492" s="14" t="s">
        <v>4432</v>
      </c>
    </row>
    <row r="493" spans="1:13" x14ac:dyDescent="0.3">
      <c r="A493" t="s">
        <v>4433</v>
      </c>
      <c r="B493" t="s">
        <v>4434</v>
      </c>
      <c r="C493" t="s">
        <v>4435</v>
      </c>
      <c r="D493" t="s">
        <v>4305</v>
      </c>
      <c r="E493" t="s">
        <v>4306</v>
      </c>
      <c r="F493" t="s">
        <v>950</v>
      </c>
      <c r="G493" t="s">
        <v>1576</v>
      </c>
      <c r="H493">
        <v>12385</v>
      </c>
      <c r="I493" t="s">
        <v>3982</v>
      </c>
      <c r="J493" t="s">
        <v>4307</v>
      </c>
      <c r="M493" s="14" t="s">
        <v>4436</v>
      </c>
    </row>
    <row r="494" spans="1:13" x14ac:dyDescent="0.3">
      <c r="A494" t="s">
        <v>4437</v>
      </c>
      <c r="B494" t="s">
        <v>4438</v>
      </c>
      <c r="C494" t="s">
        <v>4439</v>
      </c>
      <c r="D494" t="s">
        <v>4305</v>
      </c>
      <c r="E494" t="s">
        <v>4306</v>
      </c>
      <c r="F494" t="s">
        <v>950</v>
      </c>
      <c r="G494" t="s">
        <v>1576</v>
      </c>
      <c r="H494">
        <v>13351</v>
      </c>
      <c r="I494" t="s">
        <v>3982</v>
      </c>
      <c r="J494" t="s">
        <v>4307</v>
      </c>
      <c r="M494" s="14" t="s">
        <v>4440</v>
      </c>
    </row>
    <row r="495" spans="1:13" x14ac:dyDescent="0.3">
      <c r="A495" t="s">
        <v>4441</v>
      </c>
      <c r="B495" t="s">
        <v>4442</v>
      </c>
      <c r="C495" t="s">
        <v>4443</v>
      </c>
      <c r="D495" t="s">
        <v>4305</v>
      </c>
      <c r="E495" t="s">
        <v>4306</v>
      </c>
      <c r="F495" t="s">
        <v>950</v>
      </c>
      <c r="G495" t="s">
        <v>1576</v>
      </c>
      <c r="H495">
        <v>14317</v>
      </c>
      <c r="I495" t="s">
        <v>3982</v>
      </c>
      <c r="J495" t="s">
        <v>4307</v>
      </c>
      <c r="M495" s="14" t="s">
        <v>4444</v>
      </c>
    </row>
    <row r="496" spans="1:13" x14ac:dyDescent="0.3">
      <c r="A496" t="s">
        <v>4445</v>
      </c>
      <c r="B496" t="s">
        <v>4446</v>
      </c>
      <c r="C496" t="s">
        <v>4447</v>
      </c>
      <c r="D496" t="s">
        <v>4305</v>
      </c>
      <c r="E496" t="s">
        <v>4306</v>
      </c>
      <c r="F496" t="s">
        <v>950</v>
      </c>
      <c r="G496" t="s">
        <v>1576</v>
      </c>
      <c r="H496">
        <v>15283</v>
      </c>
      <c r="I496" t="s">
        <v>3982</v>
      </c>
      <c r="J496" t="s">
        <v>4307</v>
      </c>
      <c r="M496" s="14" t="s">
        <v>4448</v>
      </c>
    </row>
    <row r="497" spans="1:13" x14ac:dyDescent="0.3">
      <c r="A497" t="s">
        <v>4449</v>
      </c>
      <c r="B497" t="s">
        <v>4450</v>
      </c>
      <c r="C497" t="s">
        <v>4451</v>
      </c>
      <c r="D497" t="s">
        <v>4305</v>
      </c>
      <c r="E497" t="s">
        <v>4306</v>
      </c>
      <c r="F497" t="s">
        <v>950</v>
      </c>
      <c r="G497" t="s">
        <v>1576</v>
      </c>
      <c r="H497">
        <v>9460</v>
      </c>
      <c r="I497" t="s">
        <v>3982</v>
      </c>
      <c r="J497" t="s">
        <v>4307</v>
      </c>
      <c r="M497" s="14" t="s">
        <v>4452</v>
      </c>
    </row>
    <row r="498" spans="1:13" x14ac:dyDescent="0.3">
      <c r="A498" t="s">
        <v>4453</v>
      </c>
      <c r="B498" t="s">
        <v>4454</v>
      </c>
      <c r="C498" t="s">
        <v>4455</v>
      </c>
      <c r="D498" t="s">
        <v>4305</v>
      </c>
      <c r="E498" t="s">
        <v>4306</v>
      </c>
      <c r="F498" t="s">
        <v>950</v>
      </c>
      <c r="G498" t="s">
        <v>1576</v>
      </c>
      <c r="H498">
        <v>9660</v>
      </c>
      <c r="I498" t="s">
        <v>3982</v>
      </c>
      <c r="J498" t="s">
        <v>4307</v>
      </c>
      <c r="M498" s="14" t="s">
        <v>4456</v>
      </c>
    </row>
    <row r="499" spans="1:13" x14ac:dyDescent="0.3">
      <c r="A499" t="s">
        <v>4457</v>
      </c>
      <c r="B499" t="s">
        <v>4458</v>
      </c>
      <c r="C499" t="s">
        <v>4459</v>
      </c>
      <c r="D499" t="s">
        <v>4305</v>
      </c>
      <c r="E499" t="s">
        <v>4306</v>
      </c>
      <c r="F499" t="s">
        <v>950</v>
      </c>
      <c r="G499" t="s">
        <v>1576</v>
      </c>
      <c r="H499">
        <v>5543</v>
      </c>
      <c r="I499" t="s">
        <v>3982</v>
      </c>
      <c r="J499" t="s">
        <v>4307</v>
      </c>
      <c r="M499" s="14" t="s">
        <v>4460</v>
      </c>
    </row>
    <row r="500" spans="1:13" x14ac:dyDescent="0.3">
      <c r="A500" t="s">
        <v>4461</v>
      </c>
      <c r="B500" t="s">
        <v>4462</v>
      </c>
      <c r="C500" t="s">
        <v>4463</v>
      </c>
      <c r="D500" t="s">
        <v>4305</v>
      </c>
      <c r="E500" t="s">
        <v>4306</v>
      </c>
      <c r="F500" t="s">
        <v>950</v>
      </c>
      <c r="G500" t="s">
        <v>1576</v>
      </c>
      <c r="H500">
        <v>6489</v>
      </c>
      <c r="I500" t="s">
        <v>3982</v>
      </c>
      <c r="J500" t="s">
        <v>4307</v>
      </c>
      <c r="M500" s="14" t="s">
        <v>4464</v>
      </c>
    </row>
    <row r="501" spans="1:13" x14ac:dyDescent="0.3">
      <c r="A501" t="s">
        <v>4465</v>
      </c>
      <c r="B501" t="s">
        <v>4466</v>
      </c>
      <c r="C501" t="s">
        <v>4467</v>
      </c>
      <c r="D501" t="s">
        <v>4305</v>
      </c>
      <c r="E501" t="s">
        <v>4306</v>
      </c>
      <c r="F501" t="s">
        <v>950</v>
      </c>
      <c r="G501" t="s">
        <v>1576</v>
      </c>
      <c r="H501">
        <v>7435</v>
      </c>
      <c r="I501" t="s">
        <v>3982</v>
      </c>
      <c r="J501" t="s">
        <v>4307</v>
      </c>
      <c r="M501" s="14" t="s">
        <v>4468</v>
      </c>
    </row>
    <row r="502" spans="1:13" x14ac:dyDescent="0.3">
      <c r="A502" t="s">
        <v>4469</v>
      </c>
      <c r="B502" t="s">
        <v>4470</v>
      </c>
      <c r="C502" t="s">
        <v>4471</v>
      </c>
      <c r="D502" t="s">
        <v>4305</v>
      </c>
      <c r="E502" t="s">
        <v>4306</v>
      </c>
      <c r="F502" t="s">
        <v>950</v>
      </c>
      <c r="G502" t="s">
        <v>1576</v>
      </c>
      <c r="H502">
        <v>8381</v>
      </c>
      <c r="I502" t="s">
        <v>3982</v>
      </c>
      <c r="J502" t="s">
        <v>4307</v>
      </c>
      <c r="M502" s="14" t="s">
        <v>4472</v>
      </c>
    </row>
    <row r="503" spans="1:13" x14ac:dyDescent="0.3">
      <c r="A503" t="s">
        <v>4473</v>
      </c>
      <c r="B503" t="s">
        <v>4474</v>
      </c>
      <c r="C503" t="s">
        <v>4475</v>
      </c>
      <c r="D503" t="s">
        <v>4305</v>
      </c>
      <c r="E503" t="s">
        <v>4306</v>
      </c>
      <c r="F503" t="s">
        <v>950</v>
      </c>
      <c r="G503" t="s">
        <v>1576</v>
      </c>
      <c r="H503">
        <v>9327</v>
      </c>
      <c r="I503" t="s">
        <v>3982</v>
      </c>
      <c r="J503" t="s">
        <v>4307</v>
      </c>
      <c r="M503" s="14" t="s">
        <v>4476</v>
      </c>
    </row>
    <row r="504" spans="1:13" x14ac:dyDescent="0.3">
      <c r="A504" t="s">
        <v>4477</v>
      </c>
      <c r="B504" t="s">
        <v>4478</v>
      </c>
      <c r="C504" t="s">
        <v>4479</v>
      </c>
      <c r="D504" t="s">
        <v>4305</v>
      </c>
      <c r="E504" t="s">
        <v>4306</v>
      </c>
      <c r="F504" t="s">
        <v>950</v>
      </c>
      <c r="G504" t="s">
        <v>1576</v>
      </c>
      <c r="H504">
        <v>10273</v>
      </c>
      <c r="I504" t="s">
        <v>3982</v>
      </c>
      <c r="J504" t="s">
        <v>4307</v>
      </c>
      <c r="M504" s="14" t="s">
        <v>4480</v>
      </c>
    </row>
    <row r="505" spans="1:13" x14ac:dyDescent="0.3">
      <c r="A505" t="s">
        <v>4481</v>
      </c>
      <c r="B505" t="s">
        <v>4482</v>
      </c>
      <c r="C505" t="s">
        <v>4483</v>
      </c>
      <c r="D505" t="s">
        <v>4305</v>
      </c>
      <c r="E505" t="s">
        <v>4306</v>
      </c>
      <c r="F505" t="s">
        <v>950</v>
      </c>
      <c r="G505" t="s">
        <v>1576</v>
      </c>
      <c r="H505">
        <v>11219</v>
      </c>
      <c r="I505" t="s">
        <v>3982</v>
      </c>
      <c r="J505" t="s">
        <v>4307</v>
      </c>
      <c r="M505" s="14" t="s">
        <v>4484</v>
      </c>
    </row>
    <row r="506" spans="1:13" x14ac:dyDescent="0.3">
      <c r="A506" t="s">
        <v>4485</v>
      </c>
      <c r="B506" t="s">
        <v>4486</v>
      </c>
      <c r="C506" t="s">
        <v>4487</v>
      </c>
      <c r="D506" t="s">
        <v>4305</v>
      </c>
      <c r="E506" t="s">
        <v>4306</v>
      </c>
      <c r="F506" t="s">
        <v>950</v>
      </c>
      <c r="G506" t="s">
        <v>1576</v>
      </c>
      <c r="H506">
        <v>12165</v>
      </c>
      <c r="I506" t="s">
        <v>3982</v>
      </c>
      <c r="J506" t="s">
        <v>4307</v>
      </c>
      <c r="M506" s="14" t="s">
        <v>4488</v>
      </c>
    </row>
    <row r="507" spans="1:13" x14ac:dyDescent="0.3">
      <c r="A507" t="s">
        <v>4489</v>
      </c>
      <c r="B507" t="s">
        <v>4490</v>
      </c>
      <c r="C507" t="s">
        <v>4491</v>
      </c>
      <c r="D507" t="s">
        <v>4305</v>
      </c>
      <c r="E507" t="s">
        <v>4306</v>
      </c>
      <c r="F507" t="s">
        <v>950</v>
      </c>
      <c r="G507" t="s">
        <v>1576</v>
      </c>
      <c r="H507">
        <v>13111</v>
      </c>
      <c r="I507" t="s">
        <v>3982</v>
      </c>
      <c r="J507" t="s">
        <v>4307</v>
      </c>
      <c r="M507" s="14" t="s">
        <v>4492</v>
      </c>
    </row>
    <row r="508" spans="1:13" x14ac:dyDescent="0.3">
      <c r="A508" t="s">
        <v>4493</v>
      </c>
      <c r="B508" t="s">
        <v>4494</v>
      </c>
      <c r="C508" t="s">
        <v>4495</v>
      </c>
      <c r="D508" t="s">
        <v>4305</v>
      </c>
      <c r="E508" t="s">
        <v>4306</v>
      </c>
      <c r="F508" t="s">
        <v>950</v>
      </c>
      <c r="G508" t="s">
        <v>1576</v>
      </c>
      <c r="H508">
        <v>14057</v>
      </c>
      <c r="I508" t="s">
        <v>3982</v>
      </c>
      <c r="J508" t="s">
        <v>4307</v>
      </c>
      <c r="M508" s="14" t="s">
        <v>4496</v>
      </c>
    </row>
    <row r="509" spans="1:13" x14ac:dyDescent="0.3">
      <c r="A509" t="s">
        <v>4497</v>
      </c>
      <c r="B509" t="s">
        <v>4498</v>
      </c>
      <c r="C509" t="s">
        <v>4499</v>
      </c>
      <c r="D509" t="s">
        <v>4305</v>
      </c>
      <c r="E509" t="s">
        <v>4306</v>
      </c>
      <c r="F509" t="s">
        <v>950</v>
      </c>
      <c r="G509" t="s">
        <v>1576</v>
      </c>
      <c r="H509">
        <v>15003</v>
      </c>
      <c r="I509" t="s">
        <v>3982</v>
      </c>
      <c r="J509" t="s">
        <v>4307</v>
      </c>
      <c r="M509" s="14" t="s">
        <v>4500</v>
      </c>
    </row>
    <row r="510" spans="1:13" x14ac:dyDescent="0.3">
      <c r="A510" t="s">
        <v>4501</v>
      </c>
      <c r="B510" t="s">
        <v>4502</v>
      </c>
      <c r="C510" t="s">
        <v>4503</v>
      </c>
      <c r="D510" t="s">
        <v>4305</v>
      </c>
      <c r="E510" t="s">
        <v>4306</v>
      </c>
      <c r="F510" t="s">
        <v>950</v>
      </c>
      <c r="G510" t="s">
        <v>1576</v>
      </c>
      <c r="H510">
        <v>5623</v>
      </c>
      <c r="I510" t="s">
        <v>3982</v>
      </c>
      <c r="J510" t="s">
        <v>4307</v>
      </c>
      <c r="M510" s="14" t="s">
        <v>4504</v>
      </c>
    </row>
    <row r="511" spans="1:13" x14ac:dyDescent="0.3">
      <c r="A511" t="s">
        <v>4505</v>
      </c>
      <c r="B511" t="s">
        <v>4506</v>
      </c>
      <c r="C511" t="s">
        <v>4507</v>
      </c>
      <c r="D511" t="s">
        <v>4305</v>
      </c>
      <c r="E511" t="s">
        <v>4306</v>
      </c>
      <c r="F511" t="s">
        <v>950</v>
      </c>
      <c r="G511" t="s">
        <v>1576</v>
      </c>
      <c r="H511">
        <v>6589</v>
      </c>
      <c r="I511" t="s">
        <v>3982</v>
      </c>
      <c r="J511" t="s">
        <v>4307</v>
      </c>
      <c r="M511" s="14" t="s">
        <v>4508</v>
      </c>
    </row>
    <row r="512" spans="1:13" x14ac:dyDescent="0.3">
      <c r="A512" t="s">
        <v>4509</v>
      </c>
      <c r="B512" t="s">
        <v>4510</v>
      </c>
      <c r="C512" t="s">
        <v>4511</v>
      </c>
      <c r="D512" t="s">
        <v>4305</v>
      </c>
      <c r="E512" t="s">
        <v>4306</v>
      </c>
      <c r="F512" t="s">
        <v>950</v>
      </c>
      <c r="G512" t="s">
        <v>1576</v>
      </c>
      <c r="H512">
        <v>7555</v>
      </c>
      <c r="I512" t="s">
        <v>3982</v>
      </c>
      <c r="J512" t="s">
        <v>4307</v>
      </c>
      <c r="M512" s="14" t="s">
        <v>4512</v>
      </c>
    </row>
    <row r="513" spans="1:13" x14ac:dyDescent="0.3">
      <c r="A513" t="s">
        <v>4513</v>
      </c>
      <c r="B513" t="s">
        <v>4514</v>
      </c>
      <c r="C513" t="s">
        <v>4515</v>
      </c>
      <c r="D513" t="s">
        <v>4305</v>
      </c>
      <c r="E513" t="s">
        <v>4306</v>
      </c>
      <c r="F513" t="s">
        <v>950</v>
      </c>
      <c r="G513" t="s">
        <v>1576</v>
      </c>
      <c r="H513">
        <v>8521</v>
      </c>
      <c r="I513" t="s">
        <v>3982</v>
      </c>
      <c r="J513" t="s">
        <v>4307</v>
      </c>
      <c r="M513" s="14" t="s">
        <v>4516</v>
      </c>
    </row>
    <row r="514" spans="1:13" x14ac:dyDescent="0.3">
      <c r="A514" t="s">
        <v>4517</v>
      </c>
      <c r="B514" t="s">
        <v>4518</v>
      </c>
      <c r="C514" t="s">
        <v>4519</v>
      </c>
      <c r="D514" t="s">
        <v>4305</v>
      </c>
      <c r="E514" t="s">
        <v>4306</v>
      </c>
      <c r="F514" t="s">
        <v>950</v>
      </c>
      <c r="G514" t="s">
        <v>1576</v>
      </c>
      <c r="H514">
        <v>9487</v>
      </c>
      <c r="I514" t="s">
        <v>3982</v>
      </c>
      <c r="J514" t="s">
        <v>4307</v>
      </c>
      <c r="M514" s="14" t="s">
        <v>4520</v>
      </c>
    </row>
    <row r="515" spans="1:13" x14ac:dyDescent="0.3">
      <c r="A515" t="s">
        <v>4521</v>
      </c>
      <c r="B515" t="s">
        <v>4522</v>
      </c>
      <c r="C515" t="s">
        <v>4523</v>
      </c>
      <c r="D515" t="s">
        <v>4305</v>
      </c>
      <c r="E515" t="s">
        <v>4306</v>
      </c>
      <c r="F515" t="s">
        <v>950</v>
      </c>
      <c r="G515" t="s">
        <v>1576</v>
      </c>
      <c r="H515">
        <v>10453</v>
      </c>
      <c r="I515" t="s">
        <v>3982</v>
      </c>
      <c r="J515" t="s">
        <v>4307</v>
      </c>
      <c r="M515" s="14" t="s">
        <v>4524</v>
      </c>
    </row>
    <row r="516" spans="1:13" x14ac:dyDescent="0.3">
      <c r="A516" t="s">
        <v>4525</v>
      </c>
      <c r="B516" t="s">
        <v>4526</v>
      </c>
      <c r="C516" t="s">
        <v>4527</v>
      </c>
      <c r="D516" t="s">
        <v>4305</v>
      </c>
      <c r="E516" t="s">
        <v>4306</v>
      </c>
      <c r="F516" t="s">
        <v>950</v>
      </c>
      <c r="G516" t="s">
        <v>1576</v>
      </c>
      <c r="H516">
        <v>11419</v>
      </c>
      <c r="I516" t="s">
        <v>3982</v>
      </c>
      <c r="J516" t="s">
        <v>4307</v>
      </c>
      <c r="M516" s="14" t="s">
        <v>4528</v>
      </c>
    </row>
    <row r="517" spans="1:13" x14ac:dyDescent="0.3">
      <c r="A517" t="s">
        <v>4529</v>
      </c>
      <c r="B517" t="s">
        <v>4530</v>
      </c>
      <c r="C517" t="s">
        <v>4531</v>
      </c>
      <c r="D517" t="s">
        <v>4305</v>
      </c>
      <c r="E517" t="s">
        <v>4306</v>
      </c>
      <c r="F517" t="s">
        <v>950</v>
      </c>
      <c r="G517" t="s">
        <v>1576</v>
      </c>
      <c r="H517">
        <v>12385</v>
      </c>
      <c r="I517" t="s">
        <v>3982</v>
      </c>
      <c r="J517" t="s">
        <v>4307</v>
      </c>
      <c r="M517" s="14" t="s">
        <v>4532</v>
      </c>
    </row>
    <row r="518" spans="1:13" x14ac:dyDescent="0.3">
      <c r="A518" t="s">
        <v>4533</v>
      </c>
      <c r="B518" t="s">
        <v>4534</v>
      </c>
      <c r="C518" t="s">
        <v>4535</v>
      </c>
      <c r="D518" t="s">
        <v>4305</v>
      </c>
      <c r="E518" t="s">
        <v>4306</v>
      </c>
      <c r="F518" t="s">
        <v>950</v>
      </c>
      <c r="G518" t="s">
        <v>1576</v>
      </c>
      <c r="H518">
        <v>13351</v>
      </c>
      <c r="I518" t="s">
        <v>3982</v>
      </c>
      <c r="J518" t="s">
        <v>4307</v>
      </c>
      <c r="M518" s="14" t="s">
        <v>4536</v>
      </c>
    </row>
    <row r="519" spans="1:13" x14ac:dyDescent="0.3">
      <c r="A519" t="s">
        <v>4537</v>
      </c>
      <c r="B519" t="s">
        <v>4538</v>
      </c>
      <c r="C519" t="s">
        <v>4539</v>
      </c>
      <c r="D519" t="s">
        <v>4305</v>
      </c>
      <c r="E519" t="s">
        <v>4306</v>
      </c>
      <c r="F519" t="s">
        <v>950</v>
      </c>
      <c r="G519" t="s">
        <v>1576</v>
      </c>
      <c r="H519">
        <v>14317</v>
      </c>
      <c r="I519" t="s">
        <v>3982</v>
      </c>
      <c r="J519" t="s">
        <v>4307</v>
      </c>
      <c r="M519" s="14" t="s">
        <v>4540</v>
      </c>
    </row>
    <row r="520" spans="1:13" x14ac:dyDescent="0.3">
      <c r="A520" t="s">
        <v>4541</v>
      </c>
      <c r="B520" t="s">
        <v>4542</v>
      </c>
      <c r="C520" t="s">
        <v>4543</v>
      </c>
      <c r="D520" t="s">
        <v>4305</v>
      </c>
      <c r="E520" t="s">
        <v>4306</v>
      </c>
      <c r="F520" t="s">
        <v>950</v>
      </c>
      <c r="G520" t="s">
        <v>1576</v>
      </c>
      <c r="H520">
        <v>15283</v>
      </c>
      <c r="I520" t="s">
        <v>3982</v>
      </c>
      <c r="J520" t="s">
        <v>4307</v>
      </c>
      <c r="M520" s="14" t="s">
        <v>4544</v>
      </c>
    </row>
    <row r="521" spans="1:13" x14ac:dyDescent="0.3">
      <c r="A521" t="s">
        <v>4545</v>
      </c>
      <c r="B521" t="s">
        <v>4546</v>
      </c>
      <c r="C521" t="s">
        <v>4547</v>
      </c>
      <c r="D521" t="s">
        <v>4305</v>
      </c>
      <c r="E521" t="s">
        <v>4306</v>
      </c>
      <c r="F521" t="s">
        <v>950</v>
      </c>
      <c r="G521" t="s">
        <v>1576</v>
      </c>
      <c r="H521">
        <v>10570</v>
      </c>
      <c r="I521" t="s">
        <v>3982</v>
      </c>
      <c r="J521" t="s">
        <v>4307</v>
      </c>
      <c r="M521" s="14" t="s">
        <v>4548</v>
      </c>
    </row>
    <row r="522" spans="1:13" x14ac:dyDescent="0.3">
      <c r="A522" t="s">
        <v>4549</v>
      </c>
      <c r="B522" t="s">
        <v>4550</v>
      </c>
      <c r="C522" t="s">
        <v>4551</v>
      </c>
      <c r="D522" t="s">
        <v>4305</v>
      </c>
      <c r="E522" t="s">
        <v>4306</v>
      </c>
      <c r="F522" t="s">
        <v>950</v>
      </c>
      <c r="G522" t="s">
        <v>1576</v>
      </c>
      <c r="H522">
        <v>10780</v>
      </c>
      <c r="I522" t="s">
        <v>3982</v>
      </c>
      <c r="J522" t="s">
        <v>4307</v>
      </c>
      <c r="M522" s="14" t="s">
        <v>4552</v>
      </c>
    </row>
    <row r="523" spans="1:13" x14ac:dyDescent="0.3">
      <c r="A523" t="s">
        <v>4553</v>
      </c>
      <c r="B523" t="s">
        <v>4554</v>
      </c>
      <c r="C523" t="s">
        <v>4555</v>
      </c>
      <c r="D523" t="s">
        <v>4305</v>
      </c>
      <c r="E523" t="s">
        <v>4306</v>
      </c>
      <c r="F523" t="s">
        <v>950</v>
      </c>
      <c r="G523" t="s">
        <v>1576</v>
      </c>
      <c r="H523">
        <v>10980</v>
      </c>
      <c r="I523" t="s">
        <v>3982</v>
      </c>
      <c r="J523" t="s">
        <v>4307</v>
      </c>
      <c r="M523" s="14" t="s">
        <v>4556</v>
      </c>
    </row>
    <row r="524" spans="1:13" x14ac:dyDescent="0.3">
      <c r="A524" t="s">
        <v>4557</v>
      </c>
      <c r="B524" t="s">
        <v>4558</v>
      </c>
      <c r="C524" t="s">
        <v>4559</v>
      </c>
      <c r="D524" t="s">
        <v>4305</v>
      </c>
      <c r="E524" t="s">
        <v>4306</v>
      </c>
      <c r="F524" t="s">
        <v>950</v>
      </c>
      <c r="G524" t="s">
        <v>1576</v>
      </c>
      <c r="H524">
        <v>6272</v>
      </c>
      <c r="I524" t="s">
        <v>3982</v>
      </c>
      <c r="J524" t="s">
        <v>4307</v>
      </c>
      <c r="M524" s="14" t="s">
        <v>4560</v>
      </c>
    </row>
    <row r="525" spans="1:13" x14ac:dyDescent="0.3">
      <c r="A525" t="s">
        <v>4561</v>
      </c>
      <c r="B525" t="s">
        <v>4562</v>
      </c>
      <c r="C525" t="s">
        <v>4563</v>
      </c>
      <c r="D525" t="s">
        <v>4305</v>
      </c>
      <c r="E525" t="s">
        <v>4306</v>
      </c>
      <c r="F525" t="s">
        <v>950</v>
      </c>
      <c r="G525" t="s">
        <v>1576</v>
      </c>
      <c r="H525">
        <v>7329</v>
      </c>
      <c r="I525" t="s">
        <v>3982</v>
      </c>
      <c r="J525" t="s">
        <v>4307</v>
      </c>
      <c r="M525" s="14" t="s">
        <v>4564</v>
      </c>
    </row>
    <row r="526" spans="1:13" x14ac:dyDescent="0.3">
      <c r="A526" t="s">
        <v>4565</v>
      </c>
      <c r="B526" t="s">
        <v>4566</v>
      </c>
      <c r="C526" t="s">
        <v>4567</v>
      </c>
      <c r="D526" t="s">
        <v>4305</v>
      </c>
      <c r="E526" t="s">
        <v>4306</v>
      </c>
      <c r="F526" t="s">
        <v>950</v>
      </c>
      <c r="G526" t="s">
        <v>1576</v>
      </c>
      <c r="H526">
        <v>8386</v>
      </c>
      <c r="I526" t="s">
        <v>3982</v>
      </c>
      <c r="J526" t="s">
        <v>4307</v>
      </c>
      <c r="M526" s="14" t="s">
        <v>4568</v>
      </c>
    </row>
    <row r="527" spans="1:13" x14ac:dyDescent="0.3">
      <c r="A527" t="s">
        <v>4569</v>
      </c>
      <c r="B527" t="s">
        <v>4570</v>
      </c>
      <c r="C527" t="s">
        <v>4571</v>
      </c>
      <c r="D527" t="s">
        <v>4305</v>
      </c>
      <c r="E527" t="s">
        <v>4306</v>
      </c>
      <c r="F527" t="s">
        <v>950</v>
      </c>
      <c r="G527" t="s">
        <v>1576</v>
      </c>
      <c r="H527">
        <v>9443</v>
      </c>
      <c r="I527" t="s">
        <v>3982</v>
      </c>
      <c r="J527" t="s">
        <v>4307</v>
      </c>
      <c r="M527" s="14" t="s">
        <v>4572</v>
      </c>
    </row>
    <row r="528" spans="1:13" x14ac:dyDescent="0.3">
      <c r="A528" t="s">
        <v>4573</v>
      </c>
      <c r="B528" t="s">
        <v>4574</v>
      </c>
      <c r="C528" t="s">
        <v>4575</v>
      </c>
      <c r="D528" t="s">
        <v>4305</v>
      </c>
      <c r="E528" t="s">
        <v>4306</v>
      </c>
      <c r="F528" t="s">
        <v>950</v>
      </c>
      <c r="G528" t="s">
        <v>1576</v>
      </c>
      <c r="H528">
        <v>10500</v>
      </c>
      <c r="I528" t="s">
        <v>3982</v>
      </c>
      <c r="J528" t="s">
        <v>4307</v>
      </c>
      <c r="M528" s="14" t="s">
        <v>4576</v>
      </c>
    </row>
    <row r="529" spans="1:13" x14ac:dyDescent="0.3">
      <c r="A529" t="s">
        <v>4577</v>
      </c>
      <c r="B529" t="s">
        <v>4578</v>
      </c>
      <c r="C529" t="s">
        <v>4579</v>
      </c>
      <c r="D529" t="s">
        <v>4305</v>
      </c>
      <c r="E529" t="s">
        <v>4306</v>
      </c>
      <c r="F529" t="s">
        <v>950</v>
      </c>
      <c r="G529" t="s">
        <v>1576</v>
      </c>
      <c r="H529">
        <v>11557</v>
      </c>
      <c r="I529" t="s">
        <v>3982</v>
      </c>
      <c r="J529" t="s">
        <v>4307</v>
      </c>
      <c r="M529" s="14" t="s">
        <v>4580</v>
      </c>
    </row>
    <row r="530" spans="1:13" x14ac:dyDescent="0.3">
      <c r="A530" t="s">
        <v>4581</v>
      </c>
      <c r="B530" t="s">
        <v>4582</v>
      </c>
      <c r="C530" t="s">
        <v>4583</v>
      </c>
      <c r="D530" t="s">
        <v>4305</v>
      </c>
      <c r="E530" t="s">
        <v>4306</v>
      </c>
      <c r="F530" t="s">
        <v>950</v>
      </c>
      <c r="G530" t="s">
        <v>1576</v>
      </c>
      <c r="H530">
        <v>12614</v>
      </c>
      <c r="I530" t="s">
        <v>3982</v>
      </c>
      <c r="J530" t="s">
        <v>4307</v>
      </c>
      <c r="M530" s="14" t="s">
        <v>4584</v>
      </c>
    </row>
    <row r="531" spans="1:13" x14ac:dyDescent="0.3">
      <c r="A531" t="s">
        <v>4585</v>
      </c>
      <c r="B531" t="s">
        <v>4586</v>
      </c>
      <c r="C531" t="s">
        <v>4587</v>
      </c>
      <c r="D531" t="s">
        <v>4305</v>
      </c>
      <c r="E531" t="s">
        <v>4306</v>
      </c>
      <c r="F531" t="s">
        <v>950</v>
      </c>
      <c r="G531" t="s">
        <v>1576</v>
      </c>
      <c r="H531">
        <v>13671</v>
      </c>
      <c r="I531" t="s">
        <v>3982</v>
      </c>
      <c r="J531" t="s">
        <v>4307</v>
      </c>
      <c r="M531" s="14" t="s">
        <v>4588</v>
      </c>
    </row>
    <row r="532" spans="1:13" x14ac:dyDescent="0.3">
      <c r="A532" t="s">
        <v>4589</v>
      </c>
      <c r="B532" t="s">
        <v>4590</v>
      </c>
      <c r="C532" t="s">
        <v>4591</v>
      </c>
      <c r="D532" t="s">
        <v>4305</v>
      </c>
      <c r="E532" t="s">
        <v>4306</v>
      </c>
      <c r="F532" t="s">
        <v>950</v>
      </c>
      <c r="G532" t="s">
        <v>1576</v>
      </c>
      <c r="H532">
        <v>14728</v>
      </c>
      <c r="I532" t="s">
        <v>3982</v>
      </c>
      <c r="J532" t="s">
        <v>4307</v>
      </c>
      <c r="M532" s="14" t="s">
        <v>4592</v>
      </c>
    </row>
    <row r="533" spans="1:13" x14ac:dyDescent="0.3">
      <c r="A533" t="s">
        <v>4593</v>
      </c>
      <c r="B533" t="s">
        <v>4594</v>
      </c>
      <c r="C533" t="s">
        <v>4595</v>
      </c>
      <c r="D533" t="s">
        <v>4305</v>
      </c>
      <c r="E533" t="s">
        <v>4306</v>
      </c>
      <c r="F533" t="s">
        <v>950</v>
      </c>
      <c r="G533" t="s">
        <v>1576</v>
      </c>
      <c r="H533">
        <v>15785</v>
      </c>
      <c r="I533" t="s">
        <v>3982</v>
      </c>
      <c r="J533" t="s">
        <v>4307</v>
      </c>
      <c r="M533" s="14" t="s">
        <v>4596</v>
      </c>
    </row>
    <row r="534" spans="1:13" x14ac:dyDescent="0.3">
      <c r="A534" t="s">
        <v>4597</v>
      </c>
      <c r="B534" t="s">
        <v>4598</v>
      </c>
      <c r="C534" t="s">
        <v>4599</v>
      </c>
      <c r="D534" t="s">
        <v>4305</v>
      </c>
      <c r="E534" t="s">
        <v>4306</v>
      </c>
      <c r="F534" t="s">
        <v>950</v>
      </c>
      <c r="G534" t="s">
        <v>1576</v>
      </c>
      <c r="H534">
        <v>16842</v>
      </c>
      <c r="I534" t="s">
        <v>3982</v>
      </c>
      <c r="J534" t="s">
        <v>4307</v>
      </c>
      <c r="M534" s="14" t="s">
        <v>4600</v>
      </c>
    </row>
    <row r="535" spans="1:13" x14ac:dyDescent="0.3">
      <c r="A535" t="s">
        <v>4601</v>
      </c>
      <c r="B535" t="s">
        <v>4602</v>
      </c>
      <c r="C535" t="s">
        <v>4603</v>
      </c>
      <c r="D535" t="s">
        <v>4305</v>
      </c>
      <c r="E535" t="s">
        <v>4306</v>
      </c>
      <c r="F535" t="s">
        <v>950</v>
      </c>
      <c r="G535" t="s">
        <v>1576</v>
      </c>
      <c r="H535">
        <v>6356</v>
      </c>
      <c r="I535" t="s">
        <v>3982</v>
      </c>
      <c r="J535" t="s">
        <v>4307</v>
      </c>
      <c r="M535" s="14" t="s">
        <v>4604</v>
      </c>
    </row>
    <row r="536" spans="1:13" x14ac:dyDescent="0.3">
      <c r="A536" t="s">
        <v>4605</v>
      </c>
      <c r="B536" t="s">
        <v>4606</v>
      </c>
      <c r="C536" t="s">
        <v>4607</v>
      </c>
      <c r="D536" t="s">
        <v>4305</v>
      </c>
      <c r="E536" t="s">
        <v>4306</v>
      </c>
      <c r="F536" t="s">
        <v>950</v>
      </c>
      <c r="G536" t="s">
        <v>1576</v>
      </c>
      <c r="H536">
        <v>7434</v>
      </c>
      <c r="I536" t="s">
        <v>3982</v>
      </c>
      <c r="J536" t="s">
        <v>4307</v>
      </c>
      <c r="M536" s="14" t="s">
        <v>4608</v>
      </c>
    </row>
    <row r="537" spans="1:13" x14ac:dyDescent="0.3">
      <c r="A537" t="s">
        <v>4609</v>
      </c>
      <c r="B537" t="s">
        <v>4610</v>
      </c>
      <c r="C537" t="s">
        <v>4611</v>
      </c>
      <c r="D537" t="s">
        <v>4305</v>
      </c>
      <c r="E537" t="s">
        <v>4306</v>
      </c>
      <c r="F537" t="s">
        <v>950</v>
      </c>
      <c r="G537" t="s">
        <v>1576</v>
      </c>
      <c r="H537">
        <v>8512</v>
      </c>
      <c r="I537" t="s">
        <v>3982</v>
      </c>
      <c r="J537" t="s">
        <v>4307</v>
      </c>
      <c r="M537" s="14" t="s">
        <v>4612</v>
      </c>
    </row>
    <row r="538" spans="1:13" x14ac:dyDescent="0.3">
      <c r="A538" t="s">
        <v>4613</v>
      </c>
      <c r="B538" t="s">
        <v>4614</v>
      </c>
      <c r="C538" t="s">
        <v>4615</v>
      </c>
      <c r="D538" t="s">
        <v>4305</v>
      </c>
      <c r="E538" t="s">
        <v>4306</v>
      </c>
      <c r="F538" t="s">
        <v>950</v>
      </c>
      <c r="G538" t="s">
        <v>1576</v>
      </c>
      <c r="H538">
        <v>9590</v>
      </c>
      <c r="I538" t="s">
        <v>3982</v>
      </c>
      <c r="J538" t="s">
        <v>4307</v>
      </c>
      <c r="M538" s="14" t="s">
        <v>4616</v>
      </c>
    </row>
    <row r="539" spans="1:13" x14ac:dyDescent="0.3">
      <c r="A539" t="s">
        <v>4617</v>
      </c>
      <c r="B539" t="s">
        <v>4618</v>
      </c>
      <c r="C539" t="s">
        <v>4619</v>
      </c>
      <c r="D539" t="s">
        <v>4305</v>
      </c>
      <c r="E539" t="s">
        <v>4306</v>
      </c>
      <c r="F539" t="s">
        <v>950</v>
      </c>
      <c r="G539" t="s">
        <v>1576</v>
      </c>
      <c r="H539">
        <v>10668</v>
      </c>
      <c r="I539" t="s">
        <v>3982</v>
      </c>
      <c r="J539" t="s">
        <v>4307</v>
      </c>
      <c r="M539" s="14" t="s">
        <v>4620</v>
      </c>
    </row>
    <row r="540" spans="1:13" x14ac:dyDescent="0.3">
      <c r="A540" t="s">
        <v>4621</v>
      </c>
      <c r="B540" t="s">
        <v>4622</v>
      </c>
      <c r="C540" t="s">
        <v>4623</v>
      </c>
      <c r="D540" t="s">
        <v>4305</v>
      </c>
      <c r="E540" t="s">
        <v>4306</v>
      </c>
      <c r="F540" t="s">
        <v>950</v>
      </c>
      <c r="G540" t="s">
        <v>1576</v>
      </c>
      <c r="H540">
        <v>11746</v>
      </c>
      <c r="I540" t="s">
        <v>3982</v>
      </c>
      <c r="J540" t="s">
        <v>4307</v>
      </c>
      <c r="M540" s="14" t="s">
        <v>4624</v>
      </c>
    </row>
    <row r="541" spans="1:13" x14ac:dyDescent="0.3">
      <c r="A541" t="s">
        <v>4625</v>
      </c>
      <c r="B541" t="s">
        <v>4626</v>
      </c>
      <c r="C541" t="s">
        <v>4627</v>
      </c>
      <c r="D541" t="s">
        <v>4305</v>
      </c>
      <c r="E541" t="s">
        <v>4306</v>
      </c>
      <c r="F541" t="s">
        <v>950</v>
      </c>
      <c r="G541" t="s">
        <v>1576</v>
      </c>
      <c r="H541">
        <v>12824</v>
      </c>
      <c r="I541" t="s">
        <v>3982</v>
      </c>
      <c r="J541" t="s">
        <v>4307</v>
      </c>
      <c r="M541" s="14" t="s">
        <v>4628</v>
      </c>
    </row>
    <row r="542" spans="1:13" x14ac:dyDescent="0.3">
      <c r="A542" t="s">
        <v>4629</v>
      </c>
      <c r="B542" t="s">
        <v>4630</v>
      </c>
      <c r="C542" t="s">
        <v>4631</v>
      </c>
      <c r="D542" t="s">
        <v>4305</v>
      </c>
      <c r="E542" t="s">
        <v>4306</v>
      </c>
      <c r="F542" t="s">
        <v>950</v>
      </c>
      <c r="G542" t="s">
        <v>1576</v>
      </c>
      <c r="H542">
        <v>13902</v>
      </c>
      <c r="I542" t="s">
        <v>3982</v>
      </c>
      <c r="J542" t="s">
        <v>4307</v>
      </c>
      <c r="M542" s="14" t="s">
        <v>4632</v>
      </c>
    </row>
    <row r="543" spans="1:13" x14ac:dyDescent="0.3">
      <c r="A543" t="s">
        <v>4633</v>
      </c>
      <c r="B543" t="s">
        <v>4634</v>
      </c>
      <c r="C543" t="s">
        <v>4635</v>
      </c>
      <c r="D543" t="s">
        <v>4305</v>
      </c>
      <c r="E543" t="s">
        <v>4306</v>
      </c>
      <c r="F543" t="s">
        <v>950</v>
      </c>
      <c r="G543" t="s">
        <v>1576</v>
      </c>
      <c r="H543">
        <v>14980</v>
      </c>
      <c r="I543" t="s">
        <v>3982</v>
      </c>
      <c r="J543" t="s">
        <v>4307</v>
      </c>
      <c r="M543" s="14" t="s">
        <v>4636</v>
      </c>
    </row>
    <row r="544" spans="1:13" x14ac:dyDescent="0.3">
      <c r="A544" t="s">
        <v>4637</v>
      </c>
      <c r="B544" t="s">
        <v>4638</v>
      </c>
      <c r="C544" t="s">
        <v>4639</v>
      </c>
      <c r="D544" t="s">
        <v>4305</v>
      </c>
      <c r="E544" t="s">
        <v>4306</v>
      </c>
      <c r="F544" t="s">
        <v>950</v>
      </c>
      <c r="G544" t="s">
        <v>1576</v>
      </c>
      <c r="H544">
        <v>16058</v>
      </c>
      <c r="I544" t="s">
        <v>3982</v>
      </c>
      <c r="J544" t="s">
        <v>4307</v>
      </c>
      <c r="M544" s="14" t="s">
        <v>4640</v>
      </c>
    </row>
    <row r="545" spans="1:13" x14ac:dyDescent="0.3">
      <c r="A545" t="s">
        <v>4641</v>
      </c>
      <c r="B545" t="s">
        <v>4642</v>
      </c>
      <c r="C545" t="s">
        <v>4643</v>
      </c>
      <c r="D545" t="s">
        <v>4305</v>
      </c>
      <c r="E545" t="s">
        <v>4306</v>
      </c>
      <c r="F545" t="s">
        <v>950</v>
      </c>
      <c r="G545" t="s">
        <v>1576</v>
      </c>
      <c r="H545">
        <v>17136</v>
      </c>
      <c r="I545" t="s">
        <v>3982</v>
      </c>
      <c r="J545" t="s">
        <v>4307</v>
      </c>
      <c r="M545" s="14" t="s">
        <v>4644</v>
      </c>
    </row>
    <row r="546" spans="1:13" x14ac:dyDescent="0.3">
      <c r="A546" t="s">
        <v>4645</v>
      </c>
      <c r="B546" t="s">
        <v>4646</v>
      </c>
      <c r="C546" t="s">
        <v>4647</v>
      </c>
      <c r="D546" t="s">
        <v>4305</v>
      </c>
      <c r="E546" t="s">
        <v>4306</v>
      </c>
      <c r="F546" t="s">
        <v>950</v>
      </c>
      <c r="G546" t="s">
        <v>1576</v>
      </c>
      <c r="H546">
        <v>6436</v>
      </c>
      <c r="I546" t="s">
        <v>3982</v>
      </c>
      <c r="J546" t="s">
        <v>4307</v>
      </c>
      <c r="M546" s="14" t="s">
        <v>4648</v>
      </c>
    </row>
    <row r="547" spans="1:13" x14ac:dyDescent="0.3">
      <c r="A547" t="s">
        <v>4649</v>
      </c>
      <c r="B547" t="s">
        <v>4650</v>
      </c>
      <c r="C547" t="s">
        <v>4651</v>
      </c>
      <c r="D547" t="s">
        <v>4305</v>
      </c>
      <c r="E547" t="s">
        <v>4306</v>
      </c>
      <c r="F547" t="s">
        <v>950</v>
      </c>
      <c r="G547" t="s">
        <v>1576</v>
      </c>
      <c r="H547">
        <v>7534</v>
      </c>
      <c r="I547" t="s">
        <v>3982</v>
      </c>
      <c r="J547" t="s">
        <v>4307</v>
      </c>
      <c r="M547" s="14" t="s">
        <v>4652</v>
      </c>
    </row>
    <row r="548" spans="1:13" x14ac:dyDescent="0.3">
      <c r="A548" t="s">
        <v>4653</v>
      </c>
      <c r="B548" t="s">
        <v>4654</v>
      </c>
      <c r="C548" t="s">
        <v>4655</v>
      </c>
      <c r="D548" t="s">
        <v>4305</v>
      </c>
      <c r="E548" t="s">
        <v>4306</v>
      </c>
      <c r="F548" t="s">
        <v>950</v>
      </c>
      <c r="G548" t="s">
        <v>1576</v>
      </c>
      <c r="H548">
        <v>8632</v>
      </c>
      <c r="I548" t="s">
        <v>3982</v>
      </c>
      <c r="J548" t="s">
        <v>4307</v>
      </c>
      <c r="M548" s="14" t="s">
        <v>4656</v>
      </c>
    </row>
    <row r="549" spans="1:13" x14ac:dyDescent="0.3">
      <c r="A549" t="s">
        <v>4657</v>
      </c>
      <c r="B549" t="s">
        <v>4658</v>
      </c>
      <c r="C549" t="s">
        <v>4659</v>
      </c>
      <c r="D549" t="s">
        <v>4305</v>
      </c>
      <c r="E549" t="s">
        <v>4306</v>
      </c>
      <c r="F549" t="s">
        <v>950</v>
      </c>
      <c r="G549" t="s">
        <v>1576</v>
      </c>
      <c r="H549">
        <v>9730</v>
      </c>
      <c r="I549" t="s">
        <v>3982</v>
      </c>
      <c r="J549" t="s">
        <v>4307</v>
      </c>
      <c r="M549" s="14" t="s">
        <v>4660</v>
      </c>
    </row>
    <row r="550" spans="1:13" x14ac:dyDescent="0.3">
      <c r="A550" t="s">
        <v>4661</v>
      </c>
      <c r="B550" t="s">
        <v>4662</v>
      </c>
      <c r="C550" t="s">
        <v>4663</v>
      </c>
      <c r="D550" t="s">
        <v>4305</v>
      </c>
      <c r="E550" t="s">
        <v>4306</v>
      </c>
      <c r="F550" t="s">
        <v>950</v>
      </c>
      <c r="G550" t="s">
        <v>1576</v>
      </c>
      <c r="H550">
        <v>10828</v>
      </c>
      <c r="I550" t="s">
        <v>3982</v>
      </c>
      <c r="J550" t="s">
        <v>4307</v>
      </c>
      <c r="M550" s="14" t="s">
        <v>4664</v>
      </c>
    </row>
    <row r="551" spans="1:13" x14ac:dyDescent="0.3">
      <c r="A551" t="s">
        <v>4665</v>
      </c>
      <c r="B551" t="s">
        <v>4666</v>
      </c>
      <c r="C551" t="s">
        <v>4667</v>
      </c>
      <c r="D551" t="s">
        <v>4305</v>
      </c>
      <c r="E551" t="s">
        <v>4306</v>
      </c>
      <c r="F551" t="s">
        <v>950</v>
      </c>
      <c r="G551" t="s">
        <v>1576</v>
      </c>
      <c r="H551">
        <v>11926</v>
      </c>
      <c r="I551" t="s">
        <v>3982</v>
      </c>
      <c r="J551" t="s">
        <v>4307</v>
      </c>
      <c r="M551" s="14" t="s">
        <v>4668</v>
      </c>
    </row>
    <row r="552" spans="1:13" x14ac:dyDescent="0.3">
      <c r="A552" t="s">
        <v>4669</v>
      </c>
      <c r="B552" t="s">
        <v>4670</v>
      </c>
      <c r="C552" t="s">
        <v>4671</v>
      </c>
      <c r="D552" t="s">
        <v>4305</v>
      </c>
      <c r="E552" t="s">
        <v>4306</v>
      </c>
      <c r="F552" t="s">
        <v>950</v>
      </c>
      <c r="G552" t="s">
        <v>1576</v>
      </c>
      <c r="H552">
        <v>13024</v>
      </c>
      <c r="I552" t="s">
        <v>3982</v>
      </c>
      <c r="J552" t="s">
        <v>4307</v>
      </c>
      <c r="M552" s="14" t="s">
        <v>4672</v>
      </c>
    </row>
    <row r="553" spans="1:13" x14ac:dyDescent="0.3">
      <c r="A553" t="s">
        <v>4673</v>
      </c>
      <c r="B553" t="s">
        <v>4674</v>
      </c>
      <c r="C553" t="s">
        <v>4675</v>
      </c>
      <c r="D553" t="s">
        <v>4305</v>
      </c>
      <c r="E553" t="s">
        <v>4306</v>
      </c>
      <c r="F553" t="s">
        <v>950</v>
      </c>
      <c r="G553" t="s">
        <v>1576</v>
      </c>
      <c r="H553">
        <v>14122</v>
      </c>
      <c r="I553" t="s">
        <v>3982</v>
      </c>
      <c r="J553" t="s">
        <v>4307</v>
      </c>
      <c r="M553" s="14" t="s">
        <v>4676</v>
      </c>
    </row>
    <row r="554" spans="1:13" x14ac:dyDescent="0.3">
      <c r="A554" t="s">
        <v>4677</v>
      </c>
      <c r="B554" t="s">
        <v>4678</v>
      </c>
      <c r="C554" t="s">
        <v>4679</v>
      </c>
      <c r="D554" t="s">
        <v>4305</v>
      </c>
      <c r="E554" t="s">
        <v>4306</v>
      </c>
      <c r="F554" t="s">
        <v>950</v>
      </c>
      <c r="G554" t="s">
        <v>1576</v>
      </c>
      <c r="H554">
        <v>15220</v>
      </c>
      <c r="I554" t="s">
        <v>3982</v>
      </c>
      <c r="J554" t="s">
        <v>4307</v>
      </c>
      <c r="M554" s="14" t="s">
        <v>4680</v>
      </c>
    </row>
    <row r="555" spans="1:13" x14ac:dyDescent="0.3">
      <c r="A555" t="s">
        <v>4681</v>
      </c>
      <c r="B555" t="s">
        <v>4682</v>
      </c>
      <c r="C555" t="s">
        <v>4683</v>
      </c>
      <c r="D555" t="s">
        <v>4305</v>
      </c>
      <c r="E555" t="s">
        <v>4306</v>
      </c>
      <c r="F555" t="s">
        <v>950</v>
      </c>
      <c r="G555" t="s">
        <v>1576</v>
      </c>
      <c r="H555">
        <v>16318</v>
      </c>
      <c r="I555" t="s">
        <v>3982</v>
      </c>
      <c r="J555" t="s">
        <v>4307</v>
      </c>
      <c r="M555" s="14" t="s">
        <v>4684</v>
      </c>
    </row>
    <row r="556" spans="1:13" x14ac:dyDescent="0.3">
      <c r="A556" t="s">
        <v>4685</v>
      </c>
      <c r="B556" t="s">
        <v>4686</v>
      </c>
      <c r="C556" t="s">
        <v>4687</v>
      </c>
      <c r="D556" t="s">
        <v>4305</v>
      </c>
      <c r="E556" t="s">
        <v>4306</v>
      </c>
      <c r="F556" t="s">
        <v>950</v>
      </c>
      <c r="G556" t="s">
        <v>1576</v>
      </c>
      <c r="H556">
        <v>17416</v>
      </c>
      <c r="I556" t="s">
        <v>3982</v>
      </c>
      <c r="J556" t="s">
        <v>4307</v>
      </c>
      <c r="M556" s="14" t="s">
        <v>4688</v>
      </c>
    </row>
    <row r="557" spans="1:13" x14ac:dyDescent="0.3">
      <c r="A557" t="s">
        <v>4689</v>
      </c>
      <c r="B557" t="s">
        <v>4690</v>
      </c>
      <c r="C557" t="s">
        <v>4691</v>
      </c>
      <c r="D557" t="s">
        <v>4305</v>
      </c>
      <c r="E557" t="s">
        <v>4306</v>
      </c>
      <c r="F557" t="s">
        <v>950</v>
      </c>
      <c r="G557" t="s">
        <v>1576</v>
      </c>
      <c r="H557">
        <v>13420</v>
      </c>
      <c r="I557" t="s">
        <v>3982</v>
      </c>
      <c r="J557" t="s">
        <v>4307</v>
      </c>
      <c r="M557" s="14" t="s">
        <v>4692</v>
      </c>
    </row>
    <row r="558" spans="1:13" x14ac:dyDescent="0.3">
      <c r="A558" t="s">
        <v>4693</v>
      </c>
      <c r="B558" t="s">
        <v>4694</v>
      </c>
      <c r="C558" t="s">
        <v>4695</v>
      </c>
      <c r="D558" t="s">
        <v>4305</v>
      </c>
      <c r="E558" t="s">
        <v>4306</v>
      </c>
      <c r="F558" t="s">
        <v>950</v>
      </c>
      <c r="G558" t="s">
        <v>1576</v>
      </c>
      <c r="H558">
        <v>13620</v>
      </c>
      <c r="I558" t="s">
        <v>3982</v>
      </c>
      <c r="J558" t="s">
        <v>4307</v>
      </c>
      <c r="M558" s="14" t="s">
        <v>4696</v>
      </c>
    </row>
    <row r="559" spans="1:13" x14ac:dyDescent="0.3">
      <c r="A559" t="s">
        <v>4697</v>
      </c>
      <c r="B559" t="s">
        <v>4698</v>
      </c>
      <c r="C559" t="s">
        <v>4699</v>
      </c>
      <c r="D559" t="s">
        <v>4305</v>
      </c>
      <c r="E559" t="s">
        <v>4306</v>
      </c>
      <c r="F559" t="s">
        <v>950</v>
      </c>
      <c r="G559" t="s">
        <v>1576</v>
      </c>
      <c r="H559">
        <v>22370</v>
      </c>
      <c r="I559" t="s">
        <v>3982</v>
      </c>
      <c r="J559" t="s">
        <v>4307</v>
      </c>
      <c r="M559" s="14" t="s">
        <v>4700</v>
      </c>
    </row>
    <row r="560" spans="1:13" x14ac:dyDescent="0.3">
      <c r="A560" t="s">
        <v>4701</v>
      </c>
      <c r="B560" t="s">
        <v>4702</v>
      </c>
      <c r="C560" t="s">
        <v>4703</v>
      </c>
      <c r="D560" t="s">
        <v>4305</v>
      </c>
      <c r="E560" t="s">
        <v>4306</v>
      </c>
      <c r="F560" t="s">
        <v>950</v>
      </c>
      <c r="G560" t="s">
        <v>1576</v>
      </c>
      <c r="H560">
        <v>7412</v>
      </c>
      <c r="I560" t="s">
        <v>3982</v>
      </c>
      <c r="J560" t="s">
        <v>4307</v>
      </c>
      <c r="M560" s="14" t="s">
        <v>4704</v>
      </c>
    </row>
    <row r="561" spans="1:13" x14ac:dyDescent="0.3">
      <c r="A561" t="s">
        <v>4705</v>
      </c>
      <c r="B561" t="s">
        <v>4706</v>
      </c>
      <c r="C561" t="s">
        <v>4707</v>
      </c>
      <c r="D561" t="s">
        <v>4305</v>
      </c>
      <c r="E561" t="s">
        <v>4306</v>
      </c>
      <c r="F561" t="s">
        <v>950</v>
      </c>
      <c r="G561" t="s">
        <v>1576</v>
      </c>
      <c r="H561">
        <v>8754</v>
      </c>
      <c r="I561" t="s">
        <v>3982</v>
      </c>
      <c r="J561" t="s">
        <v>4307</v>
      </c>
      <c r="M561" s="14" t="s">
        <v>4708</v>
      </c>
    </row>
    <row r="562" spans="1:13" x14ac:dyDescent="0.3">
      <c r="A562" t="s">
        <v>4709</v>
      </c>
      <c r="B562" t="s">
        <v>4710</v>
      </c>
      <c r="C562" t="s">
        <v>4711</v>
      </c>
      <c r="D562" t="s">
        <v>4305</v>
      </c>
      <c r="E562" t="s">
        <v>4306</v>
      </c>
      <c r="F562" t="s">
        <v>950</v>
      </c>
      <c r="G562" t="s">
        <v>1576</v>
      </c>
      <c r="H562">
        <v>10096</v>
      </c>
      <c r="I562" t="s">
        <v>3982</v>
      </c>
      <c r="J562" t="s">
        <v>4307</v>
      </c>
      <c r="M562" s="14" t="s">
        <v>4712</v>
      </c>
    </row>
    <row r="563" spans="1:13" x14ac:dyDescent="0.3">
      <c r="A563" t="s">
        <v>4713</v>
      </c>
      <c r="B563" t="s">
        <v>4714</v>
      </c>
      <c r="C563" t="s">
        <v>4715</v>
      </c>
      <c r="D563" t="s">
        <v>4305</v>
      </c>
      <c r="E563" t="s">
        <v>4306</v>
      </c>
      <c r="F563" t="s">
        <v>950</v>
      </c>
      <c r="G563" t="s">
        <v>1576</v>
      </c>
      <c r="H563">
        <v>11438</v>
      </c>
      <c r="I563" t="s">
        <v>3982</v>
      </c>
      <c r="J563" t="s">
        <v>4307</v>
      </c>
      <c r="M563" s="14" t="s">
        <v>4716</v>
      </c>
    </row>
    <row r="564" spans="1:13" x14ac:dyDescent="0.3">
      <c r="A564" t="s">
        <v>4717</v>
      </c>
      <c r="B564" t="s">
        <v>4718</v>
      </c>
      <c r="C564" t="s">
        <v>4719</v>
      </c>
      <c r="D564" t="s">
        <v>4305</v>
      </c>
      <c r="E564" t="s">
        <v>4306</v>
      </c>
      <c r="F564" t="s">
        <v>950</v>
      </c>
      <c r="G564" t="s">
        <v>1576</v>
      </c>
      <c r="H564">
        <v>12780</v>
      </c>
      <c r="I564" t="s">
        <v>3982</v>
      </c>
      <c r="J564" t="s">
        <v>4307</v>
      </c>
      <c r="M564" s="14" t="s">
        <v>4720</v>
      </c>
    </row>
    <row r="565" spans="1:13" x14ac:dyDescent="0.3">
      <c r="A565" t="s">
        <v>4721</v>
      </c>
      <c r="B565" t="s">
        <v>4722</v>
      </c>
      <c r="C565" t="s">
        <v>4723</v>
      </c>
      <c r="D565" t="s">
        <v>4305</v>
      </c>
      <c r="E565" t="s">
        <v>4306</v>
      </c>
      <c r="F565" t="s">
        <v>950</v>
      </c>
      <c r="G565" t="s">
        <v>1576</v>
      </c>
      <c r="H565">
        <v>14122</v>
      </c>
      <c r="I565" t="s">
        <v>3982</v>
      </c>
      <c r="J565" t="s">
        <v>4307</v>
      </c>
      <c r="M565" s="14" t="s">
        <v>4724</v>
      </c>
    </row>
    <row r="566" spans="1:13" x14ac:dyDescent="0.3">
      <c r="A566" t="s">
        <v>4725</v>
      </c>
      <c r="B566" t="s">
        <v>4726</v>
      </c>
      <c r="C566" t="s">
        <v>4727</v>
      </c>
      <c r="D566" t="s">
        <v>4305</v>
      </c>
      <c r="E566" t="s">
        <v>4306</v>
      </c>
      <c r="F566" t="s">
        <v>950</v>
      </c>
      <c r="G566" t="s">
        <v>1576</v>
      </c>
      <c r="H566">
        <v>15464</v>
      </c>
      <c r="I566" t="s">
        <v>3982</v>
      </c>
      <c r="J566" t="s">
        <v>4307</v>
      </c>
      <c r="M566" s="14" t="s">
        <v>4728</v>
      </c>
    </row>
    <row r="567" spans="1:13" x14ac:dyDescent="0.3">
      <c r="A567" t="s">
        <v>4729</v>
      </c>
      <c r="B567" t="s">
        <v>4730</v>
      </c>
      <c r="C567" t="s">
        <v>4731</v>
      </c>
      <c r="D567" t="s">
        <v>4305</v>
      </c>
      <c r="E567" t="s">
        <v>4306</v>
      </c>
      <c r="F567" t="s">
        <v>950</v>
      </c>
      <c r="G567" t="s">
        <v>1576</v>
      </c>
      <c r="H567">
        <v>16806</v>
      </c>
      <c r="I567" t="s">
        <v>3982</v>
      </c>
      <c r="J567" t="s">
        <v>4307</v>
      </c>
      <c r="M567" s="14" t="s">
        <v>4732</v>
      </c>
    </row>
    <row r="568" spans="1:13" x14ac:dyDescent="0.3">
      <c r="A568" t="s">
        <v>4733</v>
      </c>
      <c r="B568" t="s">
        <v>4734</v>
      </c>
      <c r="C568" t="s">
        <v>4735</v>
      </c>
      <c r="D568" t="s">
        <v>4305</v>
      </c>
      <c r="E568" t="s">
        <v>4306</v>
      </c>
      <c r="F568" t="s">
        <v>950</v>
      </c>
      <c r="G568" t="s">
        <v>1576</v>
      </c>
      <c r="H568">
        <v>18148</v>
      </c>
      <c r="I568" t="s">
        <v>3982</v>
      </c>
      <c r="J568" t="s">
        <v>4307</v>
      </c>
      <c r="M568" s="14" t="s">
        <v>4736</v>
      </c>
    </row>
    <row r="569" spans="1:13" x14ac:dyDescent="0.3">
      <c r="A569" t="s">
        <v>4737</v>
      </c>
      <c r="B569" t="s">
        <v>4738</v>
      </c>
      <c r="C569" t="s">
        <v>4739</v>
      </c>
      <c r="D569" t="s">
        <v>4305</v>
      </c>
      <c r="E569" t="s">
        <v>4306</v>
      </c>
      <c r="F569" t="s">
        <v>950</v>
      </c>
      <c r="G569" t="s">
        <v>1576</v>
      </c>
      <c r="H569">
        <v>19490</v>
      </c>
      <c r="I569" t="s">
        <v>3982</v>
      </c>
      <c r="J569" t="s">
        <v>4307</v>
      </c>
      <c r="M569" s="14" t="s">
        <v>4740</v>
      </c>
    </row>
    <row r="570" spans="1:13" x14ac:dyDescent="0.3">
      <c r="A570" t="s">
        <v>4741</v>
      </c>
      <c r="B570" t="s">
        <v>4742</v>
      </c>
      <c r="C570" t="s">
        <v>4743</v>
      </c>
      <c r="D570" t="s">
        <v>4305</v>
      </c>
      <c r="E570" t="s">
        <v>4306</v>
      </c>
      <c r="F570" t="s">
        <v>950</v>
      </c>
      <c r="G570" t="s">
        <v>1576</v>
      </c>
      <c r="H570">
        <v>20832</v>
      </c>
      <c r="I570" t="s">
        <v>3982</v>
      </c>
      <c r="J570" t="s">
        <v>4307</v>
      </c>
      <c r="M570" s="14" t="s">
        <v>4744</v>
      </c>
    </row>
    <row r="571" spans="1:13" x14ac:dyDescent="0.3">
      <c r="A571" t="s">
        <v>4745</v>
      </c>
      <c r="B571" t="s">
        <v>4746</v>
      </c>
      <c r="C571" t="s">
        <v>4747</v>
      </c>
      <c r="D571" t="s">
        <v>4305</v>
      </c>
      <c r="E571" t="s">
        <v>4306</v>
      </c>
      <c r="F571" t="s">
        <v>950</v>
      </c>
      <c r="G571" t="s">
        <v>1576</v>
      </c>
      <c r="H571">
        <v>7492</v>
      </c>
      <c r="I571" t="s">
        <v>3982</v>
      </c>
      <c r="J571" t="s">
        <v>4307</v>
      </c>
      <c r="M571" s="14" t="s">
        <v>4748</v>
      </c>
    </row>
    <row r="572" spans="1:13" x14ac:dyDescent="0.3">
      <c r="A572" t="s">
        <v>4749</v>
      </c>
      <c r="B572" t="s">
        <v>4750</v>
      </c>
      <c r="C572" t="s">
        <v>4751</v>
      </c>
      <c r="D572" t="s">
        <v>4305</v>
      </c>
      <c r="E572" t="s">
        <v>4306</v>
      </c>
      <c r="F572" t="s">
        <v>950</v>
      </c>
      <c r="G572" t="s">
        <v>1576</v>
      </c>
      <c r="H572">
        <v>8854</v>
      </c>
      <c r="I572" t="s">
        <v>3982</v>
      </c>
      <c r="J572" t="s">
        <v>4307</v>
      </c>
      <c r="M572" s="14" t="s">
        <v>4752</v>
      </c>
    </row>
    <row r="573" spans="1:13" x14ac:dyDescent="0.3">
      <c r="A573" t="s">
        <v>4753</v>
      </c>
      <c r="B573" t="s">
        <v>4754</v>
      </c>
      <c r="C573" t="s">
        <v>4755</v>
      </c>
      <c r="D573" t="s">
        <v>4305</v>
      </c>
      <c r="E573" t="s">
        <v>4306</v>
      </c>
      <c r="F573" t="s">
        <v>950</v>
      </c>
      <c r="G573" t="s">
        <v>1576</v>
      </c>
      <c r="H573">
        <v>10216</v>
      </c>
      <c r="I573" t="s">
        <v>3982</v>
      </c>
      <c r="J573" t="s">
        <v>4307</v>
      </c>
      <c r="M573" s="14" t="s">
        <v>4756</v>
      </c>
    </row>
    <row r="574" spans="1:13" x14ac:dyDescent="0.3">
      <c r="A574" t="s">
        <v>4757</v>
      </c>
      <c r="B574" t="s">
        <v>4758</v>
      </c>
      <c r="C574" t="s">
        <v>4759</v>
      </c>
      <c r="D574" t="s">
        <v>4305</v>
      </c>
      <c r="E574" t="s">
        <v>4306</v>
      </c>
      <c r="F574" t="s">
        <v>950</v>
      </c>
      <c r="G574" t="s">
        <v>1576</v>
      </c>
      <c r="H574">
        <v>11578</v>
      </c>
      <c r="I574" t="s">
        <v>3982</v>
      </c>
      <c r="J574" t="s">
        <v>4307</v>
      </c>
      <c r="M574" s="14" t="s">
        <v>4760</v>
      </c>
    </row>
    <row r="575" spans="1:13" x14ac:dyDescent="0.3">
      <c r="A575" t="s">
        <v>4761</v>
      </c>
      <c r="B575" t="s">
        <v>4762</v>
      </c>
      <c r="C575" t="s">
        <v>4763</v>
      </c>
      <c r="D575" t="s">
        <v>4305</v>
      </c>
      <c r="E575" t="s">
        <v>4306</v>
      </c>
      <c r="F575" t="s">
        <v>950</v>
      </c>
      <c r="G575" t="s">
        <v>1576</v>
      </c>
      <c r="H575">
        <v>12940</v>
      </c>
      <c r="I575" t="s">
        <v>3982</v>
      </c>
      <c r="J575" t="s">
        <v>4307</v>
      </c>
      <c r="M575" s="14" t="s">
        <v>4764</v>
      </c>
    </row>
    <row r="576" spans="1:13" x14ac:dyDescent="0.3">
      <c r="A576" t="s">
        <v>4765</v>
      </c>
      <c r="B576" t="s">
        <v>4766</v>
      </c>
      <c r="C576" t="s">
        <v>4767</v>
      </c>
      <c r="D576" t="s">
        <v>4305</v>
      </c>
      <c r="E576" t="s">
        <v>4306</v>
      </c>
      <c r="F576" t="s">
        <v>950</v>
      </c>
      <c r="G576" t="s">
        <v>1576</v>
      </c>
      <c r="H576">
        <v>14302</v>
      </c>
      <c r="I576" t="s">
        <v>3982</v>
      </c>
      <c r="J576" t="s">
        <v>4307</v>
      </c>
      <c r="M576" s="14" t="s">
        <v>4768</v>
      </c>
    </row>
    <row r="577" spans="1:13" x14ac:dyDescent="0.3">
      <c r="A577" t="s">
        <v>4769</v>
      </c>
      <c r="B577" t="s">
        <v>4770</v>
      </c>
      <c r="C577" t="s">
        <v>4771</v>
      </c>
      <c r="D577" t="s">
        <v>4305</v>
      </c>
      <c r="E577" t="s">
        <v>4306</v>
      </c>
      <c r="F577" t="s">
        <v>950</v>
      </c>
      <c r="G577" t="s">
        <v>1576</v>
      </c>
      <c r="H577">
        <v>15664</v>
      </c>
      <c r="I577" t="s">
        <v>3982</v>
      </c>
      <c r="J577" t="s">
        <v>4307</v>
      </c>
      <c r="M577" s="14" t="s">
        <v>4772</v>
      </c>
    </row>
    <row r="578" spans="1:13" x14ac:dyDescent="0.3">
      <c r="A578" t="s">
        <v>4773</v>
      </c>
      <c r="B578" t="s">
        <v>4774</v>
      </c>
      <c r="C578" t="s">
        <v>4775</v>
      </c>
      <c r="D578" t="s">
        <v>4305</v>
      </c>
      <c r="E578" t="s">
        <v>4306</v>
      </c>
      <c r="F578" t="s">
        <v>950</v>
      </c>
      <c r="G578" t="s">
        <v>1576</v>
      </c>
      <c r="H578">
        <v>17026</v>
      </c>
      <c r="I578" t="s">
        <v>3982</v>
      </c>
      <c r="J578" t="s">
        <v>4307</v>
      </c>
      <c r="M578" s="14" t="s">
        <v>4776</v>
      </c>
    </row>
    <row r="579" spans="1:13" x14ac:dyDescent="0.3">
      <c r="A579" t="s">
        <v>4777</v>
      </c>
      <c r="B579" t="s">
        <v>4778</v>
      </c>
      <c r="C579" t="s">
        <v>4779</v>
      </c>
      <c r="D579" t="s">
        <v>4305</v>
      </c>
      <c r="E579" t="s">
        <v>4306</v>
      </c>
      <c r="F579" t="s">
        <v>950</v>
      </c>
      <c r="G579" t="s">
        <v>1576</v>
      </c>
      <c r="H579">
        <v>18388</v>
      </c>
      <c r="I579" t="s">
        <v>3982</v>
      </c>
      <c r="J579" t="s">
        <v>4307</v>
      </c>
      <c r="M579" s="14" t="s">
        <v>4780</v>
      </c>
    </row>
    <row r="580" spans="1:13" x14ac:dyDescent="0.3">
      <c r="A580" t="s">
        <v>4781</v>
      </c>
      <c r="B580" t="s">
        <v>4782</v>
      </c>
      <c r="C580" t="s">
        <v>4783</v>
      </c>
      <c r="D580" t="s">
        <v>4305</v>
      </c>
      <c r="E580" t="s">
        <v>4306</v>
      </c>
      <c r="F580" t="s">
        <v>950</v>
      </c>
      <c r="G580" t="s">
        <v>1576</v>
      </c>
      <c r="H580">
        <v>19750</v>
      </c>
      <c r="I580" t="s">
        <v>3982</v>
      </c>
      <c r="J580" t="s">
        <v>4307</v>
      </c>
      <c r="M580" s="14" t="s">
        <v>4784</v>
      </c>
    </row>
    <row r="581" spans="1:13" x14ac:dyDescent="0.3">
      <c r="A581" t="s">
        <v>4785</v>
      </c>
      <c r="B581" t="s">
        <v>4786</v>
      </c>
      <c r="C581" t="s">
        <v>4787</v>
      </c>
      <c r="D581" t="s">
        <v>4305</v>
      </c>
      <c r="E581" t="s">
        <v>4306</v>
      </c>
      <c r="F581" t="s">
        <v>950</v>
      </c>
      <c r="G581" t="s">
        <v>1576</v>
      </c>
      <c r="H581">
        <v>21112</v>
      </c>
      <c r="I581" t="s">
        <v>3982</v>
      </c>
      <c r="J581" t="s">
        <v>4307</v>
      </c>
      <c r="M581" s="14" t="s">
        <v>4788</v>
      </c>
    </row>
    <row r="582" spans="1:13" x14ac:dyDescent="0.3">
      <c r="A582" t="s">
        <v>4789</v>
      </c>
      <c r="B582" t="s">
        <v>4790</v>
      </c>
      <c r="C582" t="s">
        <v>4791</v>
      </c>
      <c r="D582" t="s">
        <v>4305</v>
      </c>
      <c r="E582" t="s">
        <v>4306</v>
      </c>
      <c r="F582" t="s">
        <v>950</v>
      </c>
      <c r="G582" t="s">
        <v>1576</v>
      </c>
      <c r="H582">
        <v>10992</v>
      </c>
      <c r="I582" t="s">
        <v>3982</v>
      </c>
      <c r="J582" t="s">
        <v>4307</v>
      </c>
      <c r="M582" s="14" t="s">
        <v>4792</v>
      </c>
    </row>
    <row r="583" spans="1:13" x14ac:dyDescent="0.3">
      <c r="A583" t="s">
        <v>4793</v>
      </c>
      <c r="B583" t="s">
        <v>4794</v>
      </c>
      <c r="C583" t="s">
        <v>4795</v>
      </c>
      <c r="D583" t="s">
        <v>4305</v>
      </c>
      <c r="E583" t="s">
        <v>4306</v>
      </c>
      <c r="F583" t="s">
        <v>950</v>
      </c>
      <c r="G583" t="s">
        <v>1576</v>
      </c>
      <c r="H583">
        <v>13229</v>
      </c>
      <c r="I583" t="s">
        <v>3982</v>
      </c>
      <c r="J583" t="s">
        <v>4307</v>
      </c>
      <c r="M583" s="14" t="s">
        <v>4796</v>
      </c>
    </row>
    <row r="584" spans="1:13" x14ac:dyDescent="0.3">
      <c r="A584" t="s">
        <v>4797</v>
      </c>
      <c r="B584" t="s">
        <v>4798</v>
      </c>
      <c r="C584" t="s">
        <v>4799</v>
      </c>
      <c r="D584" t="s">
        <v>4305</v>
      </c>
      <c r="E584" t="s">
        <v>4306</v>
      </c>
      <c r="F584" t="s">
        <v>950</v>
      </c>
      <c r="G584" t="s">
        <v>1576</v>
      </c>
      <c r="H584">
        <v>15466</v>
      </c>
      <c r="I584" t="s">
        <v>3982</v>
      </c>
      <c r="J584" t="s">
        <v>4307</v>
      </c>
      <c r="M584" s="14" t="s">
        <v>4800</v>
      </c>
    </row>
    <row r="585" spans="1:13" x14ac:dyDescent="0.3">
      <c r="A585" t="s">
        <v>4801</v>
      </c>
      <c r="B585" t="s">
        <v>4802</v>
      </c>
      <c r="C585" t="s">
        <v>4803</v>
      </c>
      <c r="D585" t="s">
        <v>4305</v>
      </c>
      <c r="E585" t="s">
        <v>4306</v>
      </c>
      <c r="F585" t="s">
        <v>950</v>
      </c>
      <c r="G585" t="s">
        <v>1576</v>
      </c>
      <c r="H585">
        <v>17703</v>
      </c>
      <c r="I585" t="s">
        <v>3982</v>
      </c>
      <c r="J585" t="s">
        <v>4307</v>
      </c>
      <c r="M585" s="14" t="s">
        <v>4804</v>
      </c>
    </row>
    <row r="586" spans="1:13" x14ac:dyDescent="0.3">
      <c r="A586" t="s">
        <v>4805</v>
      </c>
      <c r="B586" t="s">
        <v>4806</v>
      </c>
      <c r="C586" t="s">
        <v>4807</v>
      </c>
      <c r="D586" t="s">
        <v>4305</v>
      </c>
      <c r="E586" t="s">
        <v>4306</v>
      </c>
      <c r="F586" t="s">
        <v>950</v>
      </c>
      <c r="G586" t="s">
        <v>1576</v>
      </c>
      <c r="H586">
        <v>19940</v>
      </c>
      <c r="I586" t="s">
        <v>3982</v>
      </c>
      <c r="J586" t="s">
        <v>4307</v>
      </c>
      <c r="M586" s="14" t="s">
        <v>4808</v>
      </c>
    </row>
    <row r="587" spans="1:13" x14ac:dyDescent="0.3">
      <c r="A587" t="s">
        <v>4809</v>
      </c>
      <c r="B587" t="s">
        <v>4810</v>
      </c>
      <c r="C587" t="s">
        <v>4811</v>
      </c>
      <c r="D587" t="s">
        <v>4305</v>
      </c>
      <c r="E587" t="s">
        <v>4306</v>
      </c>
      <c r="F587" t="s">
        <v>950</v>
      </c>
      <c r="G587" t="s">
        <v>1576</v>
      </c>
      <c r="H587">
        <v>22177</v>
      </c>
      <c r="I587" t="s">
        <v>3982</v>
      </c>
      <c r="J587" t="s">
        <v>4307</v>
      </c>
      <c r="M587" s="14" t="s">
        <v>4812</v>
      </c>
    </row>
    <row r="588" spans="1:13" x14ac:dyDescent="0.3">
      <c r="A588" t="s">
        <v>4813</v>
      </c>
      <c r="B588" t="s">
        <v>4814</v>
      </c>
      <c r="C588" t="s">
        <v>4815</v>
      </c>
      <c r="D588" t="s">
        <v>4305</v>
      </c>
      <c r="E588" t="s">
        <v>4306</v>
      </c>
      <c r="F588" t="s">
        <v>950</v>
      </c>
      <c r="G588" t="s">
        <v>1576</v>
      </c>
      <c r="H588">
        <v>24414</v>
      </c>
      <c r="I588" t="s">
        <v>3982</v>
      </c>
      <c r="J588" t="s">
        <v>4307</v>
      </c>
      <c r="M588" s="14" t="s">
        <v>4816</v>
      </c>
    </row>
    <row r="589" spans="1:13" x14ac:dyDescent="0.3">
      <c r="A589" t="s">
        <v>4817</v>
      </c>
      <c r="B589" t="s">
        <v>4818</v>
      </c>
      <c r="C589" t="s">
        <v>4819</v>
      </c>
      <c r="D589" t="s">
        <v>4305</v>
      </c>
      <c r="E589" t="s">
        <v>4306</v>
      </c>
      <c r="F589" t="s">
        <v>950</v>
      </c>
      <c r="G589" t="s">
        <v>1576</v>
      </c>
      <c r="H589">
        <v>26651</v>
      </c>
      <c r="I589" t="s">
        <v>3982</v>
      </c>
      <c r="J589" t="s">
        <v>4307</v>
      </c>
      <c r="M589" s="14" t="s">
        <v>4820</v>
      </c>
    </row>
    <row r="590" spans="1:13" x14ac:dyDescent="0.3">
      <c r="A590" t="s">
        <v>4821</v>
      </c>
      <c r="B590" t="s">
        <v>4822</v>
      </c>
      <c r="C590" t="s">
        <v>4823</v>
      </c>
      <c r="D590" t="s">
        <v>4305</v>
      </c>
      <c r="E590" t="s">
        <v>4306</v>
      </c>
      <c r="F590" t="s">
        <v>950</v>
      </c>
      <c r="G590" t="s">
        <v>1576</v>
      </c>
      <c r="H590">
        <v>28888</v>
      </c>
      <c r="I590" t="s">
        <v>3982</v>
      </c>
      <c r="J590" t="s">
        <v>4307</v>
      </c>
      <c r="M590" s="14" t="s">
        <v>4824</v>
      </c>
    </row>
    <row r="591" spans="1:13" x14ac:dyDescent="0.3">
      <c r="A591" t="s">
        <v>4825</v>
      </c>
      <c r="B591" t="s">
        <v>4826</v>
      </c>
      <c r="C591" t="s">
        <v>4827</v>
      </c>
      <c r="D591" t="s">
        <v>4305</v>
      </c>
      <c r="E591" t="s">
        <v>4306</v>
      </c>
      <c r="F591" t="s">
        <v>950</v>
      </c>
      <c r="G591" t="s">
        <v>1576</v>
      </c>
      <c r="H591">
        <v>31125</v>
      </c>
      <c r="I591" t="s">
        <v>3982</v>
      </c>
      <c r="J591" t="s">
        <v>4307</v>
      </c>
      <c r="M591" s="14" t="s">
        <v>4828</v>
      </c>
    </row>
    <row r="592" spans="1:13" x14ac:dyDescent="0.3">
      <c r="A592" t="s">
        <v>4829</v>
      </c>
      <c r="B592" t="s">
        <v>4830</v>
      </c>
      <c r="C592" t="s">
        <v>4831</v>
      </c>
      <c r="D592" t="s">
        <v>4305</v>
      </c>
      <c r="E592" t="s">
        <v>4306</v>
      </c>
      <c r="F592" t="s">
        <v>950</v>
      </c>
      <c r="G592" t="s">
        <v>1576</v>
      </c>
      <c r="H592">
        <v>33362</v>
      </c>
      <c r="I592" t="s">
        <v>3982</v>
      </c>
      <c r="J592" t="s">
        <v>4307</v>
      </c>
      <c r="M592" s="14" t="s">
        <v>4832</v>
      </c>
    </row>
    <row r="593" spans="1:13" x14ac:dyDescent="0.3">
      <c r="A593" t="s">
        <v>4833</v>
      </c>
      <c r="B593" t="s">
        <v>4834</v>
      </c>
      <c r="C593" t="s">
        <v>4835</v>
      </c>
      <c r="D593" t="s">
        <v>4305</v>
      </c>
      <c r="E593" t="s">
        <v>4306</v>
      </c>
      <c r="F593" t="s">
        <v>950</v>
      </c>
      <c r="G593" t="s">
        <v>1576</v>
      </c>
      <c r="H593">
        <v>12830.5</v>
      </c>
      <c r="I593" t="s">
        <v>3982</v>
      </c>
      <c r="J593" t="s">
        <v>4307</v>
      </c>
      <c r="M593" s="14" t="s">
        <v>4836</v>
      </c>
    </row>
    <row r="594" spans="1:13" x14ac:dyDescent="0.3">
      <c r="A594" t="s">
        <v>4837</v>
      </c>
      <c r="B594" t="s">
        <v>4838</v>
      </c>
      <c r="C594" t="s">
        <v>4839</v>
      </c>
      <c r="D594" t="s">
        <v>4305</v>
      </c>
      <c r="E594" t="s">
        <v>4306</v>
      </c>
      <c r="F594" t="s">
        <v>950</v>
      </c>
      <c r="G594" t="s">
        <v>1576</v>
      </c>
      <c r="H594">
        <v>25332.7</v>
      </c>
      <c r="I594" t="s">
        <v>3982</v>
      </c>
      <c r="J594" t="s">
        <v>4307</v>
      </c>
      <c r="M594" s="14" t="s">
        <v>4840</v>
      </c>
    </row>
    <row r="595" spans="1:13" x14ac:dyDescent="0.3">
      <c r="A595" t="s">
        <v>4841</v>
      </c>
      <c r="B595" t="s">
        <v>4842</v>
      </c>
      <c r="C595" t="s">
        <v>4843</v>
      </c>
      <c r="D595" t="s">
        <v>4305</v>
      </c>
      <c r="E595" t="s">
        <v>4306</v>
      </c>
      <c r="F595" t="s">
        <v>950</v>
      </c>
      <c r="G595" t="s">
        <v>1576</v>
      </c>
      <c r="H595">
        <v>15302.8</v>
      </c>
      <c r="I595" t="s">
        <v>3982</v>
      </c>
      <c r="J595" t="s">
        <v>4307</v>
      </c>
      <c r="M595" s="14" t="s">
        <v>4844</v>
      </c>
    </row>
    <row r="596" spans="1:13" x14ac:dyDescent="0.3">
      <c r="A596" t="s">
        <v>4845</v>
      </c>
      <c r="B596" t="s">
        <v>4846</v>
      </c>
      <c r="C596" t="s">
        <v>4847</v>
      </c>
      <c r="D596" t="s">
        <v>4305</v>
      </c>
      <c r="E596" t="s">
        <v>4306</v>
      </c>
      <c r="F596" t="s">
        <v>950</v>
      </c>
      <c r="G596" t="s">
        <v>1576</v>
      </c>
      <c r="H596">
        <v>1187.5</v>
      </c>
      <c r="I596" t="s">
        <v>3982</v>
      </c>
      <c r="J596" t="s">
        <v>4307</v>
      </c>
      <c r="M596" s="14" t="s">
        <v>4848</v>
      </c>
    </row>
    <row r="597" spans="1:13" x14ac:dyDescent="0.3">
      <c r="A597" t="s">
        <v>4849</v>
      </c>
      <c r="B597" t="s">
        <v>4850</v>
      </c>
      <c r="C597" t="s">
        <v>4851</v>
      </c>
      <c r="D597" t="s">
        <v>4305</v>
      </c>
      <c r="E597" t="s">
        <v>4306</v>
      </c>
      <c r="F597" t="s">
        <v>950</v>
      </c>
      <c r="G597" t="s">
        <v>1576</v>
      </c>
      <c r="H597">
        <v>597</v>
      </c>
      <c r="I597" t="s">
        <v>3982</v>
      </c>
      <c r="J597" t="s">
        <v>4307</v>
      </c>
      <c r="M597" s="14" t="s">
        <v>4852</v>
      </c>
    </row>
    <row r="598" spans="1:13" x14ac:dyDescent="0.3">
      <c r="A598" t="s">
        <v>4853</v>
      </c>
      <c r="B598" t="s">
        <v>4854</v>
      </c>
      <c r="C598" t="s">
        <v>4855</v>
      </c>
      <c r="D598" t="s">
        <v>4305</v>
      </c>
      <c r="E598" t="s">
        <v>4306</v>
      </c>
      <c r="F598" t="s">
        <v>950</v>
      </c>
      <c r="G598" t="s">
        <v>1582</v>
      </c>
      <c r="H598">
        <v>679</v>
      </c>
      <c r="I598" t="s">
        <v>3982</v>
      </c>
      <c r="M598" s="14" t="s">
        <v>4856</v>
      </c>
    </row>
    <row r="599" spans="1:13" x14ac:dyDescent="0.3">
      <c r="A599" t="s">
        <v>4857</v>
      </c>
      <c r="B599" t="s">
        <v>4858</v>
      </c>
      <c r="C599" t="s">
        <v>4859</v>
      </c>
      <c r="D599" t="s">
        <v>4305</v>
      </c>
      <c r="E599" t="s">
        <v>4306</v>
      </c>
      <c r="F599" t="s">
        <v>950</v>
      </c>
      <c r="G599" t="s">
        <v>1582</v>
      </c>
      <c r="H599">
        <v>649</v>
      </c>
      <c r="I599" t="s">
        <v>3982</v>
      </c>
      <c r="M599" s="14" t="s">
        <v>4860</v>
      </c>
    </row>
    <row r="600" spans="1:13" x14ac:dyDescent="0.3">
      <c r="A600" t="s">
        <v>4861</v>
      </c>
      <c r="B600" t="s">
        <v>4862</v>
      </c>
      <c r="C600" t="s">
        <v>4863</v>
      </c>
      <c r="D600" t="s">
        <v>4305</v>
      </c>
      <c r="E600" t="s">
        <v>4306</v>
      </c>
      <c r="F600" t="s">
        <v>2604</v>
      </c>
      <c r="G600" t="s">
        <v>1582</v>
      </c>
      <c r="H600">
        <v>1231</v>
      </c>
      <c r="I600" t="s">
        <v>3982</v>
      </c>
      <c r="M600" s="14" t="s">
        <v>4864</v>
      </c>
    </row>
    <row r="601" spans="1:13" x14ac:dyDescent="0.3">
      <c r="A601" t="s">
        <v>4865</v>
      </c>
      <c r="B601" t="s">
        <v>4866</v>
      </c>
      <c r="C601" t="s">
        <v>4867</v>
      </c>
      <c r="D601" t="s">
        <v>4305</v>
      </c>
      <c r="E601" t="s">
        <v>4306</v>
      </c>
      <c r="F601" t="s">
        <v>2604</v>
      </c>
      <c r="G601" t="s">
        <v>1582</v>
      </c>
      <c r="H601">
        <v>520</v>
      </c>
      <c r="I601" t="s">
        <v>3982</v>
      </c>
      <c r="M601" s="14" t="s">
        <v>4868</v>
      </c>
    </row>
    <row r="602" spans="1:13" x14ac:dyDescent="0.3">
      <c r="A602" t="s">
        <v>4869</v>
      </c>
      <c r="B602" t="s">
        <v>4870</v>
      </c>
      <c r="C602" t="s">
        <v>4871</v>
      </c>
      <c r="D602" t="s">
        <v>4305</v>
      </c>
      <c r="E602" t="s">
        <v>4306</v>
      </c>
      <c r="F602" t="s">
        <v>950</v>
      </c>
      <c r="G602" t="s">
        <v>1582</v>
      </c>
      <c r="H602">
        <v>939</v>
      </c>
      <c r="I602" t="s">
        <v>3982</v>
      </c>
      <c r="M602" s="14" t="s">
        <v>4872</v>
      </c>
    </row>
    <row r="603" spans="1:13" x14ac:dyDescent="0.3">
      <c r="A603" t="s">
        <v>4873</v>
      </c>
      <c r="B603" t="s">
        <v>4874</v>
      </c>
      <c r="C603" t="s">
        <v>4875</v>
      </c>
      <c r="D603" t="s">
        <v>4305</v>
      </c>
      <c r="E603" t="s">
        <v>4306</v>
      </c>
      <c r="F603" t="s">
        <v>950</v>
      </c>
      <c r="G603" t="s">
        <v>1582</v>
      </c>
      <c r="H603">
        <v>961</v>
      </c>
      <c r="I603" t="s">
        <v>3982</v>
      </c>
      <c r="M603" s="14" t="s">
        <v>4876</v>
      </c>
    </row>
    <row r="604" spans="1:13" x14ac:dyDescent="0.3">
      <c r="A604" t="s">
        <v>4877</v>
      </c>
      <c r="B604" t="s">
        <v>4878</v>
      </c>
      <c r="C604" t="s">
        <v>4879</v>
      </c>
      <c r="D604" t="s">
        <v>4305</v>
      </c>
      <c r="E604" t="s">
        <v>4306</v>
      </c>
      <c r="F604" t="s">
        <v>950</v>
      </c>
      <c r="G604" t="s">
        <v>1582</v>
      </c>
      <c r="H604">
        <v>1374</v>
      </c>
      <c r="I604" t="s">
        <v>3982</v>
      </c>
      <c r="M604" s="14" t="s">
        <v>4880</v>
      </c>
    </row>
    <row r="605" spans="1:13" x14ac:dyDescent="0.3">
      <c r="A605" t="s">
        <v>4881</v>
      </c>
      <c r="B605" t="s">
        <v>4882</v>
      </c>
      <c r="C605" t="s">
        <v>4883</v>
      </c>
      <c r="D605" t="s">
        <v>4305</v>
      </c>
      <c r="E605" t="s">
        <v>4306</v>
      </c>
      <c r="F605" t="s">
        <v>950</v>
      </c>
      <c r="G605" t="s">
        <v>1582</v>
      </c>
      <c r="H605">
        <v>1317</v>
      </c>
      <c r="I605" t="s">
        <v>3982</v>
      </c>
      <c r="M605" s="14" t="s">
        <v>4884</v>
      </c>
    </row>
    <row r="606" spans="1:13" x14ac:dyDescent="0.3">
      <c r="A606" t="s">
        <v>4885</v>
      </c>
      <c r="B606" t="s">
        <v>4886</v>
      </c>
      <c r="C606" t="s">
        <v>4887</v>
      </c>
      <c r="D606" t="s">
        <v>4305</v>
      </c>
      <c r="E606" t="s">
        <v>4306</v>
      </c>
      <c r="F606" t="s">
        <v>950</v>
      </c>
      <c r="G606" t="s">
        <v>1582</v>
      </c>
      <c r="H606">
        <v>19.25</v>
      </c>
      <c r="I606" t="s">
        <v>3982</v>
      </c>
      <c r="M606" s="14" t="s">
        <v>4888</v>
      </c>
    </row>
    <row r="607" spans="1:13" x14ac:dyDescent="0.3">
      <c r="A607" t="s">
        <v>4889</v>
      </c>
      <c r="B607" t="s">
        <v>4890</v>
      </c>
      <c r="C607" t="s">
        <v>4891</v>
      </c>
      <c r="D607" t="s">
        <v>4305</v>
      </c>
      <c r="E607" t="s">
        <v>4306</v>
      </c>
      <c r="F607" t="s">
        <v>950</v>
      </c>
      <c r="G607" t="s">
        <v>1582</v>
      </c>
      <c r="H607">
        <v>30.6</v>
      </c>
      <c r="I607" t="s">
        <v>3982</v>
      </c>
      <c r="M607" s="14" t="s">
        <v>4892</v>
      </c>
    </row>
    <row r="608" spans="1:13" x14ac:dyDescent="0.3">
      <c r="A608" t="s">
        <v>4893</v>
      </c>
      <c r="B608" t="s">
        <v>4894</v>
      </c>
      <c r="C608" t="s">
        <v>4895</v>
      </c>
      <c r="D608" t="s">
        <v>4305</v>
      </c>
      <c r="E608" t="s">
        <v>4306</v>
      </c>
      <c r="F608" t="s">
        <v>950</v>
      </c>
      <c r="G608" t="s">
        <v>1582</v>
      </c>
      <c r="H608">
        <v>35.700000000000003</v>
      </c>
      <c r="I608" t="s">
        <v>3982</v>
      </c>
      <c r="M608" s="14" t="s">
        <v>4896</v>
      </c>
    </row>
    <row r="609" spans="1:13" x14ac:dyDescent="0.3">
      <c r="A609" t="s">
        <v>4897</v>
      </c>
      <c r="B609" t="s">
        <v>4898</v>
      </c>
      <c r="C609" t="s">
        <v>4899</v>
      </c>
      <c r="D609" t="s">
        <v>4305</v>
      </c>
      <c r="E609" t="s">
        <v>4306</v>
      </c>
      <c r="F609" t="s">
        <v>950</v>
      </c>
      <c r="G609" t="s">
        <v>1582</v>
      </c>
      <c r="H609">
        <v>36</v>
      </c>
      <c r="I609" t="s">
        <v>3982</v>
      </c>
      <c r="M609" s="14" t="s">
        <v>4900</v>
      </c>
    </row>
    <row r="610" spans="1:13" x14ac:dyDescent="0.3">
      <c r="A610" t="s">
        <v>4901</v>
      </c>
      <c r="B610" t="s">
        <v>4902</v>
      </c>
      <c r="C610" t="s">
        <v>4903</v>
      </c>
      <c r="D610" t="s">
        <v>4305</v>
      </c>
      <c r="E610" t="s">
        <v>4306</v>
      </c>
      <c r="F610" t="s">
        <v>950</v>
      </c>
      <c r="G610" t="s">
        <v>1582</v>
      </c>
      <c r="H610">
        <v>23.76</v>
      </c>
      <c r="I610" t="s">
        <v>3982</v>
      </c>
      <c r="M610" s="14" t="s">
        <v>4904</v>
      </c>
    </row>
    <row r="611" spans="1:13" x14ac:dyDescent="0.3">
      <c r="A611" t="s">
        <v>4905</v>
      </c>
      <c r="B611" t="s">
        <v>4906</v>
      </c>
      <c r="C611" t="s">
        <v>4907</v>
      </c>
      <c r="D611" t="s">
        <v>4305</v>
      </c>
      <c r="E611" t="s">
        <v>4306</v>
      </c>
      <c r="F611" t="s">
        <v>950</v>
      </c>
      <c r="G611" t="s">
        <v>1582</v>
      </c>
      <c r="H611">
        <v>36.119999999999997</v>
      </c>
      <c r="I611" t="s">
        <v>3982</v>
      </c>
      <c r="M611" s="14" t="s">
        <v>4908</v>
      </c>
    </row>
    <row r="612" spans="1:13" x14ac:dyDescent="0.3">
      <c r="A612" t="s">
        <v>4909</v>
      </c>
      <c r="B612" t="s">
        <v>4910</v>
      </c>
      <c r="C612" t="s">
        <v>4911</v>
      </c>
      <c r="D612" t="s">
        <v>4305</v>
      </c>
      <c r="E612" t="s">
        <v>4306</v>
      </c>
      <c r="F612" t="s">
        <v>950</v>
      </c>
      <c r="G612" t="s">
        <v>1582</v>
      </c>
      <c r="H612">
        <v>381.6</v>
      </c>
      <c r="I612" t="s">
        <v>3982</v>
      </c>
      <c r="M612" s="14" t="s">
        <v>4912</v>
      </c>
    </row>
    <row r="613" spans="1:13" x14ac:dyDescent="0.3">
      <c r="A613" t="s">
        <v>4913</v>
      </c>
      <c r="B613" t="s">
        <v>4914</v>
      </c>
      <c r="C613" t="s">
        <v>4915</v>
      </c>
      <c r="D613" t="s">
        <v>4916</v>
      </c>
      <c r="E613" t="s">
        <v>4917</v>
      </c>
      <c r="F613" t="s">
        <v>950</v>
      </c>
      <c r="G613" t="s">
        <v>2081</v>
      </c>
      <c r="H613">
        <v>19816.22</v>
      </c>
      <c r="I613" t="s">
        <v>3982</v>
      </c>
      <c r="M613" s="14" t="s">
        <v>4918</v>
      </c>
    </row>
    <row r="614" spans="1:13" x14ac:dyDescent="0.3">
      <c r="A614" t="s">
        <v>4919</v>
      </c>
      <c r="B614" t="s">
        <v>4920</v>
      </c>
      <c r="C614" t="s">
        <v>4921</v>
      </c>
      <c r="D614" t="s">
        <v>4916</v>
      </c>
      <c r="E614" t="s">
        <v>4917</v>
      </c>
      <c r="F614" t="s">
        <v>950</v>
      </c>
      <c r="G614" t="s">
        <v>2081</v>
      </c>
      <c r="H614">
        <v>19816.22</v>
      </c>
      <c r="I614" t="s">
        <v>3982</v>
      </c>
      <c r="M614" s="14" t="s">
        <v>4922</v>
      </c>
    </row>
    <row r="615" spans="1:13" x14ac:dyDescent="0.3">
      <c r="A615" t="s">
        <v>4923</v>
      </c>
      <c r="B615" t="s">
        <v>4924</v>
      </c>
      <c r="C615" t="s">
        <v>4925</v>
      </c>
      <c r="D615" t="s">
        <v>4916</v>
      </c>
      <c r="E615" t="s">
        <v>4917</v>
      </c>
      <c r="F615" t="s">
        <v>950</v>
      </c>
      <c r="G615" t="s">
        <v>2081</v>
      </c>
      <c r="H615">
        <v>20358.990000000002</v>
      </c>
      <c r="I615" t="s">
        <v>3982</v>
      </c>
      <c r="M615" s="14" t="s">
        <v>4926</v>
      </c>
    </row>
    <row r="616" spans="1:13" x14ac:dyDescent="0.3">
      <c r="A616" t="s">
        <v>4927</v>
      </c>
      <c r="B616" t="s">
        <v>4928</v>
      </c>
      <c r="C616" t="s">
        <v>4929</v>
      </c>
      <c r="D616" t="s">
        <v>4916</v>
      </c>
      <c r="E616" t="s">
        <v>4917</v>
      </c>
      <c r="F616" t="s">
        <v>950</v>
      </c>
      <c r="G616" t="s">
        <v>2081</v>
      </c>
      <c r="H616">
        <v>20358.990000000002</v>
      </c>
      <c r="I616" t="s">
        <v>3982</v>
      </c>
      <c r="M616" s="14" t="s">
        <v>4930</v>
      </c>
    </row>
    <row r="617" spans="1:13" x14ac:dyDescent="0.3">
      <c r="A617" t="s">
        <v>4931</v>
      </c>
      <c r="B617" t="s">
        <v>4932</v>
      </c>
      <c r="C617" t="s">
        <v>4933</v>
      </c>
      <c r="D617" t="s">
        <v>4916</v>
      </c>
      <c r="E617" t="s">
        <v>4917</v>
      </c>
      <c r="F617" t="s">
        <v>950</v>
      </c>
      <c r="G617" t="s">
        <v>2081</v>
      </c>
      <c r="H617">
        <v>24141.439999999999</v>
      </c>
      <c r="I617" t="s">
        <v>3982</v>
      </c>
      <c r="M617" s="14" t="s">
        <v>4934</v>
      </c>
    </row>
    <row r="618" spans="1:13" x14ac:dyDescent="0.3">
      <c r="A618" t="s">
        <v>4935</v>
      </c>
      <c r="B618" t="s">
        <v>4936</v>
      </c>
      <c r="C618" t="s">
        <v>4937</v>
      </c>
      <c r="D618" t="s">
        <v>4916</v>
      </c>
      <c r="E618" t="s">
        <v>4917</v>
      </c>
      <c r="F618" t="s">
        <v>950</v>
      </c>
      <c r="G618" t="s">
        <v>2081</v>
      </c>
      <c r="H618">
        <v>24141.439999999999</v>
      </c>
      <c r="I618" t="s">
        <v>3982</v>
      </c>
      <c r="M618" s="14" t="s">
        <v>4938</v>
      </c>
    </row>
    <row r="619" spans="1:13" x14ac:dyDescent="0.3">
      <c r="A619" t="s">
        <v>4939</v>
      </c>
      <c r="B619" t="s">
        <v>4940</v>
      </c>
      <c r="C619" t="s">
        <v>4941</v>
      </c>
      <c r="D619" t="s">
        <v>4916</v>
      </c>
      <c r="E619" t="s">
        <v>4917</v>
      </c>
      <c r="F619" t="s">
        <v>950</v>
      </c>
      <c r="G619" t="s">
        <v>2081</v>
      </c>
      <c r="H619">
        <v>38375.269999999997</v>
      </c>
      <c r="I619" t="s">
        <v>3982</v>
      </c>
      <c r="M619" s="14" t="s">
        <v>4942</v>
      </c>
    </row>
    <row r="620" spans="1:13" x14ac:dyDescent="0.3">
      <c r="A620" t="s">
        <v>4943</v>
      </c>
      <c r="B620" t="s">
        <v>2347</v>
      </c>
      <c r="C620" t="s">
        <v>4944</v>
      </c>
      <c r="D620" t="s">
        <v>4916</v>
      </c>
      <c r="E620" t="s">
        <v>4917</v>
      </c>
      <c r="F620" t="s">
        <v>950</v>
      </c>
      <c r="G620" t="s">
        <v>2081</v>
      </c>
      <c r="H620">
        <v>963.47</v>
      </c>
      <c r="I620" t="s">
        <v>3982</v>
      </c>
      <c r="M620" s="14" t="s">
        <v>4945</v>
      </c>
    </row>
    <row r="621" spans="1:13" x14ac:dyDescent="0.3">
      <c r="A621" t="s">
        <v>4946</v>
      </c>
      <c r="B621" t="s">
        <v>2247</v>
      </c>
      <c r="C621" t="s">
        <v>4947</v>
      </c>
      <c r="D621" t="s">
        <v>4916</v>
      </c>
      <c r="E621" t="s">
        <v>4917</v>
      </c>
      <c r="F621" t="s">
        <v>950</v>
      </c>
      <c r="G621" t="s">
        <v>2081</v>
      </c>
      <c r="H621">
        <v>33581.71</v>
      </c>
      <c r="I621" t="s">
        <v>3982</v>
      </c>
      <c r="M621" s="14" t="s">
        <v>4948</v>
      </c>
    </row>
    <row r="622" spans="1:13" x14ac:dyDescent="0.3">
      <c r="A622" t="s">
        <v>4949</v>
      </c>
      <c r="B622" t="s">
        <v>4950</v>
      </c>
      <c r="C622" t="s">
        <v>4951</v>
      </c>
      <c r="D622" t="s">
        <v>4916</v>
      </c>
      <c r="E622" t="s">
        <v>4917</v>
      </c>
      <c r="F622" t="s">
        <v>950</v>
      </c>
      <c r="G622" t="s">
        <v>2081</v>
      </c>
      <c r="H622">
        <v>19094.86</v>
      </c>
      <c r="I622" t="s">
        <v>3982</v>
      </c>
      <c r="M622" s="14" t="s">
        <v>4952</v>
      </c>
    </row>
    <row r="623" spans="1:13" x14ac:dyDescent="0.3">
      <c r="A623" t="s">
        <v>4953</v>
      </c>
      <c r="B623" t="s">
        <v>4954</v>
      </c>
      <c r="C623" t="s">
        <v>4955</v>
      </c>
      <c r="D623" t="s">
        <v>4916</v>
      </c>
      <c r="E623" t="s">
        <v>4917</v>
      </c>
      <c r="F623" t="s">
        <v>950</v>
      </c>
      <c r="G623" t="s">
        <v>2081</v>
      </c>
      <c r="H623">
        <v>36939.480000000003</v>
      </c>
      <c r="I623" t="s">
        <v>3982</v>
      </c>
      <c r="M623" s="14" t="s">
        <v>4956</v>
      </c>
    </row>
    <row r="624" spans="1:13" x14ac:dyDescent="0.3">
      <c r="A624" t="s">
        <v>4957</v>
      </c>
      <c r="B624" t="s">
        <v>4958</v>
      </c>
      <c r="C624" t="s">
        <v>4959</v>
      </c>
      <c r="D624" t="s">
        <v>4916</v>
      </c>
      <c r="E624" t="s">
        <v>4917</v>
      </c>
      <c r="F624" t="s">
        <v>950</v>
      </c>
      <c r="G624" t="s">
        <v>2081</v>
      </c>
      <c r="H624">
        <v>12073.7</v>
      </c>
      <c r="I624" t="s">
        <v>3982</v>
      </c>
      <c r="M624" s="14" t="s">
        <v>4960</v>
      </c>
    </row>
    <row r="625" spans="1:13" x14ac:dyDescent="0.3">
      <c r="A625" t="s">
        <v>4961</v>
      </c>
      <c r="B625" t="s">
        <v>4962</v>
      </c>
      <c r="C625" t="s">
        <v>4963</v>
      </c>
      <c r="D625" t="s">
        <v>4916</v>
      </c>
      <c r="E625" t="s">
        <v>4917</v>
      </c>
      <c r="F625" t="s">
        <v>950</v>
      </c>
      <c r="G625" t="s">
        <v>2081</v>
      </c>
      <c r="H625">
        <v>12073.98</v>
      </c>
      <c r="I625" t="s">
        <v>3982</v>
      </c>
      <c r="M625" s="14" t="s">
        <v>4964</v>
      </c>
    </row>
    <row r="626" spans="1:13" x14ac:dyDescent="0.3">
      <c r="A626" t="s">
        <v>4965</v>
      </c>
      <c r="B626" t="s">
        <v>4966</v>
      </c>
      <c r="C626" t="s">
        <v>4967</v>
      </c>
      <c r="D626" t="s">
        <v>4916</v>
      </c>
      <c r="E626" t="s">
        <v>4917</v>
      </c>
      <c r="F626" t="s">
        <v>950</v>
      </c>
      <c r="G626" t="s">
        <v>2081</v>
      </c>
      <c r="H626">
        <v>7766.21</v>
      </c>
      <c r="I626" t="s">
        <v>3982</v>
      </c>
      <c r="M626" s="14" t="s">
        <v>4968</v>
      </c>
    </row>
    <row r="627" spans="1:13" x14ac:dyDescent="0.3">
      <c r="A627" t="s">
        <v>4969</v>
      </c>
      <c r="B627" t="s">
        <v>4970</v>
      </c>
      <c r="C627" t="s">
        <v>4971</v>
      </c>
      <c r="D627" t="s">
        <v>4916</v>
      </c>
      <c r="E627" t="s">
        <v>4917</v>
      </c>
      <c r="F627" t="s">
        <v>950</v>
      </c>
      <c r="G627" t="s">
        <v>2081</v>
      </c>
      <c r="H627">
        <v>8530.7900000000009</v>
      </c>
      <c r="I627" t="s">
        <v>3982</v>
      </c>
      <c r="M627" s="14" t="s">
        <v>4972</v>
      </c>
    </row>
    <row r="628" spans="1:13" x14ac:dyDescent="0.3">
      <c r="A628" t="s">
        <v>4973</v>
      </c>
      <c r="B628" t="s">
        <v>4974</v>
      </c>
      <c r="D628" t="s">
        <v>4975</v>
      </c>
      <c r="E628" t="s">
        <v>4976</v>
      </c>
      <c r="F628" t="s">
        <v>950</v>
      </c>
      <c r="G628" t="s">
        <v>2081</v>
      </c>
      <c r="H628">
        <v>2671.12</v>
      </c>
      <c r="I628" t="s">
        <v>3982</v>
      </c>
      <c r="M628" s="14" t="s">
        <v>4977</v>
      </c>
    </row>
    <row r="629" spans="1:13" x14ac:dyDescent="0.3">
      <c r="A629" t="s">
        <v>4978</v>
      </c>
      <c r="B629" t="s">
        <v>4979</v>
      </c>
      <c r="D629" t="s">
        <v>4975</v>
      </c>
      <c r="E629" t="s">
        <v>4976</v>
      </c>
      <c r="F629" t="s">
        <v>950</v>
      </c>
      <c r="G629" t="s">
        <v>2081</v>
      </c>
      <c r="H629">
        <v>3421.85</v>
      </c>
      <c r="I629" t="s">
        <v>3982</v>
      </c>
      <c r="M629" s="14" t="s">
        <v>4980</v>
      </c>
    </row>
    <row r="630" spans="1:13" x14ac:dyDescent="0.3">
      <c r="A630" t="s">
        <v>4981</v>
      </c>
      <c r="B630" t="s">
        <v>4982</v>
      </c>
      <c r="D630" t="s">
        <v>4975</v>
      </c>
      <c r="E630" t="s">
        <v>4976</v>
      </c>
      <c r="F630" t="s">
        <v>950</v>
      </c>
      <c r="G630" t="s">
        <v>2081</v>
      </c>
      <c r="H630">
        <v>5283.02</v>
      </c>
      <c r="I630" t="s">
        <v>3982</v>
      </c>
      <c r="M630" s="14" t="s">
        <v>4983</v>
      </c>
    </row>
    <row r="631" spans="1:13" x14ac:dyDescent="0.3">
      <c r="A631" t="s">
        <v>4984</v>
      </c>
      <c r="B631" t="s">
        <v>4985</v>
      </c>
      <c r="D631" t="s">
        <v>4975</v>
      </c>
      <c r="E631" t="s">
        <v>4976</v>
      </c>
      <c r="F631" t="s">
        <v>950</v>
      </c>
      <c r="G631" t="s">
        <v>2081</v>
      </c>
      <c r="H631">
        <v>6902.28</v>
      </c>
      <c r="I631" t="s">
        <v>3982</v>
      </c>
      <c r="M631" s="14" t="s">
        <v>4986</v>
      </c>
    </row>
    <row r="632" spans="1:13" x14ac:dyDescent="0.3">
      <c r="A632" t="s">
        <v>4987</v>
      </c>
      <c r="B632" t="s">
        <v>4988</v>
      </c>
      <c r="C632" t="s">
        <v>4989</v>
      </c>
      <c r="D632" t="s">
        <v>4916</v>
      </c>
      <c r="E632" t="s">
        <v>4917</v>
      </c>
      <c r="F632" t="s">
        <v>950</v>
      </c>
      <c r="G632" t="s">
        <v>2081</v>
      </c>
      <c r="H632">
        <v>63845.33</v>
      </c>
      <c r="I632" t="s">
        <v>3982</v>
      </c>
      <c r="M632" s="14" t="s">
        <v>4990</v>
      </c>
    </row>
    <row r="633" spans="1:13" x14ac:dyDescent="0.3">
      <c r="A633" t="s">
        <v>4991</v>
      </c>
      <c r="B633" t="s">
        <v>4992</v>
      </c>
      <c r="C633" t="s">
        <v>4993</v>
      </c>
      <c r="D633" t="s">
        <v>4916</v>
      </c>
      <c r="E633" t="s">
        <v>4917</v>
      </c>
      <c r="F633" t="s">
        <v>950</v>
      </c>
      <c r="G633" t="s">
        <v>2081</v>
      </c>
      <c r="H633">
        <v>44647.28</v>
      </c>
      <c r="I633" t="s">
        <v>3982</v>
      </c>
      <c r="M633" s="14" t="s">
        <v>4994</v>
      </c>
    </row>
    <row r="634" spans="1:13" x14ac:dyDescent="0.3">
      <c r="A634" t="s">
        <v>4995</v>
      </c>
      <c r="B634" t="s">
        <v>4996</v>
      </c>
      <c r="C634" t="s">
        <v>4997</v>
      </c>
      <c r="D634" t="s">
        <v>4916</v>
      </c>
      <c r="E634" t="s">
        <v>4917</v>
      </c>
      <c r="F634" t="s">
        <v>950</v>
      </c>
      <c r="G634" t="s">
        <v>2081</v>
      </c>
      <c r="H634">
        <v>102938.99</v>
      </c>
      <c r="I634" t="s">
        <v>3982</v>
      </c>
      <c r="M634" s="14" t="s">
        <v>4998</v>
      </c>
    </row>
    <row r="635" spans="1:13" x14ac:dyDescent="0.3">
      <c r="A635" t="s">
        <v>4999</v>
      </c>
      <c r="B635" t="s">
        <v>5000</v>
      </c>
      <c r="C635" t="s">
        <v>5001</v>
      </c>
      <c r="D635" t="s">
        <v>4916</v>
      </c>
      <c r="E635" t="s">
        <v>4917</v>
      </c>
      <c r="F635" t="s">
        <v>950</v>
      </c>
      <c r="G635" t="s">
        <v>2081</v>
      </c>
      <c r="H635">
        <v>17858.849999999999</v>
      </c>
      <c r="I635" t="s">
        <v>3982</v>
      </c>
      <c r="M635" s="14" t="s">
        <v>5002</v>
      </c>
    </row>
    <row r="636" spans="1:13" x14ac:dyDescent="0.3">
      <c r="A636" t="s">
        <v>5003</v>
      </c>
      <c r="B636" t="s">
        <v>5004</v>
      </c>
      <c r="C636" t="s">
        <v>5005</v>
      </c>
      <c r="D636" t="s">
        <v>4916</v>
      </c>
      <c r="E636" t="s">
        <v>4917</v>
      </c>
      <c r="F636" t="s">
        <v>950</v>
      </c>
      <c r="G636" t="s">
        <v>2081</v>
      </c>
      <c r="H636">
        <v>17858.849999999999</v>
      </c>
      <c r="I636" t="s">
        <v>3982</v>
      </c>
      <c r="M636" s="14" t="s">
        <v>5006</v>
      </c>
    </row>
    <row r="637" spans="1:13" x14ac:dyDescent="0.3">
      <c r="A637" t="s">
        <v>5007</v>
      </c>
      <c r="B637" t="s">
        <v>5008</v>
      </c>
      <c r="C637" t="s">
        <v>5009</v>
      </c>
      <c r="D637" t="s">
        <v>4916</v>
      </c>
      <c r="E637" t="s">
        <v>4917</v>
      </c>
      <c r="F637" t="s">
        <v>950</v>
      </c>
      <c r="G637" t="s">
        <v>2081</v>
      </c>
      <c r="H637">
        <v>13906.38</v>
      </c>
      <c r="I637" t="s">
        <v>3982</v>
      </c>
      <c r="M637" s="14" t="s">
        <v>5010</v>
      </c>
    </row>
    <row r="638" spans="1:13" x14ac:dyDescent="0.3">
      <c r="A638" t="s">
        <v>5011</v>
      </c>
      <c r="B638" t="s">
        <v>5012</v>
      </c>
      <c r="C638" t="s">
        <v>5013</v>
      </c>
      <c r="D638" t="s">
        <v>4916</v>
      </c>
      <c r="E638" t="s">
        <v>4917</v>
      </c>
      <c r="F638" t="s">
        <v>950</v>
      </c>
      <c r="G638" t="s">
        <v>2081</v>
      </c>
      <c r="H638">
        <v>9588.6</v>
      </c>
      <c r="I638" t="s">
        <v>3982</v>
      </c>
      <c r="M638" s="14" t="s">
        <v>5014</v>
      </c>
    </row>
    <row r="639" spans="1:13" x14ac:dyDescent="0.3">
      <c r="A639" t="s">
        <v>5015</v>
      </c>
      <c r="B639" t="s">
        <v>5016</v>
      </c>
      <c r="C639" t="s">
        <v>5017</v>
      </c>
      <c r="D639" t="s">
        <v>4916</v>
      </c>
      <c r="E639" t="s">
        <v>4917</v>
      </c>
      <c r="F639" t="s">
        <v>950</v>
      </c>
      <c r="G639" t="s">
        <v>2081</v>
      </c>
      <c r="H639">
        <v>9588.6</v>
      </c>
      <c r="I639" t="s">
        <v>3982</v>
      </c>
      <c r="M639" s="14" t="s">
        <v>5018</v>
      </c>
    </row>
    <row r="640" spans="1:13" x14ac:dyDescent="0.3">
      <c r="A640" t="s">
        <v>5019</v>
      </c>
      <c r="B640" t="s">
        <v>5020</v>
      </c>
      <c r="C640" t="s">
        <v>5021</v>
      </c>
      <c r="D640" t="s">
        <v>4916</v>
      </c>
      <c r="E640" t="s">
        <v>4917</v>
      </c>
      <c r="F640" t="s">
        <v>950</v>
      </c>
      <c r="G640" t="s">
        <v>2081</v>
      </c>
      <c r="H640">
        <v>9588.6</v>
      </c>
      <c r="I640" t="s">
        <v>3982</v>
      </c>
      <c r="M640" s="14" t="s">
        <v>5022</v>
      </c>
    </row>
    <row r="641" spans="1:13" x14ac:dyDescent="0.3">
      <c r="A641" t="s">
        <v>5023</v>
      </c>
      <c r="B641" t="s">
        <v>5024</v>
      </c>
      <c r="C641" t="s">
        <v>5025</v>
      </c>
      <c r="D641" t="s">
        <v>4916</v>
      </c>
      <c r="E641" t="s">
        <v>4917</v>
      </c>
      <c r="F641" t="s">
        <v>950</v>
      </c>
      <c r="G641" t="s">
        <v>2081</v>
      </c>
      <c r="H641">
        <v>8550.2199999999993</v>
      </c>
      <c r="I641" t="s">
        <v>3982</v>
      </c>
      <c r="M641" s="14" t="s">
        <v>5026</v>
      </c>
    </row>
    <row r="642" spans="1:13" x14ac:dyDescent="0.3">
      <c r="A642" t="s">
        <v>5027</v>
      </c>
      <c r="B642" t="s">
        <v>5028</v>
      </c>
      <c r="C642" t="s">
        <v>5029</v>
      </c>
      <c r="D642" t="s">
        <v>4916</v>
      </c>
      <c r="E642" t="s">
        <v>4917</v>
      </c>
      <c r="F642" t="s">
        <v>950</v>
      </c>
      <c r="G642" t="s">
        <v>2081</v>
      </c>
      <c r="H642">
        <v>8550.2199999999993</v>
      </c>
      <c r="I642" t="s">
        <v>3982</v>
      </c>
      <c r="M642" s="14" t="s">
        <v>5030</v>
      </c>
    </row>
    <row r="643" spans="1:13" x14ac:dyDescent="0.3">
      <c r="A643" t="s">
        <v>5031</v>
      </c>
      <c r="B643" t="s">
        <v>5032</v>
      </c>
      <c r="C643" t="s">
        <v>5033</v>
      </c>
      <c r="D643" t="s">
        <v>4916</v>
      </c>
      <c r="E643" t="s">
        <v>4917</v>
      </c>
      <c r="F643" t="s">
        <v>950</v>
      </c>
      <c r="G643" t="s">
        <v>2081</v>
      </c>
      <c r="H643">
        <v>9005.66</v>
      </c>
      <c r="I643" t="s">
        <v>3982</v>
      </c>
      <c r="M643" s="14" t="s">
        <v>5034</v>
      </c>
    </row>
    <row r="644" spans="1:13" x14ac:dyDescent="0.3">
      <c r="A644" t="s">
        <v>5035</v>
      </c>
      <c r="B644" t="s">
        <v>5036</v>
      </c>
      <c r="C644" t="s">
        <v>5037</v>
      </c>
      <c r="D644" t="s">
        <v>4916</v>
      </c>
      <c r="E644" t="s">
        <v>4917</v>
      </c>
      <c r="F644" t="s">
        <v>950</v>
      </c>
      <c r="G644" t="s">
        <v>2081</v>
      </c>
      <c r="H644">
        <v>9005.66</v>
      </c>
      <c r="I644" t="s">
        <v>3982</v>
      </c>
      <c r="M644" s="14" t="s">
        <v>5038</v>
      </c>
    </row>
    <row r="645" spans="1:13" x14ac:dyDescent="0.3">
      <c r="A645" t="s">
        <v>5039</v>
      </c>
      <c r="B645" t="s">
        <v>5040</v>
      </c>
      <c r="C645" t="s">
        <v>5041</v>
      </c>
      <c r="D645" t="s">
        <v>4916</v>
      </c>
      <c r="E645" t="s">
        <v>4917</v>
      </c>
      <c r="F645" t="s">
        <v>950</v>
      </c>
      <c r="G645" t="s">
        <v>2081</v>
      </c>
      <c r="H645">
        <v>10143.77</v>
      </c>
      <c r="I645" t="s">
        <v>3982</v>
      </c>
      <c r="M645" s="14" t="s">
        <v>5042</v>
      </c>
    </row>
    <row r="646" spans="1:13" x14ac:dyDescent="0.3">
      <c r="A646" t="s">
        <v>5043</v>
      </c>
      <c r="B646" t="s">
        <v>5044</v>
      </c>
      <c r="C646" t="s">
        <v>5045</v>
      </c>
      <c r="D646" t="s">
        <v>4916</v>
      </c>
      <c r="E646" t="s">
        <v>4917</v>
      </c>
      <c r="F646" t="s">
        <v>950</v>
      </c>
      <c r="G646" t="s">
        <v>2081</v>
      </c>
      <c r="H646">
        <v>10143.77</v>
      </c>
      <c r="I646" t="s">
        <v>3982</v>
      </c>
      <c r="M646" s="14" t="s">
        <v>5046</v>
      </c>
    </row>
    <row r="647" spans="1:13" x14ac:dyDescent="0.3">
      <c r="A647" t="s">
        <v>5047</v>
      </c>
      <c r="B647" t="s">
        <v>5048</v>
      </c>
      <c r="C647" t="s">
        <v>5049</v>
      </c>
      <c r="D647" t="s">
        <v>4916</v>
      </c>
      <c r="E647" t="s">
        <v>4917</v>
      </c>
      <c r="F647" t="s">
        <v>950</v>
      </c>
      <c r="G647" t="s">
        <v>2081</v>
      </c>
      <c r="H647">
        <v>8766.6200000000008</v>
      </c>
      <c r="I647" t="s">
        <v>3982</v>
      </c>
      <c r="M647" s="14" t="s">
        <v>5050</v>
      </c>
    </row>
    <row r="648" spans="1:13" x14ac:dyDescent="0.3">
      <c r="A648" t="s">
        <v>5051</v>
      </c>
      <c r="B648" t="s">
        <v>5052</v>
      </c>
      <c r="C648" t="s">
        <v>5053</v>
      </c>
      <c r="D648" t="s">
        <v>4916</v>
      </c>
      <c r="E648" t="s">
        <v>4917</v>
      </c>
      <c r="F648" t="s">
        <v>950</v>
      </c>
      <c r="G648" t="s">
        <v>2081</v>
      </c>
      <c r="H648">
        <v>8766.6200000000008</v>
      </c>
      <c r="I648" t="s">
        <v>3982</v>
      </c>
      <c r="M648" s="14" t="s">
        <v>5054</v>
      </c>
    </row>
    <row r="649" spans="1:13" x14ac:dyDescent="0.3">
      <c r="A649" t="s">
        <v>5055</v>
      </c>
      <c r="B649" t="s">
        <v>5056</v>
      </c>
      <c r="C649" t="s">
        <v>5057</v>
      </c>
      <c r="D649" t="s">
        <v>4916</v>
      </c>
      <c r="E649" t="s">
        <v>4917</v>
      </c>
      <c r="F649" t="s">
        <v>950</v>
      </c>
      <c r="G649" t="s">
        <v>2081</v>
      </c>
      <c r="H649">
        <v>8980.7000000000007</v>
      </c>
      <c r="I649" t="s">
        <v>3982</v>
      </c>
      <c r="M649" s="14" t="s">
        <v>5058</v>
      </c>
    </row>
    <row r="650" spans="1:13" x14ac:dyDescent="0.3">
      <c r="A650" t="s">
        <v>5059</v>
      </c>
      <c r="B650" t="s">
        <v>5060</v>
      </c>
      <c r="C650" t="s">
        <v>5061</v>
      </c>
      <c r="D650" t="s">
        <v>4916</v>
      </c>
      <c r="E650" t="s">
        <v>4917</v>
      </c>
      <c r="F650" t="s">
        <v>950</v>
      </c>
      <c r="G650" t="s">
        <v>2081</v>
      </c>
      <c r="H650">
        <v>8980.7000000000007</v>
      </c>
      <c r="I650" t="s">
        <v>3982</v>
      </c>
      <c r="M650" s="14" t="s">
        <v>5062</v>
      </c>
    </row>
    <row r="651" spans="1:13" x14ac:dyDescent="0.3">
      <c r="A651" t="s">
        <v>5063</v>
      </c>
      <c r="B651" t="s">
        <v>5064</v>
      </c>
      <c r="C651" t="s">
        <v>5065</v>
      </c>
      <c r="D651" t="s">
        <v>4916</v>
      </c>
      <c r="E651" t="s">
        <v>4917</v>
      </c>
      <c r="F651" t="s">
        <v>950</v>
      </c>
      <c r="G651" t="s">
        <v>2081</v>
      </c>
      <c r="H651">
        <v>9996</v>
      </c>
      <c r="I651" t="s">
        <v>3982</v>
      </c>
      <c r="M651" s="14" t="s">
        <v>5066</v>
      </c>
    </row>
    <row r="652" spans="1:13" x14ac:dyDescent="0.3">
      <c r="A652" t="s">
        <v>5067</v>
      </c>
      <c r="B652" t="s">
        <v>5068</v>
      </c>
      <c r="C652" t="s">
        <v>5069</v>
      </c>
      <c r="D652" t="s">
        <v>4916</v>
      </c>
      <c r="E652" t="s">
        <v>4917</v>
      </c>
      <c r="F652" t="s">
        <v>950</v>
      </c>
      <c r="G652" t="s">
        <v>2081</v>
      </c>
      <c r="H652">
        <v>9996</v>
      </c>
      <c r="I652" t="s">
        <v>3982</v>
      </c>
      <c r="M652" s="14" t="s">
        <v>5070</v>
      </c>
    </row>
    <row r="653" spans="1:13" x14ac:dyDescent="0.3">
      <c r="A653" t="s">
        <v>5071</v>
      </c>
      <c r="B653" t="s">
        <v>5072</v>
      </c>
      <c r="C653" t="s">
        <v>5073</v>
      </c>
      <c r="D653" t="s">
        <v>4916</v>
      </c>
      <c r="E653" t="s">
        <v>4917</v>
      </c>
      <c r="F653" t="s">
        <v>950</v>
      </c>
      <c r="G653" t="s">
        <v>2081</v>
      </c>
      <c r="H653">
        <v>7718.71</v>
      </c>
      <c r="I653" t="s">
        <v>3982</v>
      </c>
      <c r="M653" s="14" t="s">
        <v>5074</v>
      </c>
    </row>
    <row r="654" spans="1:13" x14ac:dyDescent="0.3">
      <c r="A654" t="s">
        <v>5075</v>
      </c>
      <c r="B654" t="s">
        <v>5076</v>
      </c>
      <c r="C654" t="s">
        <v>5077</v>
      </c>
      <c r="D654" t="s">
        <v>4916</v>
      </c>
      <c r="E654" t="s">
        <v>4917</v>
      </c>
      <c r="F654" t="s">
        <v>950</v>
      </c>
      <c r="G654" t="s">
        <v>2081</v>
      </c>
      <c r="H654">
        <v>7718.71</v>
      </c>
      <c r="I654" t="s">
        <v>3982</v>
      </c>
      <c r="M654" s="14" t="s">
        <v>5078</v>
      </c>
    </row>
    <row r="655" spans="1:13" x14ac:dyDescent="0.3">
      <c r="A655" t="s">
        <v>5079</v>
      </c>
      <c r="B655" t="s">
        <v>5080</v>
      </c>
      <c r="C655" t="s">
        <v>5081</v>
      </c>
      <c r="D655" t="s">
        <v>4916</v>
      </c>
      <c r="E655" t="s">
        <v>4917</v>
      </c>
      <c r="F655" t="s">
        <v>950</v>
      </c>
      <c r="G655" t="s">
        <v>2081</v>
      </c>
      <c r="H655">
        <v>9005.66</v>
      </c>
      <c r="I655" t="s">
        <v>3982</v>
      </c>
      <c r="M655" s="14" t="s">
        <v>5082</v>
      </c>
    </row>
    <row r="656" spans="1:13" x14ac:dyDescent="0.3">
      <c r="A656" t="s">
        <v>5083</v>
      </c>
      <c r="B656" t="s">
        <v>5084</v>
      </c>
      <c r="C656" t="s">
        <v>5085</v>
      </c>
      <c r="D656" t="s">
        <v>4916</v>
      </c>
      <c r="E656" t="s">
        <v>4917</v>
      </c>
      <c r="F656" t="s">
        <v>950</v>
      </c>
      <c r="G656" t="s">
        <v>2081</v>
      </c>
      <c r="H656">
        <v>9005.66</v>
      </c>
      <c r="I656" t="s">
        <v>3982</v>
      </c>
      <c r="M656" s="14" t="s">
        <v>5086</v>
      </c>
    </row>
    <row r="657" spans="1:13" x14ac:dyDescent="0.3">
      <c r="A657" t="s">
        <v>5087</v>
      </c>
      <c r="B657" t="s">
        <v>5088</v>
      </c>
      <c r="C657" t="s">
        <v>5089</v>
      </c>
      <c r="D657" t="s">
        <v>4916</v>
      </c>
      <c r="E657" t="s">
        <v>4917</v>
      </c>
      <c r="F657" t="s">
        <v>950</v>
      </c>
      <c r="G657" t="s">
        <v>2081</v>
      </c>
      <c r="H657">
        <v>9005.66</v>
      </c>
      <c r="I657" t="s">
        <v>3982</v>
      </c>
      <c r="M657" s="14" t="s">
        <v>5090</v>
      </c>
    </row>
    <row r="658" spans="1:13" x14ac:dyDescent="0.3">
      <c r="A658" t="s">
        <v>5091</v>
      </c>
      <c r="B658" t="s">
        <v>5092</v>
      </c>
      <c r="C658" t="s">
        <v>5093</v>
      </c>
      <c r="D658" t="s">
        <v>4916</v>
      </c>
      <c r="E658" t="s">
        <v>4917</v>
      </c>
      <c r="F658" t="s">
        <v>950</v>
      </c>
      <c r="G658" t="s">
        <v>2081</v>
      </c>
      <c r="H658">
        <v>9005.66</v>
      </c>
      <c r="I658" t="s">
        <v>3982</v>
      </c>
      <c r="M658" s="14" t="s">
        <v>5094</v>
      </c>
    </row>
    <row r="659" spans="1:13" x14ac:dyDescent="0.3">
      <c r="A659" t="s">
        <v>5095</v>
      </c>
      <c r="B659" t="s">
        <v>5096</v>
      </c>
      <c r="C659" t="s">
        <v>5097</v>
      </c>
      <c r="D659" t="s">
        <v>4916</v>
      </c>
      <c r="E659" t="s">
        <v>4917</v>
      </c>
      <c r="F659" t="s">
        <v>950</v>
      </c>
      <c r="G659" t="s">
        <v>2081</v>
      </c>
      <c r="H659">
        <v>11656.95</v>
      </c>
      <c r="I659" t="s">
        <v>3982</v>
      </c>
      <c r="M659" s="14" t="s">
        <v>5098</v>
      </c>
    </row>
    <row r="660" spans="1:13" x14ac:dyDescent="0.3">
      <c r="A660" t="s">
        <v>5099</v>
      </c>
      <c r="B660" t="s">
        <v>5100</v>
      </c>
      <c r="C660" t="s">
        <v>5101</v>
      </c>
      <c r="D660" t="s">
        <v>4916</v>
      </c>
      <c r="E660" t="s">
        <v>4917</v>
      </c>
      <c r="F660" t="s">
        <v>950</v>
      </c>
      <c r="G660" t="s">
        <v>2081</v>
      </c>
      <c r="H660">
        <v>11656.95</v>
      </c>
      <c r="I660" t="s">
        <v>3982</v>
      </c>
      <c r="M660" s="14" t="s">
        <v>5102</v>
      </c>
    </row>
    <row r="661" spans="1:13" x14ac:dyDescent="0.3">
      <c r="A661" t="s">
        <v>5103</v>
      </c>
      <c r="B661" t="s">
        <v>5104</v>
      </c>
      <c r="C661" t="s">
        <v>5105</v>
      </c>
      <c r="D661" t="s">
        <v>4916</v>
      </c>
      <c r="E661" t="s">
        <v>4917</v>
      </c>
      <c r="F661" t="s">
        <v>950</v>
      </c>
      <c r="G661" t="s">
        <v>2081</v>
      </c>
      <c r="H661">
        <v>9005.66</v>
      </c>
      <c r="I661" t="s">
        <v>3982</v>
      </c>
      <c r="M661" s="14" t="s">
        <v>5106</v>
      </c>
    </row>
    <row r="662" spans="1:13" x14ac:dyDescent="0.3">
      <c r="A662" t="s">
        <v>5107</v>
      </c>
      <c r="B662" t="s">
        <v>5108</v>
      </c>
      <c r="C662" t="s">
        <v>5109</v>
      </c>
      <c r="D662" t="s">
        <v>4916</v>
      </c>
      <c r="E662" t="s">
        <v>4917</v>
      </c>
      <c r="F662" t="s">
        <v>950</v>
      </c>
      <c r="G662" t="s">
        <v>2081</v>
      </c>
      <c r="H662">
        <v>9005.66</v>
      </c>
      <c r="I662" t="s">
        <v>3982</v>
      </c>
      <c r="M662" s="14" t="s">
        <v>5110</v>
      </c>
    </row>
    <row r="663" spans="1:13" x14ac:dyDescent="0.3">
      <c r="A663" t="s">
        <v>5111</v>
      </c>
      <c r="B663" t="s">
        <v>5112</v>
      </c>
      <c r="C663" t="s">
        <v>5113</v>
      </c>
      <c r="D663" t="s">
        <v>4916</v>
      </c>
      <c r="E663" t="s">
        <v>4917</v>
      </c>
      <c r="F663" t="s">
        <v>950</v>
      </c>
      <c r="G663" t="s">
        <v>2081</v>
      </c>
      <c r="H663">
        <v>10828.42</v>
      </c>
      <c r="I663" t="s">
        <v>3982</v>
      </c>
      <c r="M663" s="14" t="s">
        <v>5114</v>
      </c>
    </row>
    <row r="664" spans="1:13" x14ac:dyDescent="0.3">
      <c r="A664" t="s">
        <v>5115</v>
      </c>
      <c r="B664" t="s">
        <v>5116</v>
      </c>
      <c r="C664" t="s">
        <v>5117</v>
      </c>
      <c r="D664" t="s">
        <v>4916</v>
      </c>
      <c r="E664" t="s">
        <v>4917</v>
      </c>
      <c r="F664" t="s">
        <v>950</v>
      </c>
      <c r="G664" t="s">
        <v>2081</v>
      </c>
      <c r="H664">
        <v>7044.98</v>
      </c>
      <c r="I664" t="s">
        <v>3982</v>
      </c>
      <c r="M664" s="14" t="s">
        <v>5118</v>
      </c>
    </row>
    <row r="665" spans="1:13" x14ac:dyDescent="0.3">
      <c r="A665" t="s">
        <v>5119</v>
      </c>
      <c r="B665" t="s">
        <v>5120</v>
      </c>
      <c r="C665" t="s">
        <v>5121</v>
      </c>
      <c r="D665" t="s">
        <v>4916</v>
      </c>
      <c r="E665" t="s">
        <v>4917</v>
      </c>
      <c r="F665" t="s">
        <v>950</v>
      </c>
      <c r="G665" t="s">
        <v>2081</v>
      </c>
      <c r="H665">
        <v>7044.98</v>
      </c>
      <c r="I665" t="s">
        <v>3982</v>
      </c>
      <c r="M665" s="14" t="s">
        <v>5122</v>
      </c>
    </row>
    <row r="666" spans="1:13" x14ac:dyDescent="0.3">
      <c r="A666" t="s">
        <v>5123</v>
      </c>
      <c r="B666" t="s">
        <v>5124</v>
      </c>
      <c r="C666" t="s">
        <v>5125</v>
      </c>
      <c r="D666" t="s">
        <v>4916</v>
      </c>
      <c r="E666" t="s">
        <v>4917</v>
      </c>
      <c r="F666" t="s">
        <v>950</v>
      </c>
      <c r="G666" t="s">
        <v>2081</v>
      </c>
      <c r="H666">
        <v>1582.51</v>
      </c>
      <c r="I666" t="s">
        <v>3982</v>
      </c>
      <c r="M666" s="14" t="s">
        <v>5126</v>
      </c>
    </row>
    <row r="667" spans="1:13" x14ac:dyDescent="0.3">
      <c r="A667" t="s">
        <v>5127</v>
      </c>
      <c r="B667" t="s">
        <v>5128</v>
      </c>
      <c r="C667" t="s">
        <v>5129</v>
      </c>
      <c r="D667" t="s">
        <v>4916</v>
      </c>
      <c r="E667" t="s">
        <v>4917</v>
      </c>
      <c r="F667" t="s">
        <v>950</v>
      </c>
      <c r="G667" t="s">
        <v>2081</v>
      </c>
      <c r="H667">
        <v>931.72</v>
      </c>
      <c r="I667" t="s">
        <v>3982</v>
      </c>
      <c r="M667" s="14" t="s">
        <v>5130</v>
      </c>
    </row>
    <row r="668" spans="1:13" x14ac:dyDescent="0.3">
      <c r="A668" t="s">
        <v>5131</v>
      </c>
      <c r="B668" t="s">
        <v>5132</v>
      </c>
      <c r="C668" t="s">
        <v>5133</v>
      </c>
      <c r="D668" t="s">
        <v>4916</v>
      </c>
      <c r="E668" t="s">
        <v>4917</v>
      </c>
      <c r="F668" t="s">
        <v>950</v>
      </c>
      <c r="G668" t="s">
        <v>2081</v>
      </c>
      <c r="H668">
        <v>693.58</v>
      </c>
      <c r="I668" t="s">
        <v>3982</v>
      </c>
      <c r="M668" s="14" t="s">
        <v>5134</v>
      </c>
    </row>
    <row r="669" spans="1:13" x14ac:dyDescent="0.3">
      <c r="A669" t="s">
        <v>5135</v>
      </c>
      <c r="B669" t="s">
        <v>5132</v>
      </c>
      <c r="C669" t="s">
        <v>5133</v>
      </c>
      <c r="D669" t="s">
        <v>4916</v>
      </c>
      <c r="E669" t="s">
        <v>4917</v>
      </c>
      <c r="F669" t="s">
        <v>950</v>
      </c>
      <c r="G669" t="s">
        <v>2081</v>
      </c>
      <c r="H669">
        <v>693.58</v>
      </c>
      <c r="I669" t="s">
        <v>3982</v>
      </c>
      <c r="M669" s="14" t="s">
        <v>5136</v>
      </c>
    </row>
    <row r="670" spans="1:13" x14ac:dyDescent="0.3">
      <c r="A670" t="s">
        <v>5137</v>
      </c>
      <c r="B670" t="s">
        <v>5138</v>
      </c>
      <c r="C670" t="s">
        <v>5139</v>
      </c>
      <c r="D670" t="s">
        <v>4916</v>
      </c>
      <c r="E670" t="s">
        <v>4917</v>
      </c>
      <c r="F670" t="s">
        <v>950</v>
      </c>
      <c r="G670" t="s">
        <v>2081</v>
      </c>
      <c r="H670">
        <v>2530.83</v>
      </c>
      <c r="I670" t="s">
        <v>3982</v>
      </c>
      <c r="M670" s="14" t="s">
        <v>5140</v>
      </c>
    </row>
    <row r="671" spans="1:13" x14ac:dyDescent="0.3">
      <c r="A671" t="s">
        <v>5141</v>
      </c>
      <c r="B671" t="s">
        <v>5142</v>
      </c>
      <c r="C671" t="s">
        <v>5143</v>
      </c>
      <c r="D671" t="s">
        <v>4916</v>
      </c>
      <c r="E671" t="s">
        <v>4917</v>
      </c>
      <c r="F671" t="s">
        <v>950</v>
      </c>
      <c r="G671" t="s">
        <v>2081</v>
      </c>
      <c r="H671">
        <v>7316.19</v>
      </c>
      <c r="I671" t="s">
        <v>3982</v>
      </c>
      <c r="M671" s="14" t="s">
        <v>5144</v>
      </c>
    </row>
    <row r="672" spans="1:13" x14ac:dyDescent="0.3">
      <c r="A672" t="s">
        <v>5145</v>
      </c>
      <c r="B672" t="s">
        <v>5146</v>
      </c>
      <c r="C672" t="s">
        <v>5147</v>
      </c>
      <c r="D672" t="s">
        <v>4916</v>
      </c>
      <c r="E672" t="s">
        <v>4917</v>
      </c>
      <c r="F672" t="s">
        <v>950</v>
      </c>
      <c r="G672" t="s">
        <v>2081</v>
      </c>
      <c r="H672">
        <v>646.95000000000005</v>
      </c>
      <c r="I672" t="s">
        <v>3982</v>
      </c>
      <c r="M672" s="14" t="s">
        <v>5148</v>
      </c>
    </row>
    <row r="673" spans="1:13" x14ac:dyDescent="0.3">
      <c r="A673" t="s">
        <v>5149</v>
      </c>
      <c r="B673" t="s">
        <v>5150</v>
      </c>
      <c r="C673" t="s">
        <v>5151</v>
      </c>
      <c r="D673" t="s">
        <v>4916</v>
      </c>
      <c r="E673" t="s">
        <v>4917</v>
      </c>
      <c r="F673" t="s">
        <v>950</v>
      </c>
      <c r="G673" t="s">
        <v>2081</v>
      </c>
      <c r="H673">
        <v>8221.7800000000007</v>
      </c>
      <c r="I673" t="s">
        <v>3982</v>
      </c>
      <c r="M673" s="14" t="s">
        <v>5152</v>
      </c>
    </row>
    <row r="674" spans="1:13" x14ac:dyDescent="0.3">
      <c r="A674" t="s">
        <v>5153</v>
      </c>
      <c r="B674" t="s">
        <v>5154</v>
      </c>
      <c r="C674" t="s">
        <v>5155</v>
      </c>
      <c r="D674" t="s">
        <v>4916</v>
      </c>
      <c r="E674" t="s">
        <v>4917</v>
      </c>
      <c r="F674" t="s">
        <v>950</v>
      </c>
      <c r="G674" t="s">
        <v>2081</v>
      </c>
      <c r="H674">
        <v>8796.2999999999993</v>
      </c>
      <c r="I674" t="s">
        <v>3982</v>
      </c>
      <c r="M674" s="14" t="s">
        <v>5156</v>
      </c>
    </row>
    <row r="675" spans="1:13" x14ac:dyDescent="0.3">
      <c r="A675" t="s">
        <v>5157</v>
      </c>
      <c r="B675" t="s">
        <v>5158</v>
      </c>
      <c r="C675" t="s">
        <v>5159</v>
      </c>
      <c r="D675" t="s">
        <v>4916</v>
      </c>
      <c r="E675" t="s">
        <v>4917</v>
      </c>
      <c r="F675" t="s">
        <v>950</v>
      </c>
      <c r="G675" t="s">
        <v>2081</v>
      </c>
      <c r="H675">
        <v>8796.2999999999993</v>
      </c>
      <c r="I675" t="s">
        <v>3982</v>
      </c>
      <c r="M675" s="14" t="s">
        <v>5160</v>
      </c>
    </row>
    <row r="676" spans="1:13" x14ac:dyDescent="0.3">
      <c r="A676" t="s">
        <v>5161</v>
      </c>
      <c r="B676" t="s">
        <v>5162</v>
      </c>
      <c r="C676" t="s">
        <v>5163</v>
      </c>
      <c r="D676" t="s">
        <v>4916</v>
      </c>
      <c r="E676" t="s">
        <v>4917</v>
      </c>
      <c r="F676" t="s">
        <v>950</v>
      </c>
      <c r="G676" t="s">
        <v>2081</v>
      </c>
      <c r="H676">
        <v>3196.04</v>
      </c>
      <c r="I676" t="s">
        <v>3982</v>
      </c>
      <c r="M676" s="14" t="s">
        <v>5164</v>
      </c>
    </row>
    <row r="677" spans="1:13" x14ac:dyDescent="0.3">
      <c r="A677" t="s">
        <v>5165</v>
      </c>
      <c r="B677" t="s">
        <v>5166</v>
      </c>
      <c r="C677" t="s">
        <v>5167</v>
      </c>
      <c r="D677" t="s">
        <v>4916</v>
      </c>
      <c r="E677" t="s">
        <v>4917</v>
      </c>
      <c r="F677" t="s">
        <v>950</v>
      </c>
      <c r="G677" t="s">
        <v>2081</v>
      </c>
      <c r="H677">
        <v>3196.04</v>
      </c>
      <c r="I677" t="s">
        <v>3982</v>
      </c>
      <c r="M677" s="14" t="s">
        <v>5168</v>
      </c>
    </row>
    <row r="678" spans="1:13" x14ac:dyDescent="0.3">
      <c r="A678" t="s">
        <v>5169</v>
      </c>
      <c r="B678" t="s">
        <v>5170</v>
      </c>
      <c r="C678" t="s">
        <v>5171</v>
      </c>
      <c r="D678" t="s">
        <v>4916</v>
      </c>
      <c r="E678" t="s">
        <v>4917</v>
      </c>
      <c r="F678" t="s">
        <v>950</v>
      </c>
      <c r="G678" t="s">
        <v>2081</v>
      </c>
      <c r="H678">
        <v>37312.57</v>
      </c>
      <c r="I678" t="s">
        <v>3982</v>
      </c>
      <c r="M678" s="14" t="s">
        <v>5172</v>
      </c>
    </row>
    <row r="679" spans="1:13" x14ac:dyDescent="0.3">
      <c r="A679" t="s">
        <v>5173</v>
      </c>
      <c r="B679" t="s">
        <v>5174</v>
      </c>
      <c r="C679" t="s">
        <v>5175</v>
      </c>
      <c r="D679" t="s">
        <v>4916</v>
      </c>
      <c r="E679" t="s">
        <v>4917</v>
      </c>
      <c r="F679" t="s">
        <v>950</v>
      </c>
      <c r="G679" t="s">
        <v>2081</v>
      </c>
      <c r="H679">
        <v>37312.57</v>
      </c>
      <c r="I679" t="s">
        <v>3982</v>
      </c>
      <c r="M679" s="14" t="s">
        <v>5176</v>
      </c>
    </row>
    <row r="680" spans="1:13" x14ac:dyDescent="0.3">
      <c r="A680" t="s">
        <v>5177</v>
      </c>
      <c r="B680" t="s">
        <v>5178</v>
      </c>
      <c r="C680" t="s">
        <v>5179</v>
      </c>
      <c r="D680" t="s">
        <v>4916</v>
      </c>
      <c r="E680" t="s">
        <v>4917</v>
      </c>
      <c r="F680" t="s">
        <v>950</v>
      </c>
      <c r="G680" t="s">
        <v>2081</v>
      </c>
      <c r="H680">
        <v>37312.57</v>
      </c>
      <c r="I680" t="s">
        <v>3982</v>
      </c>
      <c r="M680" s="14" t="s">
        <v>5180</v>
      </c>
    </row>
    <row r="681" spans="1:13" x14ac:dyDescent="0.3">
      <c r="A681" t="s">
        <v>5181</v>
      </c>
      <c r="B681" t="s">
        <v>5182</v>
      </c>
      <c r="C681" t="s">
        <v>5183</v>
      </c>
      <c r="D681" t="s">
        <v>4916</v>
      </c>
      <c r="E681" t="s">
        <v>4917</v>
      </c>
      <c r="F681" t="s">
        <v>950</v>
      </c>
      <c r="G681" t="s">
        <v>2081</v>
      </c>
      <c r="H681">
        <v>37312.57</v>
      </c>
      <c r="I681" t="s">
        <v>3982</v>
      </c>
      <c r="M681" s="14" t="s">
        <v>5184</v>
      </c>
    </row>
    <row r="682" spans="1:13" x14ac:dyDescent="0.3">
      <c r="A682" t="s">
        <v>5185</v>
      </c>
      <c r="B682" t="s">
        <v>5186</v>
      </c>
      <c r="C682" t="s">
        <v>5187</v>
      </c>
      <c r="D682" t="s">
        <v>4916</v>
      </c>
      <c r="E682" t="s">
        <v>4917</v>
      </c>
      <c r="F682" t="s">
        <v>950</v>
      </c>
      <c r="G682" t="s">
        <v>2081</v>
      </c>
      <c r="H682">
        <v>41368.89</v>
      </c>
      <c r="I682" t="s">
        <v>3982</v>
      </c>
      <c r="M682" s="14" t="s">
        <v>5188</v>
      </c>
    </row>
    <row r="683" spans="1:13" x14ac:dyDescent="0.3">
      <c r="A683" t="s">
        <v>5189</v>
      </c>
      <c r="B683" t="s">
        <v>5190</v>
      </c>
      <c r="C683" t="s">
        <v>5191</v>
      </c>
      <c r="D683" t="s">
        <v>4916</v>
      </c>
      <c r="E683" t="s">
        <v>4917</v>
      </c>
      <c r="F683" t="s">
        <v>950</v>
      </c>
      <c r="G683" t="s">
        <v>2081</v>
      </c>
      <c r="H683">
        <v>41368.89</v>
      </c>
      <c r="I683" t="s">
        <v>3982</v>
      </c>
      <c r="M683" s="14" t="s">
        <v>5192</v>
      </c>
    </row>
    <row r="684" spans="1:13" x14ac:dyDescent="0.3">
      <c r="A684" t="s">
        <v>5193</v>
      </c>
      <c r="B684" t="s">
        <v>5194</v>
      </c>
      <c r="C684" t="s">
        <v>5195</v>
      </c>
      <c r="D684" t="s">
        <v>4916</v>
      </c>
      <c r="E684" t="s">
        <v>4917</v>
      </c>
      <c r="F684" t="s">
        <v>950</v>
      </c>
      <c r="G684" t="s">
        <v>2081</v>
      </c>
      <c r="H684">
        <v>41368.89</v>
      </c>
      <c r="I684" t="s">
        <v>3982</v>
      </c>
      <c r="M684" s="14" t="s">
        <v>5196</v>
      </c>
    </row>
    <row r="685" spans="1:13" x14ac:dyDescent="0.3">
      <c r="A685" t="s">
        <v>5197</v>
      </c>
      <c r="B685" t="s">
        <v>5198</v>
      </c>
      <c r="C685" t="s">
        <v>5199</v>
      </c>
      <c r="D685" t="s">
        <v>4916</v>
      </c>
      <c r="E685" t="s">
        <v>4917</v>
      </c>
      <c r="F685" t="s">
        <v>950</v>
      </c>
      <c r="G685" t="s">
        <v>2081</v>
      </c>
      <c r="H685">
        <v>41368.89</v>
      </c>
      <c r="I685" t="s">
        <v>3982</v>
      </c>
      <c r="M685" s="14" t="s">
        <v>5200</v>
      </c>
    </row>
    <row r="686" spans="1:13" x14ac:dyDescent="0.3">
      <c r="A686" t="s">
        <v>5201</v>
      </c>
      <c r="B686" t="s">
        <v>5202</v>
      </c>
      <c r="C686" t="s">
        <v>5203</v>
      </c>
      <c r="D686" t="s">
        <v>5204</v>
      </c>
      <c r="E686" t="s">
        <v>4917</v>
      </c>
      <c r="F686" t="s">
        <v>950</v>
      </c>
      <c r="G686" t="s">
        <v>2081</v>
      </c>
      <c r="H686">
        <v>2765.4</v>
      </c>
      <c r="I686" t="s">
        <v>3982</v>
      </c>
      <c r="M686" s="14" t="s">
        <v>5205</v>
      </c>
    </row>
    <row r="687" spans="1:13" x14ac:dyDescent="0.3">
      <c r="A687" t="s">
        <v>5206</v>
      </c>
      <c r="B687" t="s">
        <v>2341</v>
      </c>
      <c r="C687" t="s">
        <v>5207</v>
      </c>
      <c r="D687" t="s">
        <v>5204</v>
      </c>
      <c r="E687" t="s">
        <v>4917</v>
      </c>
      <c r="F687" t="s">
        <v>950</v>
      </c>
      <c r="G687" t="s">
        <v>2081</v>
      </c>
      <c r="H687">
        <v>5169.62</v>
      </c>
      <c r="I687" t="s">
        <v>3982</v>
      </c>
      <c r="M687" s="14" t="s">
        <v>5208</v>
      </c>
    </row>
    <row r="688" spans="1:13" x14ac:dyDescent="0.3">
      <c r="A688" t="s">
        <v>5209</v>
      </c>
      <c r="B688" t="s">
        <v>2350</v>
      </c>
      <c r="C688" t="s">
        <v>5210</v>
      </c>
      <c r="D688" t="s">
        <v>5204</v>
      </c>
      <c r="E688" t="s">
        <v>4917</v>
      </c>
      <c r="F688" t="s">
        <v>950</v>
      </c>
      <c r="G688" t="s">
        <v>2081</v>
      </c>
      <c r="H688">
        <v>4093.03</v>
      </c>
      <c r="I688" t="s">
        <v>3982</v>
      </c>
      <c r="M688" s="14" t="s">
        <v>5211</v>
      </c>
    </row>
    <row r="689" spans="1:13" x14ac:dyDescent="0.3">
      <c r="A689" t="s">
        <v>5212</v>
      </c>
      <c r="B689" t="s">
        <v>2353</v>
      </c>
      <c r="C689" t="s">
        <v>5213</v>
      </c>
      <c r="D689" t="s">
        <v>5204</v>
      </c>
      <c r="E689" t="s">
        <v>4917</v>
      </c>
      <c r="F689" t="s">
        <v>950</v>
      </c>
      <c r="G689" t="s">
        <v>2081</v>
      </c>
      <c r="H689">
        <v>2513.37</v>
      </c>
      <c r="I689" t="s">
        <v>3982</v>
      </c>
      <c r="M689" s="14" t="s">
        <v>5214</v>
      </c>
    </row>
    <row r="690" spans="1:13" x14ac:dyDescent="0.3">
      <c r="A690" t="s">
        <v>5215</v>
      </c>
      <c r="B690" t="s">
        <v>2356</v>
      </c>
      <c r="C690" t="s">
        <v>5216</v>
      </c>
      <c r="D690" t="s">
        <v>5204</v>
      </c>
      <c r="E690" t="s">
        <v>4917</v>
      </c>
      <c r="F690" t="s">
        <v>950</v>
      </c>
      <c r="G690" t="s">
        <v>2081</v>
      </c>
      <c r="H690">
        <v>3247.63</v>
      </c>
      <c r="I690" t="s">
        <v>3982</v>
      </c>
      <c r="M690" s="14" t="s">
        <v>5217</v>
      </c>
    </row>
    <row r="691" spans="1:13" x14ac:dyDescent="0.3">
      <c r="A691" t="s">
        <v>5218</v>
      </c>
      <c r="B691" t="s">
        <v>2365</v>
      </c>
      <c r="C691" t="s">
        <v>5219</v>
      </c>
      <c r="D691" t="s">
        <v>4916</v>
      </c>
      <c r="E691" t="s">
        <v>4917</v>
      </c>
      <c r="F691" t="s">
        <v>950</v>
      </c>
      <c r="G691" t="s">
        <v>2081</v>
      </c>
      <c r="H691">
        <v>256</v>
      </c>
      <c r="I691" t="s">
        <v>3982</v>
      </c>
      <c r="M691" s="14" t="s">
        <v>5220</v>
      </c>
    </row>
    <row r="692" spans="1:13" x14ac:dyDescent="0.3">
      <c r="A692" t="s">
        <v>5221</v>
      </c>
      <c r="B692" t="s">
        <v>2362</v>
      </c>
      <c r="C692" t="s">
        <v>5222</v>
      </c>
      <c r="D692" t="s">
        <v>4916</v>
      </c>
      <c r="E692" t="s">
        <v>4917</v>
      </c>
      <c r="F692" t="s">
        <v>950</v>
      </c>
      <c r="G692" t="s">
        <v>2081</v>
      </c>
      <c r="H692">
        <v>1315.72</v>
      </c>
      <c r="I692" t="s">
        <v>3982</v>
      </c>
      <c r="M692" s="14" t="s">
        <v>5223</v>
      </c>
    </row>
    <row r="693" spans="1:13" x14ac:dyDescent="0.3">
      <c r="A693" t="s">
        <v>5224</v>
      </c>
      <c r="B693" t="s">
        <v>5225</v>
      </c>
      <c r="C693" t="s">
        <v>5226</v>
      </c>
      <c r="D693" t="s">
        <v>4916</v>
      </c>
      <c r="E693" t="s">
        <v>4917</v>
      </c>
      <c r="F693" t="s">
        <v>950</v>
      </c>
      <c r="G693" t="s">
        <v>2081</v>
      </c>
      <c r="H693">
        <v>26025.38</v>
      </c>
      <c r="I693" t="s">
        <v>3982</v>
      </c>
      <c r="M693" s="14" t="s">
        <v>5227</v>
      </c>
    </row>
    <row r="694" spans="1:13" x14ac:dyDescent="0.3">
      <c r="A694" t="s">
        <v>5228</v>
      </c>
      <c r="B694" t="s">
        <v>5229</v>
      </c>
      <c r="C694" t="s">
        <v>5230</v>
      </c>
      <c r="D694" t="s">
        <v>4916</v>
      </c>
      <c r="E694" t="s">
        <v>4917</v>
      </c>
      <c r="F694" t="s">
        <v>950</v>
      </c>
      <c r="G694" t="s">
        <v>2081</v>
      </c>
      <c r="H694">
        <v>12862.31</v>
      </c>
      <c r="I694" t="s">
        <v>3982</v>
      </c>
      <c r="M694" s="14" t="s">
        <v>5231</v>
      </c>
    </row>
    <row r="695" spans="1:13" x14ac:dyDescent="0.3">
      <c r="A695" t="s">
        <v>5232</v>
      </c>
      <c r="B695" t="s">
        <v>5233</v>
      </c>
      <c r="C695" t="s">
        <v>5234</v>
      </c>
      <c r="D695" t="s">
        <v>4916</v>
      </c>
      <c r="E695" t="s">
        <v>4917</v>
      </c>
      <c r="F695" t="s">
        <v>950</v>
      </c>
      <c r="G695" t="s">
        <v>2081</v>
      </c>
      <c r="H695">
        <v>12862.31</v>
      </c>
      <c r="I695" t="s">
        <v>3982</v>
      </c>
      <c r="M695" s="14" t="s">
        <v>5235</v>
      </c>
    </row>
    <row r="696" spans="1:13" x14ac:dyDescent="0.3">
      <c r="A696" t="s">
        <v>5236</v>
      </c>
      <c r="B696" t="s">
        <v>5237</v>
      </c>
      <c r="C696" t="s">
        <v>5238</v>
      </c>
      <c r="D696" t="s">
        <v>4916</v>
      </c>
      <c r="E696" t="s">
        <v>4917</v>
      </c>
      <c r="F696" t="s">
        <v>950</v>
      </c>
      <c r="G696" t="s">
        <v>2081</v>
      </c>
      <c r="H696">
        <v>12862.31</v>
      </c>
      <c r="I696" t="s">
        <v>3982</v>
      </c>
      <c r="M696" s="14" t="s">
        <v>5239</v>
      </c>
    </row>
    <row r="697" spans="1:13" x14ac:dyDescent="0.3">
      <c r="A697" t="s">
        <v>5240</v>
      </c>
      <c r="B697" t="s">
        <v>5241</v>
      </c>
      <c r="C697" t="s">
        <v>5242</v>
      </c>
      <c r="D697" t="s">
        <v>4916</v>
      </c>
      <c r="E697" t="s">
        <v>4917</v>
      </c>
      <c r="F697" t="s">
        <v>950</v>
      </c>
      <c r="G697" t="s">
        <v>2081</v>
      </c>
      <c r="H697">
        <v>12610.51</v>
      </c>
      <c r="I697" t="s">
        <v>3982</v>
      </c>
      <c r="M697" s="14" t="s">
        <v>5243</v>
      </c>
    </row>
    <row r="698" spans="1:13" x14ac:dyDescent="0.3">
      <c r="A698" t="s">
        <v>5244</v>
      </c>
      <c r="B698" t="s">
        <v>5245</v>
      </c>
      <c r="C698" t="s">
        <v>5246</v>
      </c>
      <c r="D698" t="s">
        <v>4916</v>
      </c>
      <c r="E698" t="s">
        <v>4917</v>
      </c>
      <c r="F698" t="s">
        <v>950</v>
      </c>
      <c r="G698" t="s">
        <v>2081</v>
      </c>
      <c r="H698">
        <v>12610.51</v>
      </c>
      <c r="I698" t="s">
        <v>3982</v>
      </c>
      <c r="M698" s="14" t="s">
        <v>5247</v>
      </c>
    </row>
    <row r="699" spans="1:13" x14ac:dyDescent="0.3">
      <c r="A699" t="s">
        <v>5248</v>
      </c>
      <c r="B699" t="s">
        <v>5249</v>
      </c>
      <c r="C699" t="s">
        <v>5250</v>
      </c>
      <c r="D699" t="s">
        <v>4916</v>
      </c>
      <c r="E699" t="s">
        <v>4917</v>
      </c>
      <c r="F699" t="s">
        <v>950</v>
      </c>
      <c r="G699" t="s">
        <v>2081</v>
      </c>
      <c r="H699">
        <v>21701.89</v>
      </c>
      <c r="I699" t="s">
        <v>3982</v>
      </c>
      <c r="M699" s="14" t="s">
        <v>5251</v>
      </c>
    </row>
    <row r="700" spans="1:13" x14ac:dyDescent="0.3">
      <c r="A700" t="s">
        <v>5252</v>
      </c>
      <c r="B700" t="s">
        <v>5253</v>
      </c>
      <c r="C700" t="s">
        <v>5254</v>
      </c>
      <c r="D700" t="s">
        <v>4916</v>
      </c>
      <c r="E700" t="s">
        <v>4917</v>
      </c>
      <c r="F700" t="s">
        <v>950</v>
      </c>
      <c r="G700" t="s">
        <v>2081</v>
      </c>
      <c r="H700">
        <v>21701.89</v>
      </c>
      <c r="I700" t="s">
        <v>3982</v>
      </c>
      <c r="M700" s="14" t="s">
        <v>5255</v>
      </c>
    </row>
    <row r="701" spans="1:13" x14ac:dyDescent="0.3">
      <c r="A701" t="s">
        <v>5256</v>
      </c>
      <c r="B701" t="s">
        <v>5257</v>
      </c>
      <c r="C701" t="s">
        <v>5258</v>
      </c>
      <c r="D701" t="s">
        <v>4916</v>
      </c>
      <c r="E701" t="s">
        <v>4917</v>
      </c>
      <c r="F701" t="s">
        <v>950</v>
      </c>
      <c r="G701" t="s">
        <v>2081</v>
      </c>
      <c r="H701">
        <v>12862.12</v>
      </c>
      <c r="I701" t="s">
        <v>3982</v>
      </c>
      <c r="M701" s="14" t="s">
        <v>5259</v>
      </c>
    </row>
    <row r="702" spans="1:13" x14ac:dyDescent="0.3">
      <c r="A702" t="s">
        <v>5260</v>
      </c>
      <c r="B702" t="s">
        <v>5261</v>
      </c>
      <c r="C702" t="s">
        <v>5262</v>
      </c>
      <c r="D702" t="s">
        <v>4916</v>
      </c>
      <c r="E702" t="s">
        <v>4917</v>
      </c>
      <c r="F702" t="s">
        <v>950</v>
      </c>
      <c r="G702" t="s">
        <v>2081</v>
      </c>
      <c r="H702">
        <v>12862.12</v>
      </c>
      <c r="I702" t="s">
        <v>3982</v>
      </c>
      <c r="M702" s="14" t="s">
        <v>5263</v>
      </c>
    </row>
    <row r="703" spans="1:13" x14ac:dyDescent="0.3">
      <c r="A703" t="s">
        <v>5264</v>
      </c>
      <c r="B703" t="s">
        <v>5265</v>
      </c>
      <c r="C703" t="s">
        <v>5266</v>
      </c>
      <c r="D703" t="s">
        <v>4916</v>
      </c>
      <c r="E703" t="s">
        <v>4917</v>
      </c>
      <c r="F703" t="s">
        <v>950</v>
      </c>
      <c r="G703" t="s">
        <v>2081</v>
      </c>
      <c r="H703">
        <v>14946.26</v>
      </c>
      <c r="I703" t="s">
        <v>3982</v>
      </c>
      <c r="M703" s="14" t="s">
        <v>5267</v>
      </c>
    </row>
    <row r="704" spans="1:13" x14ac:dyDescent="0.3">
      <c r="A704" t="s">
        <v>5268</v>
      </c>
      <c r="B704" t="s">
        <v>5269</v>
      </c>
      <c r="C704" t="s">
        <v>5270</v>
      </c>
      <c r="D704" t="s">
        <v>4916</v>
      </c>
      <c r="E704" t="s">
        <v>4917</v>
      </c>
      <c r="F704" t="s">
        <v>950</v>
      </c>
      <c r="G704" t="s">
        <v>2081</v>
      </c>
      <c r="H704">
        <v>14946.26</v>
      </c>
      <c r="I704" t="s">
        <v>3982</v>
      </c>
      <c r="M704" s="14" t="s">
        <v>5271</v>
      </c>
    </row>
    <row r="705" spans="1:13" x14ac:dyDescent="0.3">
      <c r="A705" t="s">
        <v>5272</v>
      </c>
      <c r="B705" t="s">
        <v>2419</v>
      </c>
      <c r="C705" t="s">
        <v>5273</v>
      </c>
      <c r="D705" t="s">
        <v>4916</v>
      </c>
      <c r="E705" t="s">
        <v>4917</v>
      </c>
      <c r="F705" t="s">
        <v>950</v>
      </c>
      <c r="G705" t="s">
        <v>2081</v>
      </c>
      <c r="H705">
        <v>12610.51</v>
      </c>
      <c r="I705" t="s">
        <v>3982</v>
      </c>
      <c r="M705" s="14" t="s">
        <v>5274</v>
      </c>
    </row>
    <row r="706" spans="1:13" x14ac:dyDescent="0.3">
      <c r="A706" t="s">
        <v>5275</v>
      </c>
      <c r="B706" t="s">
        <v>5276</v>
      </c>
      <c r="C706" t="s">
        <v>5277</v>
      </c>
      <c r="D706" t="s">
        <v>4916</v>
      </c>
      <c r="E706" t="s">
        <v>4917</v>
      </c>
      <c r="F706" t="s">
        <v>950</v>
      </c>
      <c r="G706" t="s">
        <v>2081</v>
      </c>
      <c r="H706">
        <v>9378.52</v>
      </c>
      <c r="I706" t="s">
        <v>3982</v>
      </c>
      <c r="M706" s="14" t="s">
        <v>5278</v>
      </c>
    </row>
    <row r="707" spans="1:13" x14ac:dyDescent="0.3">
      <c r="A707" t="s">
        <v>5279</v>
      </c>
      <c r="B707" t="s">
        <v>5280</v>
      </c>
      <c r="C707" t="s">
        <v>5281</v>
      </c>
      <c r="D707" t="s">
        <v>4916</v>
      </c>
      <c r="E707" t="s">
        <v>4917</v>
      </c>
      <c r="F707" t="s">
        <v>950</v>
      </c>
      <c r="G707" t="s">
        <v>2081</v>
      </c>
      <c r="H707">
        <v>9378.52</v>
      </c>
      <c r="I707" t="s">
        <v>3982</v>
      </c>
      <c r="M707" s="14" t="s">
        <v>5282</v>
      </c>
    </row>
    <row r="708" spans="1:13" x14ac:dyDescent="0.3">
      <c r="A708" t="s">
        <v>5283</v>
      </c>
      <c r="B708" t="s">
        <v>5284</v>
      </c>
      <c r="C708" t="s">
        <v>5285</v>
      </c>
      <c r="D708" t="s">
        <v>4916</v>
      </c>
      <c r="E708" t="s">
        <v>4917</v>
      </c>
      <c r="F708" t="s">
        <v>950</v>
      </c>
      <c r="G708" t="s">
        <v>2081</v>
      </c>
      <c r="H708">
        <v>12862.31</v>
      </c>
      <c r="I708" t="s">
        <v>3982</v>
      </c>
      <c r="M708" s="14" t="s">
        <v>5286</v>
      </c>
    </row>
    <row r="709" spans="1:13" x14ac:dyDescent="0.3">
      <c r="A709" t="s">
        <v>5287</v>
      </c>
      <c r="B709" t="s">
        <v>5288</v>
      </c>
      <c r="C709" t="s">
        <v>5289</v>
      </c>
      <c r="D709" t="s">
        <v>4916</v>
      </c>
      <c r="E709" t="s">
        <v>4917</v>
      </c>
      <c r="F709" t="s">
        <v>950</v>
      </c>
      <c r="G709" t="s">
        <v>2081</v>
      </c>
      <c r="H709">
        <v>12862.31</v>
      </c>
      <c r="I709" t="s">
        <v>3982</v>
      </c>
      <c r="M709" s="14" t="s">
        <v>5290</v>
      </c>
    </row>
    <row r="710" spans="1:13" x14ac:dyDescent="0.3">
      <c r="A710" t="s">
        <v>5291</v>
      </c>
      <c r="B710" t="s">
        <v>5292</v>
      </c>
      <c r="C710" t="s">
        <v>5293</v>
      </c>
      <c r="D710" t="s">
        <v>4916</v>
      </c>
      <c r="E710" t="s">
        <v>4917</v>
      </c>
      <c r="F710" t="s">
        <v>950</v>
      </c>
      <c r="G710" t="s">
        <v>2081</v>
      </c>
      <c r="H710">
        <v>11592.71</v>
      </c>
      <c r="I710" t="s">
        <v>3982</v>
      </c>
      <c r="M710" s="14" t="s">
        <v>5294</v>
      </c>
    </row>
    <row r="711" spans="1:13" x14ac:dyDescent="0.3">
      <c r="A711" t="s">
        <v>5295</v>
      </c>
      <c r="B711" t="s">
        <v>5296</v>
      </c>
      <c r="C711" t="s">
        <v>5297</v>
      </c>
      <c r="D711" t="s">
        <v>4916</v>
      </c>
      <c r="E711" t="s">
        <v>4917</v>
      </c>
      <c r="F711" t="s">
        <v>950</v>
      </c>
      <c r="G711" t="s">
        <v>2081</v>
      </c>
      <c r="H711">
        <v>14946.26</v>
      </c>
      <c r="I711" t="s">
        <v>3982</v>
      </c>
      <c r="M711" s="14" t="s">
        <v>5298</v>
      </c>
    </row>
    <row r="712" spans="1:13" x14ac:dyDescent="0.3">
      <c r="A712" t="s">
        <v>5299</v>
      </c>
      <c r="B712" t="s">
        <v>5300</v>
      </c>
      <c r="C712" t="s">
        <v>5301</v>
      </c>
      <c r="D712" t="s">
        <v>4916</v>
      </c>
      <c r="E712" t="s">
        <v>4917</v>
      </c>
      <c r="F712" t="s">
        <v>950</v>
      </c>
      <c r="G712" t="s">
        <v>2081</v>
      </c>
      <c r="H712">
        <v>14946.26</v>
      </c>
      <c r="I712" t="s">
        <v>3982</v>
      </c>
      <c r="M712" s="14" t="s">
        <v>5302</v>
      </c>
    </row>
    <row r="713" spans="1:13" x14ac:dyDescent="0.3">
      <c r="A713" t="s">
        <v>5303</v>
      </c>
      <c r="B713" t="s">
        <v>5304</v>
      </c>
      <c r="C713" t="s">
        <v>5305</v>
      </c>
      <c r="D713" t="s">
        <v>4916</v>
      </c>
      <c r="E713" t="s">
        <v>4917</v>
      </c>
      <c r="F713" t="s">
        <v>950</v>
      </c>
      <c r="G713" t="s">
        <v>2081</v>
      </c>
      <c r="H713">
        <v>15005.8</v>
      </c>
      <c r="I713" t="s">
        <v>3982</v>
      </c>
      <c r="M713" s="14" t="s">
        <v>5306</v>
      </c>
    </row>
    <row r="714" spans="1:13" x14ac:dyDescent="0.3">
      <c r="A714" t="s">
        <v>5307</v>
      </c>
      <c r="B714" t="s">
        <v>5308</v>
      </c>
      <c r="C714" t="s">
        <v>5309</v>
      </c>
      <c r="D714" t="s">
        <v>4916</v>
      </c>
      <c r="E714" t="s">
        <v>4917</v>
      </c>
      <c r="F714" t="s">
        <v>950</v>
      </c>
      <c r="G714" t="s">
        <v>2081</v>
      </c>
      <c r="H714">
        <v>17905.150000000001</v>
      </c>
      <c r="I714" t="s">
        <v>3982</v>
      </c>
      <c r="M714" s="14" t="s">
        <v>5310</v>
      </c>
    </row>
    <row r="715" spans="1:13" x14ac:dyDescent="0.3">
      <c r="A715" t="s">
        <v>5311</v>
      </c>
      <c r="B715" t="s">
        <v>2277</v>
      </c>
      <c r="C715" t="s">
        <v>5312</v>
      </c>
      <c r="D715" t="s">
        <v>4916</v>
      </c>
      <c r="E715" t="s">
        <v>4917</v>
      </c>
      <c r="F715" t="s">
        <v>950</v>
      </c>
      <c r="G715" t="s">
        <v>2081</v>
      </c>
      <c r="H715">
        <v>17905.150000000001</v>
      </c>
      <c r="I715" t="s">
        <v>3982</v>
      </c>
      <c r="M715" s="14" t="s">
        <v>5313</v>
      </c>
    </row>
    <row r="716" spans="1:13" x14ac:dyDescent="0.3">
      <c r="A716" t="s">
        <v>5314</v>
      </c>
      <c r="B716" t="s">
        <v>5315</v>
      </c>
      <c r="C716" t="s">
        <v>5316</v>
      </c>
      <c r="D716" t="s">
        <v>4916</v>
      </c>
      <c r="E716" t="s">
        <v>4917</v>
      </c>
      <c r="F716" t="s">
        <v>950</v>
      </c>
      <c r="G716" t="s">
        <v>2081</v>
      </c>
      <c r="H716">
        <v>12913.77</v>
      </c>
      <c r="I716" t="s">
        <v>3982</v>
      </c>
      <c r="M716" s="14" t="s">
        <v>5317</v>
      </c>
    </row>
    <row r="717" spans="1:13" x14ac:dyDescent="0.3">
      <c r="A717" t="s">
        <v>5318</v>
      </c>
      <c r="B717" t="s">
        <v>5319</v>
      </c>
      <c r="C717" t="s">
        <v>5320</v>
      </c>
      <c r="D717" t="s">
        <v>4916</v>
      </c>
      <c r="E717" t="s">
        <v>4917</v>
      </c>
      <c r="F717" t="s">
        <v>950</v>
      </c>
      <c r="G717" t="s">
        <v>2081</v>
      </c>
      <c r="H717">
        <v>12714.87</v>
      </c>
      <c r="I717" t="s">
        <v>3982</v>
      </c>
      <c r="M717" s="14" t="s">
        <v>5321</v>
      </c>
    </row>
    <row r="718" spans="1:13" x14ac:dyDescent="0.3">
      <c r="A718" t="s">
        <v>5322</v>
      </c>
      <c r="B718" t="s">
        <v>5323</v>
      </c>
      <c r="C718" t="s">
        <v>5324</v>
      </c>
      <c r="D718" t="s">
        <v>4916</v>
      </c>
      <c r="E718" t="s">
        <v>4917</v>
      </c>
      <c r="F718" t="s">
        <v>950</v>
      </c>
      <c r="G718" t="s">
        <v>2081</v>
      </c>
      <c r="H718">
        <v>12714.87</v>
      </c>
      <c r="I718" t="s">
        <v>3982</v>
      </c>
      <c r="M718" s="14" t="s">
        <v>5325</v>
      </c>
    </row>
    <row r="719" spans="1:13" x14ac:dyDescent="0.3">
      <c r="A719" t="s">
        <v>5326</v>
      </c>
      <c r="B719" t="s">
        <v>5327</v>
      </c>
      <c r="C719" t="s">
        <v>5328</v>
      </c>
      <c r="D719" t="s">
        <v>4916</v>
      </c>
      <c r="E719" t="s">
        <v>4917</v>
      </c>
      <c r="F719" t="s">
        <v>950</v>
      </c>
      <c r="G719" t="s">
        <v>2081</v>
      </c>
      <c r="H719">
        <v>16239.16</v>
      </c>
      <c r="I719" t="s">
        <v>3982</v>
      </c>
      <c r="M719" s="14" t="s">
        <v>5329</v>
      </c>
    </row>
    <row r="720" spans="1:13" x14ac:dyDescent="0.3">
      <c r="A720" t="s">
        <v>5330</v>
      </c>
      <c r="B720" t="s">
        <v>5331</v>
      </c>
      <c r="C720" t="s">
        <v>5332</v>
      </c>
      <c r="D720" t="s">
        <v>4916</v>
      </c>
      <c r="E720" t="s">
        <v>4917</v>
      </c>
      <c r="F720" t="s">
        <v>950</v>
      </c>
      <c r="G720" t="s">
        <v>2081</v>
      </c>
      <c r="H720">
        <v>16239.16</v>
      </c>
      <c r="I720" t="s">
        <v>3982</v>
      </c>
      <c r="M720" s="14" t="s">
        <v>5333</v>
      </c>
    </row>
    <row r="721" spans="1:13" x14ac:dyDescent="0.3">
      <c r="A721" t="s">
        <v>5334</v>
      </c>
      <c r="B721" t="s">
        <v>5335</v>
      </c>
      <c r="C721" t="s">
        <v>5336</v>
      </c>
      <c r="D721" t="s">
        <v>4916</v>
      </c>
      <c r="E721" t="s">
        <v>4917</v>
      </c>
      <c r="F721" t="s">
        <v>950</v>
      </c>
      <c r="G721" t="s">
        <v>2081</v>
      </c>
      <c r="H721">
        <v>9677.41</v>
      </c>
      <c r="I721" t="s">
        <v>3982</v>
      </c>
      <c r="M721" s="14" t="s">
        <v>5337</v>
      </c>
    </row>
    <row r="722" spans="1:13" x14ac:dyDescent="0.3">
      <c r="A722" t="s">
        <v>5338</v>
      </c>
      <c r="B722" t="s">
        <v>5339</v>
      </c>
      <c r="C722" t="s">
        <v>5340</v>
      </c>
      <c r="D722" t="s">
        <v>4916</v>
      </c>
      <c r="E722" t="s">
        <v>4917</v>
      </c>
      <c r="F722" t="s">
        <v>950</v>
      </c>
      <c r="G722" t="s">
        <v>2081</v>
      </c>
      <c r="H722">
        <v>8455.9500000000007</v>
      </c>
      <c r="I722" t="s">
        <v>3982</v>
      </c>
      <c r="M722" s="14" t="s">
        <v>5341</v>
      </c>
    </row>
    <row r="723" spans="1:13" x14ac:dyDescent="0.3">
      <c r="A723" t="s">
        <v>5342</v>
      </c>
      <c r="B723" t="s">
        <v>5343</v>
      </c>
      <c r="C723" t="s">
        <v>5344</v>
      </c>
      <c r="D723" t="s">
        <v>4916</v>
      </c>
      <c r="E723" t="s">
        <v>4917</v>
      </c>
      <c r="F723" t="s">
        <v>950</v>
      </c>
      <c r="G723" t="s">
        <v>2081</v>
      </c>
      <c r="H723">
        <v>53968.480000000003</v>
      </c>
      <c r="I723" t="s">
        <v>3982</v>
      </c>
      <c r="M723" s="14" t="s">
        <v>5345</v>
      </c>
    </row>
    <row r="724" spans="1:13" x14ac:dyDescent="0.3">
      <c r="A724" t="s">
        <v>5346</v>
      </c>
      <c r="B724" t="s">
        <v>5347</v>
      </c>
      <c r="C724" t="s">
        <v>5348</v>
      </c>
      <c r="D724" t="s">
        <v>4916</v>
      </c>
      <c r="E724" t="s">
        <v>4917</v>
      </c>
      <c r="F724" t="s">
        <v>950</v>
      </c>
      <c r="G724" t="s">
        <v>2081</v>
      </c>
      <c r="H724">
        <v>53968.480000000003</v>
      </c>
      <c r="I724" t="s">
        <v>3982</v>
      </c>
      <c r="M724" s="14" t="s">
        <v>5349</v>
      </c>
    </row>
    <row r="725" spans="1:13" x14ac:dyDescent="0.3">
      <c r="A725" t="s">
        <v>5350</v>
      </c>
      <c r="B725" t="s">
        <v>5351</v>
      </c>
      <c r="C725" t="s">
        <v>5352</v>
      </c>
      <c r="D725" t="s">
        <v>4916</v>
      </c>
      <c r="E725" t="s">
        <v>4917</v>
      </c>
      <c r="F725" t="s">
        <v>950</v>
      </c>
      <c r="G725" t="s">
        <v>2081</v>
      </c>
      <c r="H725">
        <v>15005.8</v>
      </c>
      <c r="I725" t="s">
        <v>3982</v>
      </c>
      <c r="M725" s="14" t="s">
        <v>5353</v>
      </c>
    </row>
    <row r="726" spans="1:13" x14ac:dyDescent="0.3">
      <c r="A726" t="s">
        <v>5354</v>
      </c>
      <c r="B726" t="s">
        <v>5355</v>
      </c>
      <c r="C726" t="s">
        <v>5356</v>
      </c>
      <c r="D726" t="s">
        <v>4916</v>
      </c>
      <c r="E726" t="s">
        <v>4917</v>
      </c>
      <c r="F726" t="s">
        <v>950</v>
      </c>
      <c r="G726" t="s">
        <v>2081</v>
      </c>
      <c r="H726">
        <v>4741.63</v>
      </c>
      <c r="I726" t="s">
        <v>3982</v>
      </c>
      <c r="M726" s="14" t="s">
        <v>5357</v>
      </c>
    </row>
    <row r="727" spans="1:13" x14ac:dyDescent="0.3">
      <c r="A727" t="s">
        <v>5358</v>
      </c>
      <c r="B727" t="s">
        <v>5359</v>
      </c>
      <c r="C727" t="s">
        <v>5360</v>
      </c>
      <c r="D727" t="s">
        <v>4916</v>
      </c>
      <c r="E727" t="s">
        <v>4917</v>
      </c>
      <c r="F727" t="s">
        <v>950</v>
      </c>
      <c r="G727" t="s">
        <v>2081</v>
      </c>
      <c r="H727">
        <v>1320.68</v>
      </c>
      <c r="I727" t="s">
        <v>3982</v>
      </c>
      <c r="M727" s="14" t="s">
        <v>5361</v>
      </c>
    </row>
    <row r="728" spans="1:13" x14ac:dyDescent="0.3">
      <c r="A728" t="s">
        <v>5362</v>
      </c>
      <c r="B728" t="s">
        <v>5363</v>
      </c>
      <c r="C728" t="s">
        <v>5364</v>
      </c>
      <c r="D728" t="s">
        <v>4916</v>
      </c>
      <c r="E728" t="s">
        <v>4917</v>
      </c>
      <c r="F728" t="s">
        <v>950</v>
      </c>
      <c r="G728" t="s">
        <v>2081</v>
      </c>
      <c r="H728">
        <v>2709.5</v>
      </c>
      <c r="I728" t="s">
        <v>3982</v>
      </c>
      <c r="M728" s="14" t="s">
        <v>5365</v>
      </c>
    </row>
    <row r="729" spans="1:13" x14ac:dyDescent="0.3">
      <c r="A729" t="s">
        <v>5366</v>
      </c>
      <c r="B729" t="s">
        <v>5367</v>
      </c>
      <c r="C729" t="s">
        <v>5368</v>
      </c>
      <c r="D729" t="s">
        <v>4916</v>
      </c>
      <c r="E729" t="s">
        <v>4917</v>
      </c>
      <c r="F729" t="s">
        <v>950</v>
      </c>
      <c r="G729" t="s">
        <v>2081</v>
      </c>
      <c r="H729">
        <v>14651.56</v>
      </c>
      <c r="I729" t="s">
        <v>3982</v>
      </c>
      <c r="M729" s="14" t="s">
        <v>5369</v>
      </c>
    </row>
    <row r="730" spans="1:13" x14ac:dyDescent="0.3">
      <c r="A730" t="s">
        <v>5370</v>
      </c>
      <c r="B730" t="s">
        <v>5371</v>
      </c>
      <c r="C730" t="s">
        <v>5372</v>
      </c>
      <c r="D730" t="s">
        <v>4916</v>
      </c>
      <c r="E730" t="s">
        <v>4917</v>
      </c>
      <c r="F730" t="s">
        <v>950</v>
      </c>
      <c r="G730" t="s">
        <v>2081</v>
      </c>
      <c r="H730">
        <v>14651.56</v>
      </c>
      <c r="I730" t="s">
        <v>3982</v>
      </c>
      <c r="M730" s="14" t="s">
        <v>5373</v>
      </c>
    </row>
    <row r="731" spans="1:13" x14ac:dyDescent="0.3">
      <c r="A731" t="s">
        <v>5374</v>
      </c>
      <c r="B731" t="s">
        <v>5375</v>
      </c>
      <c r="C731" t="s">
        <v>5376</v>
      </c>
      <c r="D731" t="s">
        <v>4916</v>
      </c>
      <c r="E731" t="s">
        <v>4917</v>
      </c>
      <c r="F731" t="s">
        <v>950</v>
      </c>
      <c r="G731" t="s">
        <v>2081</v>
      </c>
      <c r="H731">
        <v>12309.74</v>
      </c>
      <c r="I731" t="s">
        <v>3982</v>
      </c>
      <c r="M731" s="14" t="s">
        <v>5377</v>
      </c>
    </row>
    <row r="732" spans="1:13" x14ac:dyDescent="0.3">
      <c r="A732" t="s">
        <v>5378</v>
      </c>
      <c r="B732" t="s">
        <v>5379</v>
      </c>
      <c r="C732" t="s">
        <v>5380</v>
      </c>
      <c r="D732" t="s">
        <v>4916</v>
      </c>
      <c r="E732" t="s">
        <v>4917</v>
      </c>
      <c r="F732" t="s">
        <v>950</v>
      </c>
      <c r="G732" t="s">
        <v>2081</v>
      </c>
      <c r="H732">
        <v>12309.74</v>
      </c>
      <c r="I732" t="s">
        <v>3982</v>
      </c>
      <c r="M732" s="14" t="s">
        <v>5381</v>
      </c>
    </row>
    <row r="733" spans="1:13" x14ac:dyDescent="0.3">
      <c r="A733" t="s">
        <v>5382</v>
      </c>
      <c r="B733" t="s">
        <v>5383</v>
      </c>
      <c r="C733" t="s">
        <v>5384</v>
      </c>
      <c r="D733" t="s">
        <v>4916</v>
      </c>
      <c r="E733" t="s">
        <v>4917</v>
      </c>
      <c r="F733" t="s">
        <v>950</v>
      </c>
      <c r="G733" t="s">
        <v>2081</v>
      </c>
      <c r="H733">
        <v>14651.56</v>
      </c>
      <c r="I733" t="s">
        <v>3982</v>
      </c>
      <c r="M733" s="14" t="s">
        <v>5385</v>
      </c>
    </row>
    <row r="734" spans="1:13" x14ac:dyDescent="0.3">
      <c r="A734" t="s">
        <v>5386</v>
      </c>
      <c r="B734" t="s">
        <v>5387</v>
      </c>
      <c r="C734" t="s">
        <v>5388</v>
      </c>
      <c r="D734" t="s">
        <v>4916</v>
      </c>
      <c r="E734" t="s">
        <v>4917</v>
      </c>
      <c r="F734" t="s">
        <v>950</v>
      </c>
      <c r="G734" t="s">
        <v>2081</v>
      </c>
      <c r="H734">
        <v>14651.56</v>
      </c>
      <c r="I734" t="s">
        <v>3982</v>
      </c>
      <c r="M734" s="14" t="s">
        <v>5389</v>
      </c>
    </row>
    <row r="735" spans="1:13" x14ac:dyDescent="0.3">
      <c r="A735" t="s">
        <v>5390</v>
      </c>
      <c r="B735" t="s">
        <v>2262</v>
      </c>
      <c r="C735" t="s">
        <v>5391</v>
      </c>
      <c r="D735" t="s">
        <v>4916</v>
      </c>
      <c r="E735" t="s">
        <v>4917</v>
      </c>
      <c r="F735" t="s">
        <v>950</v>
      </c>
      <c r="G735" t="s">
        <v>2081</v>
      </c>
      <c r="H735">
        <v>14651.56</v>
      </c>
      <c r="I735" t="s">
        <v>3982</v>
      </c>
      <c r="M735" s="14" t="s">
        <v>5392</v>
      </c>
    </row>
    <row r="736" spans="1:13" x14ac:dyDescent="0.3">
      <c r="A736" t="s">
        <v>5393</v>
      </c>
      <c r="B736" t="s">
        <v>5394</v>
      </c>
      <c r="C736" t="s">
        <v>5395</v>
      </c>
      <c r="D736" t="s">
        <v>4916</v>
      </c>
      <c r="E736" t="s">
        <v>4917</v>
      </c>
      <c r="F736" t="s">
        <v>950</v>
      </c>
      <c r="G736" t="s">
        <v>2081</v>
      </c>
      <c r="H736">
        <v>14651.56</v>
      </c>
      <c r="I736" t="s">
        <v>3982</v>
      </c>
      <c r="M736" s="14" t="s">
        <v>5396</v>
      </c>
    </row>
    <row r="737" spans="1:13" x14ac:dyDescent="0.3">
      <c r="A737" t="s">
        <v>5397</v>
      </c>
      <c r="B737" t="s">
        <v>5398</v>
      </c>
      <c r="C737" t="s">
        <v>5399</v>
      </c>
      <c r="D737" t="s">
        <v>4916</v>
      </c>
      <c r="E737" t="s">
        <v>4917</v>
      </c>
      <c r="F737" t="s">
        <v>950</v>
      </c>
      <c r="G737" t="s">
        <v>2081</v>
      </c>
      <c r="H737">
        <v>14651.56</v>
      </c>
      <c r="I737" t="s">
        <v>3982</v>
      </c>
      <c r="M737" s="14" t="s">
        <v>5400</v>
      </c>
    </row>
    <row r="738" spans="1:13" x14ac:dyDescent="0.3">
      <c r="A738" t="s">
        <v>5401</v>
      </c>
      <c r="B738" t="s">
        <v>5402</v>
      </c>
      <c r="C738" t="s">
        <v>5403</v>
      </c>
      <c r="D738" t="s">
        <v>4916</v>
      </c>
      <c r="E738" t="s">
        <v>4917</v>
      </c>
      <c r="F738" t="s">
        <v>950</v>
      </c>
      <c r="G738" t="s">
        <v>2081</v>
      </c>
      <c r="H738">
        <v>14651.56</v>
      </c>
      <c r="I738" t="s">
        <v>3982</v>
      </c>
      <c r="M738" s="14" t="s">
        <v>5404</v>
      </c>
    </row>
    <row r="739" spans="1:13" x14ac:dyDescent="0.3">
      <c r="A739" t="s">
        <v>5405</v>
      </c>
      <c r="B739" t="s">
        <v>5406</v>
      </c>
      <c r="C739" t="s">
        <v>5407</v>
      </c>
      <c r="D739" t="s">
        <v>4916</v>
      </c>
      <c r="E739" t="s">
        <v>4917</v>
      </c>
      <c r="F739" t="s">
        <v>950</v>
      </c>
      <c r="G739" t="s">
        <v>2081</v>
      </c>
      <c r="H739">
        <v>19298.27</v>
      </c>
      <c r="I739" t="s">
        <v>3982</v>
      </c>
      <c r="M739" s="14" t="s">
        <v>5408</v>
      </c>
    </row>
    <row r="740" spans="1:13" x14ac:dyDescent="0.3">
      <c r="A740" t="s">
        <v>5409</v>
      </c>
      <c r="B740" t="s">
        <v>5410</v>
      </c>
      <c r="C740" t="s">
        <v>5411</v>
      </c>
      <c r="D740" t="s">
        <v>4916</v>
      </c>
      <c r="E740" t="s">
        <v>4917</v>
      </c>
      <c r="F740" t="s">
        <v>950</v>
      </c>
      <c r="G740" t="s">
        <v>2081</v>
      </c>
      <c r="H740">
        <v>19298.27</v>
      </c>
      <c r="I740" t="s">
        <v>3982</v>
      </c>
      <c r="M740" s="14" t="s">
        <v>5412</v>
      </c>
    </row>
    <row r="741" spans="1:13" x14ac:dyDescent="0.3">
      <c r="A741" t="s">
        <v>5413</v>
      </c>
      <c r="B741" t="s">
        <v>5414</v>
      </c>
      <c r="C741" t="s">
        <v>5415</v>
      </c>
      <c r="D741" t="s">
        <v>4916</v>
      </c>
      <c r="E741" t="s">
        <v>4917</v>
      </c>
      <c r="F741" t="s">
        <v>950</v>
      </c>
      <c r="G741" t="s">
        <v>2081</v>
      </c>
      <c r="H741">
        <v>693.58</v>
      </c>
      <c r="I741" t="s">
        <v>3982</v>
      </c>
      <c r="M741" s="14" t="s">
        <v>5416</v>
      </c>
    </row>
    <row r="742" spans="1:13" x14ac:dyDescent="0.3">
      <c r="A742" t="s">
        <v>5417</v>
      </c>
      <c r="B742" t="s">
        <v>5414</v>
      </c>
      <c r="C742" t="s">
        <v>5415</v>
      </c>
      <c r="D742" t="s">
        <v>4916</v>
      </c>
      <c r="E742" t="s">
        <v>4917</v>
      </c>
      <c r="F742" t="s">
        <v>950</v>
      </c>
      <c r="G742" t="s">
        <v>2081</v>
      </c>
      <c r="H742">
        <v>693.58</v>
      </c>
      <c r="I742" t="s">
        <v>3982</v>
      </c>
      <c r="M742" s="14" t="s">
        <v>5418</v>
      </c>
    </row>
    <row r="743" spans="1:13" x14ac:dyDescent="0.3">
      <c r="A743" t="s">
        <v>5419</v>
      </c>
      <c r="B743" t="s">
        <v>5420</v>
      </c>
      <c r="C743" t="s">
        <v>5421</v>
      </c>
      <c r="D743" t="s">
        <v>4916</v>
      </c>
      <c r="E743" t="s">
        <v>4917</v>
      </c>
      <c r="F743" t="s">
        <v>950</v>
      </c>
      <c r="G743" t="s">
        <v>2081</v>
      </c>
      <c r="H743">
        <v>16761.09</v>
      </c>
      <c r="I743" t="s">
        <v>3982</v>
      </c>
      <c r="M743" s="14" t="s">
        <v>5422</v>
      </c>
    </row>
    <row r="744" spans="1:13" x14ac:dyDescent="0.3">
      <c r="A744" t="s">
        <v>5423</v>
      </c>
      <c r="B744" t="s">
        <v>5424</v>
      </c>
      <c r="C744" t="s">
        <v>5425</v>
      </c>
      <c r="D744" t="s">
        <v>4916</v>
      </c>
      <c r="E744" t="s">
        <v>4917</v>
      </c>
      <c r="F744" t="s">
        <v>950</v>
      </c>
      <c r="G744" t="s">
        <v>2081</v>
      </c>
      <c r="H744">
        <v>12040.89</v>
      </c>
      <c r="I744" t="s">
        <v>3982</v>
      </c>
      <c r="M744" s="14" t="s">
        <v>5426</v>
      </c>
    </row>
    <row r="745" spans="1:13" x14ac:dyDescent="0.3">
      <c r="A745" t="s">
        <v>5427</v>
      </c>
      <c r="B745" t="s">
        <v>5428</v>
      </c>
      <c r="C745" t="s">
        <v>5429</v>
      </c>
      <c r="D745" t="s">
        <v>4916</v>
      </c>
      <c r="E745" t="s">
        <v>4917</v>
      </c>
      <c r="F745" t="s">
        <v>950</v>
      </c>
      <c r="G745" t="s">
        <v>2081</v>
      </c>
      <c r="H745">
        <v>5402.8</v>
      </c>
      <c r="I745" t="s">
        <v>3982</v>
      </c>
      <c r="M745" s="14" t="s">
        <v>5430</v>
      </c>
    </row>
    <row r="746" spans="1:13" x14ac:dyDescent="0.3">
      <c r="A746" t="s">
        <v>5431</v>
      </c>
      <c r="B746" t="s">
        <v>2227</v>
      </c>
      <c r="C746" t="s">
        <v>5432</v>
      </c>
      <c r="D746" t="s">
        <v>4916</v>
      </c>
      <c r="E746" t="s">
        <v>4917</v>
      </c>
      <c r="F746" t="s">
        <v>950</v>
      </c>
      <c r="G746" t="s">
        <v>2081</v>
      </c>
      <c r="H746">
        <v>5402.8</v>
      </c>
      <c r="I746" t="s">
        <v>3982</v>
      </c>
      <c r="M746" s="14" t="s">
        <v>5433</v>
      </c>
    </row>
    <row r="747" spans="1:13" x14ac:dyDescent="0.3">
      <c r="A747" t="s">
        <v>5434</v>
      </c>
      <c r="B747" t="s">
        <v>5435</v>
      </c>
      <c r="C747" t="s">
        <v>5436</v>
      </c>
      <c r="D747" t="s">
        <v>4916</v>
      </c>
      <c r="E747" t="s">
        <v>4917</v>
      </c>
      <c r="F747" t="s">
        <v>950</v>
      </c>
      <c r="G747" t="s">
        <v>2081</v>
      </c>
      <c r="H747">
        <v>6256.14</v>
      </c>
      <c r="I747" t="s">
        <v>3982</v>
      </c>
      <c r="M747" s="14" t="s">
        <v>5437</v>
      </c>
    </row>
    <row r="748" spans="1:13" x14ac:dyDescent="0.3">
      <c r="A748" t="s">
        <v>5438</v>
      </c>
      <c r="B748" t="s">
        <v>5439</v>
      </c>
      <c r="C748" t="s">
        <v>5440</v>
      </c>
      <c r="D748" t="s">
        <v>4916</v>
      </c>
      <c r="E748" t="s">
        <v>4917</v>
      </c>
      <c r="F748" t="s">
        <v>950</v>
      </c>
      <c r="G748" t="s">
        <v>2081</v>
      </c>
      <c r="H748">
        <v>18266.330000000002</v>
      </c>
      <c r="I748" t="s">
        <v>3982</v>
      </c>
      <c r="M748" s="14" t="s">
        <v>5441</v>
      </c>
    </row>
    <row r="749" spans="1:13" x14ac:dyDescent="0.3">
      <c r="A749" t="s">
        <v>5442</v>
      </c>
      <c r="B749" t="s">
        <v>5443</v>
      </c>
      <c r="C749" t="s">
        <v>5444</v>
      </c>
      <c r="D749" t="s">
        <v>4916</v>
      </c>
      <c r="E749" t="s">
        <v>4917</v>
      </c>
      <c r="F749" t="s">
        <v>950</v>
      </c>
      <c r="G749" t="s">
        <v>2081</v>
      </c>
      <c r="H749">
        <v>18263.349999999999</v>
      </c>
      <c r="I749" t="s">
        <v>3982</v>
      </c>
      <c r="M749" s="14" t="s">
        <v>5445</v>
      </c>
    </row>
    <row r="750" spans="1:13" x14ac:dyDescent="0.3">
      <c r="A750" t="s">
        <v>5446</v>
      </c>
      <c r="B750" t="s">
        <v>5447</v>
      </c>
      <c r="C750" t="s">
        <v>5448</v>
      </c>
      <c r="D750" t="s">
        <v>4916</v>
      </c>
      <c r="E750" t="s">
        <v>4917</v>
      </c>
      <c r="F750" t="s">
        <v>950</v>
      </c>
      <c r="G750" t="s">
        <v>2081</v>
      </c>
      <c r="H750">
        <v>18263.349999999999</v>
      </c>
      <c r="I750" t="s">
        <v>3982</v>
      </c>
      <c r="M750" s="14" t="s">
        <v>5449</v>
      </c>
    </row>
    <row r="751" spans="1:13" x14ac:dyDescent="0.3">
      <c r="A751" t="s">
        <v>5450</v>
      </c>
      <c r="B751" t="s">
        <v>5451</v>
      </c>
      <c r="C751" t="s">
        <v>5452</v>
      </c>
      <c r="D751" t="s">
        <v>4916</v>
      </c>
      <c r="E751" t="s">
        <v>4917</v>
      </c>
      <c r="F751" t="s">
        <v>950</v>
      </c>
      <c r="G751" t="s">
        <v>2081</v>
      </c>
      <c r="H751">
        <v>18263.349999999999</v>
      </c>
      <c r="I751" t="s">
        <v>3982</v>
      </c>
      <c r="M751" s="14" t="s">
        <v>5453</v>
      </c>
    </row>
    <row r="752" spans="1:13" x14ac:dyDescent="0.3">
      <c r="A752" t="s">
        <v>5454</v>
      </c>
      <c r="B752" t="s">
        <v>5455</v>
      </c>
      <c r="C752" t="s">
        <v>5456</v>
      </c>
      <c r="D752" t="s">
        <v>4916</v>
      </c>
      <c r="E752" t="s">
        <v>4917</v>
      </c>
      <c r="F752" t="s">
        <v>950</v>
      </c>
      <c r="G752" t="s">
        <v>2081</v>
      </c>
      <c r="H752">
        <v>40636.44</v>
      </c>
      <c r="I752" t="s">
        <v>3982</v>
      </c>
      <c r="M752" s="14" t="s">
        <v>5457</v>
      </c>
    </row>
    <row r="753" spans="1:13" x14ac:dyDescent="0.3">
      <c r="A753" t="s">
        <v>5458</v>
      </c>
      <c r="B753" t="s">
        <v>5459</v>
      </c>
      <c r="D753" t="s">
        <v>5460</v>
      </c>
      <c r="E753" t="s">
        <v>5460</v>
      </c>
      <c r="F753" t="s">
        <v>950</v>
      </c>
      <c r="G753" t="s">
        <v>2081</v>
      </c>
      <c r="H753">
        <v>27954.93</v>
      </c>
      <c r="I753" t="s">
        <v>3982</v>
      </c>
      <c r="M753" s="14" t="s">
        <v>5461</v>
      </c>
    </row>
    <row r="754" spans="1:13" x14ac:dyDescent="0.3">
      <c r="A754" t="s">
        <v>5462</v>
      </c>
      <c r="B754" t="s">
        <v>5463</v>
      </c>
      <c r="D754" t="s">
        <v>5460</v>
      </c>
      <c r="E754" t="s">
        <v>5460</v>
      </c>
      <c r="F754" t="s">
        <v>950</v>
      </c>
      <c r="G754" t="s">
        <v>2081</v>
      </c>
      <c r="H754">
        <v>31734.38</v>
      </c>
      <c r="I754" t="s">
        <v>3982</v>
      </c>
      <c r="M754" s="14" t="s">
        <v>5464</v>
      </c>
    </row>
    <row r="755" spans="1:13" x14ac:dyDescent="0.3">
      <c r="A755" t="s">
        <v>5465</v>
      </c>
      <c r="B755" t="s">
        <v>5466</v>
      </c>
      <c r="D755" t="s">
        <v>5460</v>
      </c>
      <c r="E755" t="s">
        <v>5460</v>
      </c>
      <c r="F755" t="s">
        <v>950</v>
      </c>
      <c r="G755" t="s">
        <v>2081</v>
      </c>
      <c r="H755">
        <v>62344.71</v>
      </c>
      <c r="I755" t="s">
        <v>3982</v>
      </c>
      <c r="M755" s="14" t="s">
        <v>5467</v>
      </c>
    </row>
    <row r="756" spans="1:13" x14ac:dyDescent="0.3">
      <c r="A756" t="s">
        <v>5468</v>
      </c>
      <c r="B756" t="s">
        <v>5469</v>
      </c>
      <c r="D756" t="s">
        <v>5460</v>
      </c>
      <c r="E756" t="s">
        <v>5460</v>
      </c>
      <c r="F756" t="s">
        <v>950</v>
      </c>
      <c r="G756" t="s">
        <v>2081</v>
      </c>
      <c r="H756">
        <v>83288.09</v>
      </c>
      <c r="I756" t="s">
        <v>3982</v>
      </c>
      <c r="M756" s="14" t="s">
        <v>5470</v>
      </c>
    </row>
    <row r="757" spans="1:13" x14ac:dyDescent="0.3">
      <c r="A757" t="s">
        <v>5471</v>
      </c>
      <c r="B757" t="s">
        <v>5472</v>
      </c>
      <c r="D757" t="s">
        <v>5460</v>
      </c>
      <c r="E757" t="s">
        <v>5460</v>
      </c>
      <c r="F757" t="s">
        <v>950</v>
      </c>
      <c r="G757" t="s">
        <v>2081</v>
      </c>
      <c r="H757">
        <v>100755.48</v>
      </c>
      <c r="I757" t="s">
        <v>3982</v>
      </c>
      <c r="M757" s="14" t="s">
        <v>5473</v>
      </c>
    </row>
    <row r="758" spans="1:13" x14ac:dyDescent="0.3">
      <c r="A758" t="s">
        <v>5474</v>
      </c>
      <c r="B758" t="s">
        <v>5475</v>
      </c>
      <c r="D758" t="s">
        <v>5460</v>
      </c>
      <c r="E758" t="s">
        <v>5460</v>
      </c>
      <c r="F758" t="s">
        <v>950</v>
      </c>
      <c r="G758" t="s">
        <v>2081</v>
      </c>
      <c r="H758">
        <v>18332.150000000001</v>
      </c>
      <c r="I758" t="s">
        <v>3982</v>
      </c>
      <c r="M758" s="14" t="s">
        <v>5476</v>
      </c>
    </row>
    <row r="759" spans="1:13" x14ac:dyDescent="0.3">
      <c r="A759" t="s">
        <v>5477</v>
      </c>
      <c r="B759" t="s">
        <v>5478</v>
      </c>
      <c r="D759" t="s">
        <v>5460</v>
      </c>
      <c r="E759" t="s">
        <v>5460</v>
      </c>
      <c r="F759" t="s">
        <v>950</v>
      </c>
      <c r="G759" t="s">
        <v>2081</v>
      </c>
      <c r="H759">
        <v>18332.150000000001</v>
      </c>
      <c r="I759" t="s">
        <v>3982</v>
      </c>
      <c r="M759" s="14" t="s">
        <v>5479</v>
      </c>
    </row>
    <row r="760" spans="1:13" x14ac:dyDescent="0.3">
      <c r="A760" t="s">
        <v>5480</v>
      </c>
      <c r="B760" t="s">
        <v>5481</v>
      </c>
      <c r="D760" t="s">
        <v>5204</v>
      </c>
      <c r="E760" t="s">
        <v>4917</v>
      </c>
      <c r="F760" t="s">
        <v>950</v>
      </c>
      <c r="G760" t="s">
        <v>2081</v>
      </c>
      <c r="H760">
        <v>1086.51</v>
      </c>
      <c r="I760" t="s">
        <v>3982</v>
      </c>
      <c r="M760" s="14" t="s">
        <v>5482</v>
      </c>
    </row>
    <row r="761" spans="1:13" x14ac:dyDescent="0.3">
      <c r="A761" t="s">
        <v>5483</v>
      </c>
      <c r="B761" t="s">
        <v>5484</v>
      </c>
      <c r="D761" t="s">
        <v>5204</v>
      </c>
      <c r="E761" t="s">
        <v>4917</v>
      </c>
      <c r="F761" t="s">
        <v>950</v>
      </c>
      <c r="G761" t="s">
        <v>2081</v>
      </c>
      <c r="H761">
        <v>1086.51</v>
      </c>
      <c r="I761" t="s">
        <v>3982</v>
      </c>
      <c r="M761" s="14" t="s">
        <v>5485</v>
      </c>
    </row>
    <row r="762" spans="1:13" x14ac:dyDescent="0.3">
      <c r="A762" t="s">
        <v>5486</v>
      </c>
      <c r="B762" t="s">
        <v>5487</v>
      </c>
      <c r="D762" t="s">
        <v>5204</v>
      </c>
      <c r="E762" t="s">
        <v>4917</v>
      </c>
      <c r="F762" t="s">
        <v>950</v>
      </c>
      <c r="G762" t="s">
        <v>2081</v>
      </c>
      <c r="H762">
        <v>1629.77</v>
      </c>
      <c r="I762" t="s">
        <v>3982</v>
      </c>
      <c r="M762" s="14" t="s">
        <v>5488</v>
      </c>
    </row>
    <row r="763" spans="1:13" x14ac:dyDescent="0.3">
      <c r="A763" t="s">
        <v>5489</v>
      </c>
      <c r="B763" t="s">
        <v>5490</v>
      </c>
      <c r="D763" t="s">
        <v>5204</v>
      </c>
      <c r="E763" t="s">
        <v>4917</v>
      </c>
      <c r="F763" t="s">
        <v>950</v>
      </c>
      <c r="G763" t="s">
        <v>2081</v>
      </c>
      <c r="H763">
        <v>1086.51</v>
      </c>
      <c r="I763" t="s">
        <v>3982</v>
      </c>
      <c r="M763" s="14" t="s">
        <v>5491</v>
      </c>
    </row>
    <row r="764" spans="1:13" x14ac:dyDescent="0.3">
      <c r="A764" t="s">
        <v>5492</v>
      </c>
      <c r="B764" t="s">
        <v>5493</v>
      </c>
      <c r="D764" t="s">
        <v>5204</v>
      </c>
      <c r="E764" t="s">
        <v>4917</v>
      </c>
      <c r="F764" t="s">
        <v>950</v>
      </c>
      <c r="G764" t="s">
        <v>2081</v>
      </c>
      <c r="H764">
        <v>1086.51</v>
      </c>
      <c r="I764" t="s">
        <v>3982</v>
      </c>
      <c r="M764" s="14" t="s">
        <v>5494</v>
      </c>
    </row>
    <row r="765" spans="1:13" x14ac:dyDescent="0.3">
      <c r="A765" t="s">
        <v>5495</v>
      </c>
      <c r="B765" t="s">
        <v>5496</v>
      </c>
      <c r="C765" t="s">
        <v>5497</v>
      </c>
      <c r="D765" t="s">
        <v>4916</v>
      </c>
      <c r="E765" t="s">
        <v>4917</v>
      </c>
      <c r="F765" t="s">
        <v>950</v>
      </c>
      <c r="G765" t="s">
        <v>2081</v>
      </c>
      <c r="H765">
        <v>3604.84</v>
      </c>
      <c r="I765" t="s">
        <v>3982</v>
      </c>
      <c r="M765" s="14" t="s">
        <v>5498</v>
      </c>
    </row>
    <row r="766" spans="1:13" x14ac:dyDescent="0.3">
      <c r="A766" t="s">
        <v>5499</v>
      </c>
      <c r="B766" t="s">
        <v>5500</v>
      </c>
      <c r="C766" t="s">
        <v>5501</v>
      </c>
      <c r="D766" t="s">
        <v>4916</v>
      </c>
      <c r="E766" t="s">
        <v>4917</v>
      </c>
      <c r="F766" t="s">
        <v>950</v>
      </c>
      <c r="G766" t="s">
        <v>2081</v>
      </c>
      <c r="H766">
        <v>8333.91</v>
      </c>
      <c r="I766" t="s">
        <v>3982</v>
      </c>
      <c r="M766" s="14" t="s">
        <v>5502</v>
      </c>
    </row>
    <row r="767" spans="1:13" x14ac:dyDescent="0.3">
      <c r="A767" t="s">
        <v>5503</v>
      </c>
      <c r="B767" t="s">
        <v>5504</v>
      </c>
      <c r="C767" t="s">
        <v>5505</v>
      </c>
      <c r="D767" t="s">
        <v>4916</v>
      </c>
      <c r="E767" t="s">
        <v>4917</v>
      </c>
      <c r="F767" t="s">
        <v>950</v>
      </c>
      <c r="G767" t="s">
        <v>2081</v>
      </c>
      <c r="H767">
        <v>10196.36</v>
      </c>
      <c r="I767" t="s">
        <v>3982</v>
      </c>
      <c r="M767" s="14" t="s">
        <v>5506</v>
      </c>
    </row>
    <row r="768" spans="1:13" x14ac:dyDescent="0.3">
      <c r="A768" t="s">
        <v>5507</v>
      </c>
      <c r="B768" t="s">
        <v>5508</v>
      </c>
      <c r="C768" t="s">
        <v>5509</v>
      </c>
      <c r="D768" t="s">
        <v>4916</v>
      </c>
      <c r="E768" t="s">
        <v>4917</v>
      </c>
      <c r="F768" t="s">
        <v>950</v>
      </c>
      <c r="G768" t="s">
        <v>2081</v>
      </c>
      <c r="H768">
        <v>10221.17</v>
      </c>
      <c r="I768" t="s">
        <v>3982</v>
      </c>
      <c r="M768" s="14" t="s">
        <v>5510</v>
      </c>
    </row>
    <row r="769" spans="1:13" x14ac:dyDescent="0.3">
      <c r="A769" t="s">
        <v>5511</v>
      </c>
      <c r="B769" t="s">
        <v>5512</v>
      </c>
      <c r="C769" t="s">
        <v>5513</v>
      </c>
      <c r="D769" t="s">
        <v>4916</v>
      </c>
      <c r="E769" t="s">
        <v>4917</v>
      </c>
      <c r="F769" t="s">
        <v>950</v>
      </c>
      <c r="G769" t="s">
        <v>2081</v>
      </c>
      <c r="H769">
        <v>5264.37</v>
      </c>
      <c r="I769" t="s">
        <v>3982</v>
      </c>
      <c r="M769" s="14" t="s">
        <v>5514</v>
      </c>
    </row>
    <row r="770" spans="1:13" x14ac:dyDescent="0.3">
      <c r="A770" t="s">
        <v>5515</v>
      </c>
      <c r="B770" t="s">
        <v>5516</v>
      </c>
      <c r="C770" t="s">
        <v>5517</v>
      </c>
      <c r="D770" t="s">
        <v>4916</v>
      </c>
      <c r="E770" t="s">
        <v>4917</v>
      </c>
      <c r="F770" t="s">
        <v>950</v>
      </c>
      <c r="G770" t="s">
        <v>2081</v>
      </c>
      <c r="H770">
        <v>5550.51</v>
      </c>
      <c r="I770" t="s">
        <v>3982</v>
      </c>
      <c r="M770" s="14" t="s">
        <v>5518</v>
      </c>
    </row>
    <row r="771" spans="1:13" x14ac:dyDescent="0.3">
      <c r="A771" t="s">
        <v>5519</v>
      </c>
      <c r="B771" t="s">
        <v>5520</v>
      </c>
      <c r="C771" t="s">
        <v>5521</v>
      </c>
      <c r="D771" t="s">
        <v>4916</v>
      </c>
      <c r="E771" t="s">
        <v>4917</v>
      </c>
      <c r="F771" t="s">
        <v>950</v>
      </c>
      <c r="G771" t="s">
        <v>2081</v>
      </c>
      <c r="H771">
        <v>6108.67</v>
      </c>
      <c r="I771" t="s">
        <v>3982</v>
      </c>
      <c r="M771" s="14" t="s">
        <v>5522</v>
      </c>
    </row>
    <row r="772" spans="1:13" x14ac:dyDescent="0.3">
      <c r="A772" t="s">
        <v>5523</v>
      </c>
      <c r="B772" t="s">
        <v>5524</v>
      </c>
      <c r="C772" t="s">
        <v>5525</v>
      </c>
      <c r="D772" t="s">
        <v>4916</v>
      </c>
      <c r="E772" t="s">
        <v>4917</v>
      </c>
      <c r="F772" t="s">
        <v>950</v>
      </c>
      <c r="G772" t="s">
        <v>2081</v>
      </c>
      <c r="H772">
        <v>6108.67</v>
      </c>
      <c r="I772" t="s">
        <v>3982</v>
      </c>
      <c r="M772" s="14" t="s">
        <v>5526</v>
      </c>
    </row>
    <row r="773" spans="1:13" x14ac:dyDescent="0.3">
      <c r="A773" t="s">
        <v>5527</v>
      </c>
      <c r="B773" t="s">
        <v>5528</v>
      </c>
      <c r="C773" t="s">
        <v>5529</v>
      </c>
      <c r="D773" t="s">
        <v>4916</v>
      </c>
      <c r="E773" t="s">
        <v>4917</v>
      </c>
      <c r="F773" t="s">
        <v>950</v>
      </c>
      <c r="G773" t="s">
        <v>2081</v>
      </c>
      <c r="H773">
        <v>5520.56</v>
      </c>
      <c r="I773" t="s">
        <v>3982</v>
      </c>
      <c r="M773" s="14" t="s">
        <v>5530</v>
      </c>
    </row>
    <row r="774" spans="1:13" x14ac:dyDescent="0.3">
      <c r="A774" t="s">
        <v>5531</v>
      </c>
      <c r="B774" t="s">
        <v>5532</v>
      </c>
      <c r="C774" t="s">
        <v>5533</v>
      </c>
      <c r="D774" t="s">
        <v>4916</v>
      </c>
      <c r="E774" t="s">
        <v>4917</v>
      </c>
      <c r="F774" t="s">
        <v>950</v>
      </c>
      <c r="G774" t="s">
        <v>2081</v>
      </c>
      <c r="H774">
        <v>6830.65</v>
      </c>
      <c r="I774" t="s">
        <v>3982</v>
      </c>
      <c r="M774" s="14" t="s">
        <v>5534</v>
      </c>
    </row>
    <row r="775" spans="1:13" x14ac:dyDescent="0.3">
      <c r="A775" t="s">
        <v>5535</v>
      </c>
      <c r="B775" t="s">
        <v>5536</v>
      </c>
      <c r="C775" t="s">
        <v>5533</v>
      </c>
      <c r="D775" t="s">
        <v>4916</v>
      </c>
      <c r="E775" t="s">
        <v>4917</v>
      </c>
      <c r="F775" t="s">
        <v>950</v>
      </c>
      <c r="G775" t="s">
        <v>2081</v>
      </c>
      <c r="H775">
        <v>6830.65</v>
      </c>
      <c r="I775" t="s">
        <v>3982</v>
      </c>
      <c r="M775" s="14" t="s">
        <v>5537</v>
      </c>
    </row>
    <row r="776" spans="1:13" x14ac:dyDescent="0.3">
      <c r="A776" t="s">
        <v>5538</v>
      </c>
      <c r="B776" t="s">
        <v>5539</v>
      </c>
      <c r="C776" t="s">
        <v>5540</v>
      </c>
      <c r="D776" t="s">
        <v>4916</v>
      </c>
      <c r="E776" t="s">
        <v>4917</v>
      </c>
      <c r="F776" t="s">
        <v>950</v>
      </c>
      <c r="G776" t="s">
        <v>2081</v>
      </c>
      <c r="H776">
        <v>8508.5400000000009</v>
      </c>
      <c r="I776" t="s">
        <v>3982</v>
      </c>
      <c r="M776" s="14" t="s">
        <v>5541</v>
      </c>
    </row>
    <row r="777" spans="1:13" x14ac:dyDescent="0.3">
      <c r="A777" t="s">
        <v>5542</v>
      </c>
      <c r="B777" t="s">
        <v>5543</v>
      </c>
      <c r="C777" t="s">
        <v>5544</v>
      </c>
      <c r="D777" t="s">
        <v>4916</v>
      </c>
      <c r="E777" t="s">
        <v>4917</v>
      </c>
      <c r="F777" t="s">
        <v>950</v>
      </c>
      <c r="G777" t="s">
        <v>2081</v>
      </c>
      <c r="H777">
        <v>8508.5400000000009</v>
      </c>
      <c r="I777" t="s">
        <v>3982</v>
      </c>
      <c r="M777" s="14" t="s">
        <v>5545</v>
      </c>
    </row>
    <row r="778" spans="1:13" x14ac:dyDescent="0.3">
      <c r="A778" t="s">
        <v>5546</v>
      </c>
      <c r="B778" t="s">
        <v>5547</v>
      </c>
      <c r="C778" t="s">
        <v>5548</v>
      </c>
      <c r="D778" t="s">
        <v>4916</v>
      </c>
      <c r="E778" t="s">
        <v>4917</v>
      </c>
      <c r="F778" t="s">
        <v>950</v>
      </c>
      <c r="G778" t="s">
        <v>2081</v>
      </c>
      <c r="H778">
        <v>6830.65</v>
      </c>
      <c r="I778" t="s">
        <v>3982</v>
      </c>
      <c r="M778" s="14" t="s">
        <v>5549</v>
      </c>
    </row>
    <row r="779" spans="1:13" x14ac:dyDescent="0.3">
      <c r="A779" t="s">
        <v>5550</v>
      </c>
      <c r="B779" t="s">
        <v>5551</v>
      </c>
      <c r="C779" t="s">
        <v>5552</v>
      </c>
      <c r="D779" t="s">
        <v>4916</v>
      </c>
      <c r="E779" t="s">
        <v>4917</v>
      </c>
      <c r="F779" t="s">
        <v>950</v>
      </c>
      <c r="G779" t="s">
        <v>2081</v>
      </c>
      <c r="H779">
        <v>6830.65</v>
      </c>
      <c r="I779" t="s">
        <v>3982</v>
      </c>
      <c r="M779" s="14" t="s">
        <v>5553</v>
      </c>
    </row>
    <row r="780" spans="1:13" x14ac:dyDescent="0.3">
      <c r="A780" t="s">
        <v>5554</v>
      </c>
      <c r="B780" t="s">
        <v>5555</v>
      </c>
      <c r="C780" t="s">
        <v>5556</v>
      </c>
      <c r="D780" t="s">
        <v>4916</v>
      </c>
      <c r="E780" t="s">
        <v>4917</v>
      </c>
      <c r="F780" t="s">
        <v>950</v>
      </c>
      <c r="G780" t="s">
        <v>2081</v>
      </c>
      <c r="H780">
        <v>8802.25</v>
      </c>
      <c r="I780" t="s">
        <v>3982</v>
      </c>
      <c r="M780" s="14" t="s">
        <v>5557</v>
      </c>
    </row>
    <row r="781" spans="1:13" x14ac:dyDescent="0.3">
      <c r="A781" t="s">
        <v>5558</v>
      </c>
      <c r="B781" t="s">
        <v>5559</v>
      </c>
      <c r="C781" t="s">
        <v>5560</v>
      </c>
      <c r="D781" t="s">
        <v>4916</v>
      </c>
      <c r="E781" t="s">
        <v>4917</v>
      </c>
      <c r="F781" t="s">
        <v>950</v>
      </c>
      <c r="G781" t="s">
        <v>2081</v>
      </c>
      <c r="H781">
        <v>8802.25</v>
      </c>
      <c r="I781" t="s">
        <v>3982</v>
      </c>
      <c r="M781" s="14" t="s">
        <v>5561</v>
      </c>
    </row>
    <row r="782" spans="1:13" x14ac:dyDescent="0.3">
      <c r="A782" t="s">
        <v>5562</v>
      </c>
      <c r="B782" t="s">
        <v>5563</v>
      </c>
      <c r="C782" t="s">
        <v>5564</v>
      </c>
      <c r="D782" t="s">
        <v>4916</v>
      </c>
      <c r="E782" t="s">
        <v>4917</v>
      </c>
      <c r="F782" t="s">
        <v>950</v>
      </c>
      <c r="G782" t="s">
        <v>2081</v>
      </c>
      <c r="H782">
        <v>8508.5400000000009</v>
      </c>
      <c r="I782" t="s">
        <v>3982</v>
      </c>
      <c r="M782" s="14" t="s">
        <v>5565</v>
      </c>
    </row>
    <row r="783" spans="1:13" x14ac:dyDescent="0.3">
      <c r="A783" t="s">
        <v>5566</v>
      </c>
      <c r="B783" t="s">
        <v>5567</v>
      </c>
      <c r="C783" t="s">
        <v>5568</v>
      </c>
      <c r="D783" t="s">
        <v>4916</v>
      </c>
      <c r="E783" t="s">
        <v>4917</v>
      </c>
      <c r="F783" t="s">
        <v>950</v>
      </c>
      <c r="G783" t="s">
        <v>2081</v>
      </c>
      <c r="H783">
        <v>8508.5400000000009</v>
      </c>
      <c r="I783" t="s">
        <v>3982</v>
      </c>
      <c r="M783" s="14" t="s">
        <v>5569</v>
      </c>
    </row>
    <row r="784" spans="1:13" x14ac:dyDescent="0.3">
      <c r="A784" t="s">
        <v>5570</v>
      </c>
      <c r="B784" t="s">
        <v>2241</v>
      </c>
      <c r="C784" t="s">
        <v>5571</v>
      </c>
      <c r="D784" t="s">
        <v>4916</v>
      </c>
      <c r="E784" t="s">
        <v>4917</v>
      </c>
      <c r="F784" t="s">
        <v>950</v>
      </c>
      <c r="G784" t="s">
        <v>2081</v>
      </c>
      <c r="H784">
        <v>7500.42</v>
      </c>
      <c r="I784" t="s">
        <v>3982</v>
      </c>
      <c r="M784" s="14" t="s">
        <v>5572</v>
      </c>
    </row>
    <row r="785" spans="1:13" x14ac:dyDescent="0.3">
      <c r="A785" t="s">
        <v>5573</v>
      </c>
      <c r="B785" t="s">
        <v>5574</v>
      </c>
      <c r="C785" t="s">
        <v>5575</v>
      </c>
      <c r="D785" t="s">
        <v>4916</v>
      </c>
      <c r="E785" t="s">
        <v>4917</v>
      </c>
      <c r="F785" t="s">
        <v>950</v>
      </c>
      <c r="G785" t="s">
        <v>2081</v>
      </c>
      <c r="H785">
        <v>7500.42</v>
      </c>
      <c r="I785" t="s">
        <v>3982</v>
      </c>
      <c r="M785" s="14" t="s">
        <v>5576</v>
      </c>
    </row>
    <row r="786" spans="1:13" x14ac:dyDescent="0.3">
      <c r="A786" t="s">
        <v>5577</v>
      </c>
      <c r="B786" t="s">
        <v>5578</v>
      </c>
      <c r="C786" t="s">
        <v>5579</v>
      </c>
      <c r="D786" t="s">
        <v>4916</v>
      </c>
      <c r="E786" t="s">
        <v>4917</v>
      </c>
      <c r="F786" t="s">
        <v>950</v>
      </c>
      <c r="G786" t="s">
        <v>2081</v>
      </c>
      <c r="H786">
        <v>8508.5400000000009</v>
      </c>
      <c r="I786" t="s">
        <v>3982</v>
      </c>
      <c r="M786" s="14" t="s">
        <v>5580</v>
      </c>
    </row>
    <row r="787" spans="1:13" x14ac:dyDescent="0.3">
      <c r="A787" t="s">
        <v>5581</v>
      </c>
      <c r="B787" t="s">
        <v>5582</v>
      </c>
      <c r="C787" t="s">
        <v>5583</v>
      </c>
      <c r="D787" t="s">
        <v>4916</v>
      </c>
      <c r="E787" t="s">
        <v>4917</v>
      </c>
      <c r="F787" t="s">
        <v>950</v>
      </c>
      <c r="G787" t="s">
        <v>2081</v>
      </c>
      <c r="H787">
        <v>8508.5400000000009</v>
      </c>
      <c r="I787" t="s">
        <v>3982</v>
      </c>
      <c r="M787" s="14" t="s">
        <v>5584</v>
      </c>
    </row>
    <row r="788" spans="1:13" x14ac:dyDescent="0.3">
      <c r="A788" t="s">
        <v>5585</v>
      </c>
      <c r="B788" t="s">
        <v>5586</v>
      </c>
      <c r="C788" t="s">
        <v>5587</v>
      </c>
      <c r="D788" t="s">
        <v>4916</v>
      </c>
      <c r="E788" t="s">
        <v>4917</v>
      </c>
      <c r="F788" t="s">
        <v>950</v>
      </c>
      <c r="G788" t="s">
        <v>2081</v>
      </c>
      <c r="H788">
        <v>8508.5400000000009</v>
      </c>
      <c r="I788" t="s">
        <v>3982</v>
      </c>
      <c r="M788" s="14" t="s">
        <v>5588</v>
      </c>
    </row>
    <row r="789" spans="1:13" x14ac:dyDescent="0.3">
      <c r="A789" t="s">
        <v>5589</v>
      </c>
      <c r="B789" t="s">
        <v>5590</v>
      </c>
      <c r="C789" t="s">
        <v>5591</v>
      </c>
      <c r="D789" t="s">
        <v>4916</v>
      </c>
      <c r="E789" t="s">
        <v>4917</v>
      </c>
      <c r="F789" t="s">
        <v>950</v>
      </c>
      <c r="G789" t="s">
        <v>2081</v>
      </c>
      <c r="H789">
        <v>8508.5400000000009</v>
      </c>
      <c r="I789" t="s">
        <v>3982</v>
      </c>
      <c r="M789" s="14" t="s">
        <v>5592</v>
      </c>
    </row>
    <row r="790" spans="1:13" x14ac:dyDescent="0.3">
      <c r="A790" t="s">
        <v>5593</v>
      </c>
      <c r="B790" t="s">
        <v>5594</v>
      </c>
      <c r="C790" t="s">
        <v>5595</v>
      </c>
      <c r="D790" t="s">
        <v>4916</v>
      </c>
      <c r="E790" t="s">
        <v>4917</v>
      </c>
      <c r="F790" t="s">
        <v>950</v>
      </c>
      <c r="G790" t="s">
        <v>2081</v>
      </c>
      <c r="H790">
        <v>8508.5400000000009</v>
      </c>
      <c r="I790" t="s">
        <v>3982</v>
      </c>
      <c r="M790" s="14" t="s">
        <v>5596</v>
      </c>
    </row>
    <row r="791" spans="1:13" x14ac:dyDescent="0.3">
      <c r="A791" t="s">
        <v>5597</v>
      </c>
      <c r="B791" t="s">
        <v>5598</v>
      </c>
      <c r="C791" t="s">
        <v>5599</v>
      </c>
      <c r="D791" t="s">
        <v>4916</v>
      </c>
      <c r="E791" t="s">
        <v>4917</v>
      </c>
      <c r="F791" t="s">
        <v>950</v>
      </c>
      <c r="G791" t="s">
        <v>2081</v>
      </c>
      <c r="H791">
        <v>8508.5400000000009</v>
      </c>
      <c r="I791" t="s">
        <v>3982</v>
      </c>
      <c r="M791" s="14" t="s">
        <v>5600</v>
      </c>
    </row>
    <row r="792" spans="1:13" x14ac:dyDescent="0.3">
      <c r="A792" t="s">
        <v>5601</v>
      </c>
      <c r="B792" t="s">
        <v>5602</v>
      </c>
      <c r="C792" t="s">
        <v>5603</v>
      </c>
      <c r="D792" t="s">
        <v>4916</v>
      </c>
      <c r="E792" t="s">
        <v>4917</v>
      </c>
      <c r="F792" t="s">
        <v>950</v>
      </c>
      <c r="G792" t="s">
        <v>2081</v>
      </c>
      <c r="H792">
        <v>8508.5400000000009</v>
      </c>
      <c r="I792" t="s">
        <v>3982</v>
      </c>
      <c r="M792" s="14" t="s">
        <v>5604</v>
      </c>
    </row>
    <row r="793" spans="1:13" x14ac:dyDescent="0.3">
      <c r="A793" t="s">
        <v>5605</v>
      </c>
      <c r="B793" t="s">
        <v>5606</v>
      </c>
      <c r="C793" t="s">
        <v>5607</v>
      </c>
      <c r="D793" t="s">
        <v>4916</v>
      </c>
      <c r="E793" t="s">
        <v>4917</v>
      </c>
      <c r="F793" t="s">
        <v>950</v>
      </c>
      <c r="G793" t="s">
        <v>2081</v>
      </c>
      <c r="H793">
        <v>8508.5400000000009</v>
      </c>
      <c r="I793" t="s">
        <v>3982</v>
      </c>
      <c r="M793" s="14" t="s">
        <v>5608</v>
      </c>
    </row>
    <row r="794" spans="1:13" x14ac:dyDescent="0.3">
      <c r="A794" t="s">
        <v>5609</v>
      </c>
      <c r="B794" t="s">
        <v>5610</v>
      </c>
      <c r="C794" t="s">
        <v>5611</v>
      </c>
      <c r="D794" t="s">
        <v>4916</v>
      </c>
      <c r="E794" t="s">
        <v>4917</v>
      </c>
      <c r="F794" t="s">
        <v>950</v>
      </c>
      <c r="G794" t="s">
        <v>2081</v>
      </c>
      <c r="H794">
        <v>8508.5400000000009</v>
      </c>
      <c r="I794" t="s">
        <v>3982</v>
      </c>
      <c r="M794" s="14" t="s">
        <v>5612</v>
      </c>
    </row>
    <row r="795" spans="1:13" x14ac:dyDescent="0.3">
      <c r="A795" t="s">
        <v>5613</v>
      </c>
      <c r="B795" t="s">
        <v>5614</v>
      </c>
      <c r="C795" t="s">
        <v>5615</v>
      </c>
      <c r="D795" t="s">
        <v>4916</v>
      </c>
      <c r="E795" t="s">
        <v>4917</v>
      </c>
      <c r="F795" t="s">
        <v>950</v>
      </c>
      <c r="G795" t="s">
        <v>2081</v>
      </c>
      <c r="H795">
        <v>8508.5400000000009</v>
      </c>
      <c r="I795" t="s">
        <v>3982</v>
      </c>
      <c r="M795" s="14" t="s">
        <v>5616</v>
      </c>
    </row>
    <row r="796" spans="1:13" x14ac:dyDescent="0.3">
      <c r="A796" t="s">
        <v>5617</v>
      </c>
      <c r="B796" t="s">
        <v>5618</v>
      </c>
      <c r="C796" t="s">
        <v>5619</v>
      </c>
      <c r="D796" t="s">
        <v>4916</v>
      </c>
      <c r="E796" t="s">
        <v>4917</v>
      </c>
      <c r="F796" t="s">
        <v>950</v>
      </c>
      <c r="G796" t="s">
        <v>2081</v>
      </c>
      <c r="H796">
        <v>6395.05</v>
      </c>
      <c r="I796" t="s">
        <v>3982</v>
      </c>
      <c r="M796" s="14" t="s">
        <v>5620</v>
      </c>
    </row>
    <row r="797" spans="1:13" x14ac:dyDescent="0.3">
      <c r="A797" t="s">
        <v>5621</v>
      </c>
      <c r="B797" t="s">
        <v>5622</v>
      </c>
      <c r="C797" t="s">
        <v>5623</v>
      </c>
      <c r="D797" t="s">
        <v>4916</v>
      </c>
      <c r="E797" t="s">
        <v>4917</v>
      </c>
      <c r="F797" t="s">
        <v>950</v>
      </c>
      <c r="G797" t="s">
        <v>2081</v>
      </c>
      <c r="H797">
        <v>7354.56</v>
      </c>
      <c r="I797" t="s">
        <v>3982</v>
      </c>
      <c r="M797" s="14" t="s">
        <v>5624</v>
      </c>
    </row>
    <row r="798" spans="1:13" x14ac:dyDescent="0.3">
      <c r="A798" t="s">
        <v>5625</v>
      </c>
      <c r="B798" t="s">
        <v>5626</v>
      </c>
      <c r="C798" t="s">
        <v>5627</v>
      </c>
      <c r="D798" t="s">
        <v>4916</v>
      </c>
      <c r="E798" t="s">
        <v>4917</v>
      </c>
      <c r="F798" t="s">
        <v>950</v>
      </c>
      <c r="G798" t="s">
        <v>2081</v>
      </c>
      <c r="H798">
        <v>7354.56</v>
      </c>
      <c r="I798" t="s">
        <v>3982</v>
      </c>
      <c r="M798" s="14" t="s">
        <v>5628</v>
      </c>
    </row>
    <row r="799" spans="1:13" x14ac:dyDescent="0.3">
      <c r="A799" t="s">
        <v>5629</v>
      </c>
      <c r="B799" t="s">
        <v>5630</v>
      </c>
      <c r="C799" t="s">
        <v>5631</v>
      </c>
      <c r="D799" t="s">
        <v>4916</v>
      </c>
      <c r="E799" t="s">
        <v>4917</v>
      </c>
      <c r="F799" t="s">
        <v>950</v>
      </c>
      <c r="G799" t="s">
        <v>2081</v>
      </c>
      <c r="H799">
        <v>6395.05</v>
      </c>
      <c r="I799" t="s">
        <v>3982</v>
      </c>
      <c r="M799" s="14" t="s">
        <v>5632</v>
      </c>
    </row>
    <row r="800" spans="1:13" x14ac:dyDescent="0.3">
      <c r="A800" t="s">
        <v>5633</v>
      </c>
      <c r="B800" t="s">
        <v>5634</v>
      </c>
      <c r="C800" t="s">
        <v>5635</v>
      </c>
      <c r="D800" t="s">
        <v>4916</v>
      </c>
      <c r="E800" t="s">
        <v>4917</v>
      </c>
      <c r="F800" t="s">
        <v>950</v>
      </c>
      <c r="G800" t="s">
        <v>2081</v>
      </c>
      <c r="H800">
        <v>7426</v>
      </c>
      <c r="I800" t="s">
        <v>3982</v>
      </c>
      <c r="M800" s="14" t="s">
        <v>5636</v>
      </c>
    </row>
    <row r="801" spans="1:13" x14ac:dyDescent="0.3">
      <c r="A801" t="s">
        <v>5637</v>
      </c>
      <c r="B801" t="s">
        <v>5638</v>
      </c>
      <c r="C801" t="s">
        <v>5639</v>
      </c>
      <c r="D801" t="s">
        <v>4916</v>
      </c>
      <c r="E801" t="s">
        <v>4917</v>
      </c>
      <c r="F801" t="s">
        <v>950</v>
      </c>
      <c r="G801" t="s">
        <v>2081</v>
      </c>
      <c r="H801">
        <v>8540.2999999999993</v>
      </c>
      <c r="I801" t="s">
        <v>3982</v>
      </c>
      <c r="M801" s="14" t="s">
        <v>5640</v>
      </c>
    </row>
    <row r="802" spans="1:13" x14ac:dyDescent="0.3">
      <c r="A802" t="s">
        <v>5641</v>
      </c>
      <c r="B802" t="s">
        <v>5642</v>
      </c>
      <c r="C802" t="s">
        <v>5643</v>
      </c>
      <c r="D802" t="s">
        <v>4916</v>
      </c>
      <c r="E802" t="s">
        <v>4917</v>
      </c>
      <c r="F802" t="s">
        <v>950</v>
      </c>
      <c r="G802" t="s">
        <v>2081</v>
      </c>
      <c r="H802">
        <v>8540.2999999999993</v>
      </c>
      <c r="I802" t="s">
        <v>3982</v>
      </c>
      <c r="M802" s="14" t="s">
        <v>5644</v>
      </c>
    </row>
    <row r="803" spans="1:13" x14ac:dyDescent="0.3">
      <c r="A803" t="s">
        <v>5645</v>
      </c>
      <c r="B803" t="s">
        <v>5646</v>
      </c>
      <c r="C803" t="s">
        <v>5647</v>
      </c>
      <c r="D803" t="s">
        <v>4916</v>
      </c>
      <c r="E803" t="s">
        <v>4917</v>
      </c>
      <c r="F803" t="s">
        <v>950</v>
      </c>
      <c r="G803" t="s">
        <v>2081</v>
      </c>
      <c r="H803">
        <v>7426</v>
      </c>
      <c r="I803" t="s">
        <v>3982</v>
      </c>
      <c r="M803" s="14" t="s">
        <v>5648</v>
      </c>
    </row>
    <row r="804" spans="1:13" x14ac:dyDescent="0.3">
      <c r="A804" t="s">
        <v>5649</v>
      </c>
      <c r="B804" t="s">
        <v>5650</v>
      </c>
      <c r="C804" t="s">
        <v>5651</v>
      </c>
      <c r="D804" t="s">
        <v>4916</v>
      </c>
      <c r="E804" t="s">
        <v>4917</v>
      </c>
      <c r="F804" t="s">
        <v>950</v>
      </c>
      <c r="G804" t="s">
        <v>2081</v>
      </c>
      <c r="H804">
        <v>7426</v>
      </c>
      <c r="I804" t="s">
        <v>3982</v>
      </c>
      <c r="M804" s="14" t="s">
        <v>5652</v>
      </c>
    </row>
    <row r="805" spans="1:13" x14ac:dyDescent="0.3">
      <c r="A805" t="s">
        <v>5653</v>
      </c>
      <c r="B805" t="s">
        <v>5654</v>
      </c>
      <c r="C805" t="s">
        <v>5655</v>
      </c>
      <c r="D805" t="s">
        <v>4916</v>
      </c>
      <c r="E805" t="s">
        <v>4917</v>
      </c>
      <c r="F805" t="s">
        <v>950</v>
      </c>
      <c r="G805" t="s">
        <v>2081</v>
      </c>
      <c r="H805">
        <v>7426</v>
      </c>
      <c r="I805" t="s">
        <v>3982</v>
      </c>
      <c r="M805" s="14" t="s">
        <v>5656</v>
      </c>
    </row>
    <row r="806" spans="1:13" x14ac:dyDescent="0.3">
      <c r="A806" t="s">
        <v>5657</v>
      </c>
      <c r="B806" t="s">
        <v>5658</v>
      </c>
      <c r="C806" t="s">
        <v>5659</v>
      </c>
      <c r="D806" t="s">
        <v>4916</v>
      </c>
      <c r="E806" t="s">
        <v>4917</v>
      </c>
      <c r="F806" t="s">
        <v>950</v>
      </c>
      <c r="G806" t="s">
        <v>2081</v>
      </c>
      <c r="H806">
        <v>7426</v>
      </c>
      <c r="I806" t="s">
        <v>3982</v>
      </c>
      <c r="M806" s="14" t="s">
        <v>5660</v>
      </c>
    </row>
    <row r="807" spans="1:13" x14ac:dyDescent="0.3">
      <c r="A807" t="s">
        <v>5661</v>
      </c>
      <c r="B807" t="s">
        <v>5662</v>
      </c>
      <c r="C807" t="s">
        <v>5663</v>
      </c>
      <c r="D807" t="s">
        <v>4916</v>
      </c>
      <c r="E807" t="s">
        <v>4917</v>
      </c>
      <c r="F807" t="s">
        <v>950</v>
      </c>
      <c r="G807" t="s">
        <v>2081</v>
      </c>
      <c r="H807">
        <v>7426</v>
      </c>
      <c r="I807" t="s">
        <v>3982</v>
      </c>
      <c r="M807" s="14" t="s">
        <v>5664</v>
      </c>
    </row>
    <row r="808" spans="1:13" x14ac:dyDescent="0.3">
      <c r="A808" t="s">
        <v>5665</v>
      </c>
      <c r="B808" t="s">
        <v>5666</v>
      </c>
      <c r="C808" t="s">
        <v>5667</v>
      </c>
      <c r="D808" t="s">
        <v>4916</v>
      </c>
      <c r="E808" t="s">
        <v>4917</v>
      </c>
      <c r="F808" t="s">
        <v>950</v>
      </c>
      <c r="G808" t="s">
        <v>2081</v>
      </c>
      <c r="H808">
        <v>7426</v>
      </c>
      <c r="I808" t="s">
        <v>3982</v>
      </c>
      <c r="M808" s="14" t="s">
        <v>5668</v>
      </c>
    </row>
    <row r="809" spans="1:13" x14ac:dyDescent="0.3">
      <c r="A809" t="s">
        <v>5669</v>
      </c>
      <c r="B809" t="s">
        <v>5670</v>
      </c>
      <c r="C809" t="s">
        <v>5671</v>
      </c>
      <c r="D809" t="s">
        <v>4916</v>
      </c>
      <c r="E809" t="s">
        <v>4917</v>
      </c>
      <c r="F809" t="s">
        <v>950</v>
      </c>
      <c r="G809" t="s">
        <v>2081</v>
      </c>
      <c r="H809">
        <v>7426</v>
      </c>
      <c r="I809" t="s">
        <v>3982</v>
      </c>
      <c r="M809" s="14" t="s">
        <v>5672</v>
      </c>
    </row>
    <row r="810" spans="1:13" x14ac:dyDescent="0.3">
      <c r="A810" t="s">
        <v>5673</v>
      </c>
      <c r="B810" t="s">
        <v>5674</v>
      </c>
      <c r="C810" t="s">
        <v>5675</v>
      </c>
      <c r="D810" t="s">
        <v>4916</v>
      </c>
      <c r="E810" t="s">
        <v>4917</v>
      </c>
      <c r="F810" t="s">
        <v>950</v>
      </c>
      <c r="G810" t="s">
        <v>2081</v>
      </c>
      <c r="H810">
        <v>7426</v>
      </c>
      <c r="I810" t="s">
        <v>3982</v>
      </c>
      <c r="M810" s="14" t="s">
        <v>5676</v>
      </c>
    </row>
    <row r="811" spans="1:13" x14ac:dyDescent="0.3">
      <c r="A811" t="s">
        <v>5677</v>
      </c>
      <c r="B811" t="s">
        <v>5678</v>
      </c>
      <c r="C811" t="s">
        <v>5679</v>
      </c>
      <c r="D811" t="s">
        <v>4916</v>
      </c>
      <c r="E811" t="s">
        <v>4917</v>
      </c>
      <c r="F811" t="s">
        <v>950</v>
      </c>
      <c r="G811" t="s">
        <v>2081</v>
      </c>
      <c r="H811">
        <v>7426</v>
      </c>
      <c r="I811" t="s">
        <v>3982</v>
      </c>
      <c r="M811" s="14" t="s">
        <v>5680</v>
      </c>
    </row>
    <row r="812" spans="1:13" x14ac:dyDescent="0.3">
      <c r="A812" t="s">
        <v>5681</v>
      </c>
      <c r="B812" t="s">
        <v>5682</v>
      </c>
      <c r="C812" t="s">
        <v>5683</v>
      </c>
      <c r="D812" t="s">
        <v>4916</v>
      </c>
      <c r="E812" t="s">
        <v>4917</v>
      </c>
      <c r="F812" t="s">
        <v>950</v>
      </c>
      <c r="G812" t="s">
        <v>2081</v>
      </c>
      <c r="H812">
        <v>5316.28</v>
      </c>
      <c r="I812" t="s">
        <v>3982</v>
      </c>
      <c r="M812" s="14" t="s">
        <v>5684</v>
      </c>
    </row>
    <row r="813" spans="1:13" x14ac:dyDescent="0.3">
      <c r="A813" t="s">
        <v>5685</v>
      </c>
      <c r="B813" t="s">
        <v>5686</v>
      </c>
      <c r="C813" t="s">
        <v>5687</v>
      </c>
      <c r="D813" t="s">
        <v>4916</v>
      </c>
      <c r="E813" t="s">
        <v>4917</v>
      </c>
      <c r="F813" t="s">
        <v>950</v>
      </c>
      <c r="G813" t="s">
        <v>2081</v>
      </c>
      <c r="H813">
        <v>5738.44</v>
      </c>
      <c r="I813" t="s">
        <v>3982</v>
      </c>
      <c r="M813" s="14" t="s">
        <v>5688</v>
      </c>
    </row>
    <row r="814" spans="1:13" x14ac:dyDescent="0.3">
      <c r="A814" t="s">
        <v>5689</v>
      </c>
      <c r="B814" t="s">
        <v>5690</v>
      </c>
      <c r="C814" t="s">
        <v>5691</v>
      </c>
      <c r="D814" t="s">
        <v>4916</v>
      </c>
      <c r="E814" t="s">
        <v>4917</v>
      </c>
      <c r="F814" t="s">
        <v>950</v>
      </c>
      <c r="G814" t="s">
        <v>2081</v>
      </c>
      <c r="H814">
        <v>8218.81</v>
      </c>
      <c r="I814" t="s">
        <v>3982</v>
      </c>
      <c r="M814" s="14" t="s">
        <v>5692</v>
      </c>
    </row>
    <row r="815" spans="1:13" x14ac:dyDescent="0.3">
      <c r="A815" t="s">
        <v>5693</v>
      </c>
      <c r="B815" t="s">
        <v>5694</v>
      </c>
      <c r="C815" t="s">
        <v>5695</v>
      </c>
      <c r="D815" t="s">
        <v>4916</v>
      </c>
      <c r="E815" t="s">
        <v>4917</v>
      </c>
      <c r="F815" t="s">
        <v>950</v>
      </c>
      <c r="G815" t="s">
        <v>2081</v>
      </c>
      <c r="H815">
        <v>37214.339999999997</v>
      </c>
      <c r="I815" t="s">
        <v>3982</v>
      </c>
      <c r="M815" s="14" t="s">
        <v>5696</v>
      </c>
    </row>
    <row r="816" spans="1:13" x14ac:dyDescent="0.3">
      <c r="A816" t="s">
        <v>5697</v>
      </c>
      <c r="B816" t="s">
        <v>5698</v>
      </c>
      <c r="C816" t="s">
        <v>5699</v>
      </c>
      <c r="D816" t="s">
        <v>4916</v>
      </c>
      <c r="E816" t="s">
        <v>4917</v>
      </c>
      <c r="F816" t="s">
        <v>950</v>
      </c>
      <c r="G816" t="s">
        <v>2081</v>
      </c>
      <c r="H816">
        <v>37214.339999999997</v>
      </c>
      <c r="I816" t="s">
        <v>3982</v>
      </c>
      <c r="M816" s="14" t="s">
        <v>5700</v>
      </c>
    </row>
    <row r="817" spans="1:13" x14ac:dyDescent="0.3">
      <c r="A817" t="s">
        <v>5701</v>
      </c>
      <c r="B817" t="s">
        <v>5702</v>
      </c>
      <c r="C817" t="s">
        <v>5703</v>
      </c>
      <c r="D817" t="s">
        <v>4916</v>
      </c>
      <c r="E817" t="s">
        <v>4917</v>
      </c>
      <c r="F817" t="s">
        <v>950</v>
      </c>
      <c r="G817" t="s">
        <v>2081</v>
      </c>
      <c r="H817">
        <v>26735.18</v>
      </c>
      <c r="I817" t="s">
        <v>3982</v>
      </c>
      <c r="M817" s="14" t="s">
        <v>5704</v>
      </c>
    </row>
    <row r="818" spans="1:13" x14ac:dyDescent="0.3">
      <c r="A818" t="s">
        <v>5705</v>
      </c>
      <c r="B818" t="s">
        <v>5706</v>
      </c>
      <c r="C818" t="s">
        <v>5707</v>
      </c>
      <c r="D818" t="s">
        <v>4916</v>
      </c>
      <c r="E818" t="s">
        <v>4917</v>
      </c>
      <c r="F818" t="s">
        <v>950</v>
      </c>
      <c r="G818" t="s">
        <v>2081</v>
      </c>
      <c r="H818">
        <v>26735.18</v>
      </c>
      <c r="I818" t="s">
        <v>3982</v>
      </c>
      <c r="M818" s="14" t="s">
        <v>5708</v>
      </c>
    </row>
    <row r="819" spans="1:13" x14ac:dyDescent="0.3">
      <c r="A819" t="s">
        <v>5709</v>
      </c>
      <c r="B819" t="s">
        <v>5710</v>
      </c>
      <c r="C819" t="s">
        <v>5711</v>
      </c>
      <c r="D819" t="s">
        <v>4916</v>
      </c>
      <c r="E819" t="s">
        <v>4917</v>
      </c>
      <c r="F819" t="s">
        <v>950</v>
      </c>
      <c r="G819" t="s">
        <v>2081</v>
      </c>
      <c r="H819">
        <v>15667.09</v>
      </c>
      <c r="I819" t="s">
        <v>3982</v>
      </c>
      <c r="M819" s="14" t="s">
        <v>5712</v>
      </c>
    </row>
    <row r="820" spans="1:13" x14ac:dyDescent="0.3">
      <c r="A820" t="s">
        <v>5713</v>
      </c>
      <c r="B820" t="s">
        <v>5714</v>
      </c>
      <c r="C820" t="s">
        <v>5715</v>
      </c>
      <c r="D820" t="s">
        <v>4916</v>
      </c>
      <c r="E820" t="s">
        <v>4917</v>
      </c>
      <c r="F820" t="s">
        <v>950</v>
      </c>
      <c r="G820" t="s">
        <v>2081</v>
      </c>
      <c r="H820">
        <v>10147.85</v>
      </c>
      <c r="I820" t="s">
        <v>3982</v>
      </c>
      <c r="M820" s="14" t="s">
        <v>5716</v>
      </c>
    </row>
    <row r="821" spans="1:13" x14ac:dyDescent="0.3">
      <c r="A821" t="s">
        <v>5717</v>
      </c>
      <c r="B821" t="s">
        <v>5718</v>
      </c>
      <c r="C821" t="s">
        <v>5719</v>
      </c>
      <c r="D821" t="s">
        <v>4916</v>
      </c>
      <c r="E821" t="s">
        <v>4917</v>
      </c>
      <c r="F821" t="s">
        <v>950</v>
      </c>
      <c r="G821" t="s">
        <v>2081</v>
      </c>
      <c r="H821">
        <v>10147.85</v>
      </c>
      <c r="I821" t="s">
        <v>3982</v>
      </c>
      <c r="M821" s="14" t="s">
        <v>5720</v>
      </c>
    </row>
    <row r="822" spans="1:13" x14ac:dyDescent="0.3">
      <c r="A822" t="s">
        <v>5721</v>
      </c>
      <c r="B822" t="s">
        <v>5722</v>
      </c>
      <c r="C822" t="s">
        <v>5723</v>
      </c>
      <c r="D822" t="s">
        <v>4916</v>
      </c>
      <c r="E822" t="s">
        <v>4917</v>
      </c>
      <c r="F822" t="s">
        <v>950</v>
      </c>
      <c r="G822" t="s">
        <v>2081</v>
      </c>
      <c r="H822">
        <v>10147.85</v>
      </c>
      <c r="I822" t="s">
        <v>3982</v>
      </c>
      <c r="M822" s="14" t="s">
        <v>5724</v>
      </c>
    </row>
    <row r="823" spans="1:13" x14ac:dyDescent="0.3">
      <c r="A823" t="s">
        <v>5725</v>
      </c>
      <c r="B823" t="s">
        <v>5722</v>
      </c>
      <c r="C823" t="s">
        <v>5726</v>
      </c>
      <c r="D823" t="s">
        <v>4916</v>
      </c>
      <c r="E823" t="s">
        <v>4917</v>
      </c>
      <c r="F823" t="s">
        <v>950</v>
      </c>
      <c r="G823" t="s">
        <v>2081</v>
      </c>
      <c r="H823">
        <v>10147.85</v>
      </c>
      <c r="I823" t="s">
        <v>3982</v>
      </c>
      <c r="M823" s="14" t="s">
        <v>5727</v>
      </c>
    </row>
    <row r="824" spans="1:13" x14ac:dyDescent="0.3">
      <c r="A824" t="s">
        <v>5728</v>
      </c>
      <c r="B824" t="s">
        <v>5729</v>
      </c>
      <c r="C824" t="s">
        <v>5730</v>
      </c>
      <c r="D824" t="s">
        <v>4916</v>
      </c>
      <c r="E824" t="s">
        <v>4917</v>
      </c>
      <c r="F824" t="s">
        <v>950</v>
      </c>
      <c r="G824" t="s">
        <v>2081</v>
      </c>
      <c r="H824">
        <v>10147.85</v>
      </c>
      <c r="I824" t="s">
        <v>3982</v>
      </c>
      <c r="M824" s="14" t="s">
        <v>5731</v>
      </c>
    </row>
    <row r="825" spans="1:13" x14ac:dyDescent="0.3">
      <c r="A825" t="s">
        <v>5732</v>
      </c>
      <c r="B825" t="s">
        <v>5729</v>
      </c>
      <c r="C825" t="s">
        <v>5733</v>
      </c>
      <c r="D825" t="s">
        <v>4916</v>
      </c>
      <c r="E825" t="s">
        <v>4917</v>
      </c>
      <c r="F825" t="s">
        <v>950</v>
      </c>
      <c r="G825" t="s">
        <v>2081</v>
      </c>
      <c r="H825">
        <v>10147.85</v>
      </c>
      <c r="I825" t="s">
        <v>3982</v>
      </c>
      <c r="M825" s="14" t="s">
        <v>5734</v>
      </c>
    </row>
    <row r="826" spans="1:13" x14ac:dyDescent="0.3">
      <c r="A826" t="s">
        <v>5735</v>
      </c>
      <c r="B826" t="s">
        <v>5736</v>
      </c>
      <c r="C826" t="s">
        <v>5737</v>
      </c>
      <c r="D826" t="s">
        <v>4916</v>
      </c>
      <c r="E826" t="s">
        <v>4917</v>
      </c>
      <c r="F826" t="s">
        <v>950</v>
      </c>
      <c r="G826" t="s">
        <v>2081</v>
      </c>
      <c r="H826">
        <v>9447.65</v>
      </c>
      <c r="I826" t="s">
        <v>3982</v>
      </c>
      <c r="M826" s="14" t="s">
        <v>5738</v>
      </c>
    </row>
    <row r="827" spans="1:13" x14ac:dyDescent="0.3">
      <c r="A827" t="s">
        <v>5739</v>
      </c>
      <c r="B827" t="s">
        <v>5740</v>
      </c>
      <c r="C827" t="s">
        <v>5741</v>
      </c>
      <c r="D827" t="s">
        <v>4916</v>
      </c>
      <c r="E827" t="s">
        <v>4917</v>
      </c>
      <c r="F827" t="s">
        <v>950</v>
      </c>
      <c r="G827" t="s">
        <v>2081</v>
      </c>
      <c r="H827">
        <v>9447.65</v>
      </c>
      <c r="I827" t="s">
        <v>3982</v>
      </c>
      <c r="M827" s="14" t="s">
        <v>5742</v>
      </c>
    </row>
    <row r="828" spans="1:13" x14ac:dyDescent="0.3">
      <c r="A828" t="s">
        <v>5743</v>
      </c>
      <c r="B828" t="s">
        <v>2280</v>
      </c>
      <c r="C828" t="s">
        <v>5744</v>
      </c>
      <c r="D828" t="s">
        <v>4916</v>
      </c>
      <c r="E828" t="s">
        <v>4917</v>
      </c>
      <c r="F828" t="s">
        <v>950</v>
      </c>
      <c r="G828" t="s">
        <v>2081</v>
      </c>
      <c r="H828">
        <v>8314.2900000000009</v>
      </c>
      <c r="I828" t="s">
        <v>3982</v>
      </c>
      <c r="M828" s="14" t="s">
        <v>5745</v>
      </c>
    </row>
    <row r="829" spans="1:13" x14ac:dyDescent="0.3">
      <c r="A829" t="s">
        <v>5746</v>
      </c>
      <c r="B829" t="s">
        <v>2298</v>
      </c>
      <c r="C829" t="s">
        <v>5747</v>
      </c>
      <c r="D829" t="s">
        <v>4916</v>
      </c>
      <c r="E829" t="s">
        <v>4917</v>
      </c>
      <c r="F829" t="s">
        <v>950</v>
      </c>
      <c r="G829" t="s">
        <v>2081</v>
      </c>
      <c r="H829">
        <v>11323.56</v>
      </c>
      <c r="I829" t="s">
        <v>3982</v>
      </c>
      <c r="M829" s="14" t="s">
        <v>5748</v>
      </c>
    </row>
    <row r="830" spans="1:13" x14ac:dyDescent="0.3">
      <c r="A830" t="s">
        <v>5749</v>
      </c>
      <c r="B830" t="s">
        <v>5750</v>
      </c>
      <c r="C830" t="s">
        <v>5751</v>
      </c>
      <c r="D830" t="s">
        <v>4916</v>
      </c>
      <c r="E830" t="s">
        <v>4917</v>
      </c>
      <c r="F830" t="s">
        <v>950</v>
      </c>
      <c r="G830" t="s">
        <v>2081</v>
      </c>
      <c r="H830">
        <v>11323.56</v>
      </c>
      <c r="I830" t="s">
        <v>3982</v>
      </c>
      <c r="M830" s="14" t="s">
        <v>5752</v>
      </c>
    </row>
    <row r="831" spans="1:13" x14ac:dyDescent="0.3">
      <c r="A831" t="s">
        <v>5753</v>
      </c>
      <c r="B831" t="s">
        <v>5754</v>
      </c>
      <c r="C831" t="s">
        <v>5755</v>
      </c>
      <c r="D831" t="s">
        <v>4916</v>
      </c>
      <c r="E831" t="s">
        <v>4917</v>
      </c>
      <c r="F831" t="s">
        <v>950</v>
      </c>
      <c r="G831" t="s">
        <v>2081</v>
      </c>
      <c r="H831">
        <v>7113.64</v>
      </c>
      <c r="I831" t="s">
        <v>3982</v>
      </c>
      <c r="M831" s="14" t="s">
        <v>5756</v>
      </c>
    </row>
    <row r="832" spans="1:13" x14ac:dyDescent="0.3">
      <c r="A832" t="s">
        <v>5757</v>
      </c>
      <c r="B832" t="s">
        <v>5758</v>
      </c>
      <c r="C832" t="s">
        <v>5759</v>
      </c>
      <c r="D832" t="s">
        <v>4916</v>
      </c>
      <c r="E832" t="s">
        <v>4917</v>
      </c>
      <c r="F832" t="s">
        <v>950</v>
      </c>
      <c r="G832" t="s">
        <v>2081</v>
      </c>
      <c r="H832">
        <v>7113.64</v>
      </c>
      <c r="I832" t="s">
        <v>3982</v>
      </c>
      <c r="M832" s="14" t="s">
        <v>5760</v>
      </c>
    </row>
    <row r="833" spans="1:13" x14ac:dyDescent="0.3">
      <c r="A833" t="s">
        <v>5761</v>
      </c>
      <c r="B833" t="s">
        <v>5762</v>
      </c>
      <c r="C833" t="s">
        <v>5763</v>
      </c>
      <c r="D833" t="s">
        <v>4916</v>
      </c>
      <c r="E833" t="s">
        <v>4917</v>
      </c>
      <c r="F833" t="s">
        <v>950</v>
      </c>
      <c r="G833" t="s">
        <v>2081</v>
      </c>
      <c r="H833">
        <v>14125.8</v>
      </c>
      <c r="I833" t="s">
        <v>3982</v>
      </c>
      <c r="M833" s="14" t="s">
        <v>5764</v>
      </c>
    </row>
    <row r="834" spans="1:13" x14ac:dyDescent="0.3">
      <c r="A834" t="s">
        <v>5765</v>
      </c>
      <c r="B834" t="s">
        <v>5766</v>
      </c>
      <c r="C834" t="s">
        <v>5767</v>
      </c>
      <c r="D834" t="s">
        <v>4916</v>
      </c>
      <c r="E834" t="s">
        <v>4917</v>
      </c>
      <c r="F834" t="s">
        <v>950</v>
      </c>
      <c r="G834" t="s">
        <v>2081</v>
      </c>
      <c r="H834">
        <v>14125.8</v>
      </c>
      <c r="I834" t="s">
        <v>3982</v>
      </c>
      <c r="M834" s="14" t="s">
        <v>5768</v>
      </c>
    </row>
    <row r="835" spans="1:13" x14ac:dyDescent="0.3">
      <c r="A835" t="s">
        <v>5769</v>
      </c>
      <c r="B835" t="s">
        <v>5770</v>
      </c>
      <c r="C835" t="s">
        <v>5771</v>
      </c>
      <c r="D835" t="s">
        <v>4916</v>
      </c>
      <c r="E835" t="s">
        <v>4917</v>
      </c>
      <c r="F835" t="s">
        <v>950</v>
      </c>
      <c r="G835" t="s">
        <v>2081</v>
      </c>
      <c r="H835">
        <v>9661.5400000000009</v>
      </c>
      <c r="I835" t="s">
        <v>3982</v>
      </c>
      <c r="M835" s="14" t="s">
        <v>5772</v>
      </c>
    </row>
    <row r="836" spans="1:13" x14ac:dyDescent="0.3">
      <c r="A836" t="s">
        <v>5773</v>
      </c>
      <c r="B836" t="s">
        <v>5774</v>
      </c>
      <c r="C836" t="s">
        <v>5775</v>
      </c>
      <c r="D836" t="s">
        <v>4916</v>
      </c>
      <c r="E836" t="s">
        <v>4917</v>
      </c>
      <c r="F836" t="s">
        <v>950</v>
      </c>
      <c r="G836" t="s">
        <v>2081</v>
      </c>
      <c r="H836">
        <v>1509.21</v>
      </c>
      <c r="I836" t="s">
        <v>3982</v>
      </c>
      <c r="M836" s="14" t="s">
        <v>5776</v>
      </c>
    </row>
    <row r="837" spans="1:13" x14ac:dyDescent="0.3">
      <c r="A837" t="s">
        <v>5777</v>
      </c>
      <c r="B837" t="s">
        <v>2283</v>
      </c>
      <c r="C837" t="s">
        <v>5778</v>
      </c>
      <c r="D837" t="s">
        <v>4916</v>
      </c>
      <c r="E837" t="s">
        <v>4917</v>
      </c>
      <c r="F837" t="s">
        <v>950</v>
      </c>
      <c r="G837" t="s">
        <v>2081</v>
      </c>
      <c r="H837">
        <v>693.58</v>
      </c>
      <c r="I837" t="s">
        <v>3982</v>
      </c>
      <c r="M837" s="14" t="s">
        <v>5779</v>
      </c>
    </row>
    <row r="838" spans="1:13" x14ac:dyDescent="0.3">
      <c r="A838" t="s">
        <v>5780</v>
      </c>
      <c r="B838" t="s">
        <v>2283</v>
      </c>
      <c r="C838" t="s">
        <v>5778</v>
      </c>
      <c r="D838" t="s">
        <v>4916</v>
      </c>
      <c r="E838" t="s">
        <v>4917</v>
      </c>
      <c r="F838" t="s">
        <v>950</v>
      </c>
      <c r="G838" t="s">
        <v>2081</v>
      </c>
      <c r="H838">
        <v>693.58</v>
      </c>
      <c r="I838" t="s">
        <v>3982</v>
      </c>
      <c r="M838" s="14" t="s">
        <v>5781</v>
      </c>
    </row>
    <row r="839" spans="1:13" x14ac:dyDescent="0.3">
      <c r="A839" t="s">
        <v>5782</v>
      </c>
      <c r="B839" t="s">
        <v>5783</v>
      </c>
      <c r="C839" t="s">
        <v>5784</v>
      </c>
      <c r="D839" t="s">
        <v>4916</v>
      </c>
      <c r="E839" t="s">
        <v>4917</v>
      </c>
      <c r="F839" t="s">
        <v>950</v>
      </c>
      <c r="G839" t="s">
        <v>2081</v>
      </c>
      <c r="H839">
        <v>34050.050000000003</v>
      </c>
      <c r="I839" t="s">
        <v>3982</v>
      </c>
      <c r="M839" s="14" t="s">
        <v>5785</v>
      </c>
    </row>
    <row r="840" spans="1:13" x14ac:dyDescent="0.3">
      <c r="A840" t="s">
        <v>5786</v>
      </c>
      <c r="B840" t="s">
        <v>5787</v>
      </c>
      <c r="C840" t="s">
        <v>5788</v>
      </c>
      <c r="D840" t="s">
        <v>4916</v>
      </c>
      <c r="E840" t="s">
        <v>4917</v>
      </c>
      <c r="F840" t="s">
        <v>950</v>
      </c>
      <c r="G840" t="s">
        <v>2081</v>
      </c>
      <c r="H840">
        <v>34050.050000000003</v>
      </c>
      <c r="I840" t="s">
        <v>3982</v>
      </c>
      <c r="M840" s="14" t="s">
        <v>5789</v>
      </c>
    </row>
    <row r="841" spans="1:13" x14ac:dyDescent="0.3">
      <c r="A841" t="s">
        <v>5790</v>
      </c>
      <c r="B841" t="s">
        <v>5791</v>
      </c>
      <c r="C841" t="s">
        <v>5792</v>
      </c>
      <c r="D841" t="s">
        <v>4916</v>
      </c>
      <c r="E841" t="s">
        <v>4917</v>
      </c>
      <c r="F841" t="s">
        <v>950</v>
      </c>
      <c r="G841" t="s">
        <v>2081</v>
      </c>
      <c r="H841">
        <v>34600.75</v>
      </c>
      <c r="I841" t="s">
        <v>3982</v>
      </c>
      <c r="M841" s="14" t="s">
        <v>5793</v>
      </c>
    </row>
    <row r="842" spans="1:13" x14ac:dyDescent="0.3">
      <c r="A842" t="s">
        <v>5794</v>
      </c>
      <c r="B842" t="s">
        <v>5795</v>
      </c>
      <c r="C842" t="s">
        <v>5796</v>
      </c>
      <c r="D842" t="s">
        <v>4916</v>
      </c>
      <c r="E842" t="s">
        <v>4917</v>
      </c>
      <c r="F842" t="s">
        <v>950</v>
      </c>
      <c r="G842" t="s">
        <v>2081</v>
      </c>
      <c r="H842">
        <v>34600.75</v>
      </c>
      <c r="I842" t="s">
        <v>3982</v>
      </c>
      <c r="M842" s="14" t="s">
        <v>5797</v>
      </c>
    </row>
    <row r="843" spans="1:13" x14ac:dyDescent="0.3">
      <c r="A843" t="s">
        <v>5798</v>
      </c>
      <c r="B843" t="s">
        <v>5799</v>
      </c>
      <c r="C843" t="s">
        <v>5800</v>
      </c>
      <c r="D843" t="s">
        <v>4916</v>
      </c>
      <c r="E843" t="s">
        <v>4917</v>
      </c>
      <c r="F843" t="s">
        <v>950</v>
      </c>
      <c r="G843" t="s">
        <v>2081</v>
      </c>
      <c r="H843">
        <v>34050.050000000003</v>
      </c>
      <c r="I843" t="s">
        <v>3982</v>
      </c>
      <c r="M843" s="14" t="s">
        <v>5801</v>
      </c>
    </row>
    <row r="844" spans="1:13" x14ac:dyDescent="0.3">
      <c r="A844" t="s">
        <v>5802</v>
      </c>
      <c r="B844" t="s">
        <v>5803</v>
      </c>
      <c r="C844" t="s">
        <v>5804</v>
      </c>
      <c r="D844" t="s">
        <v>4916</v>
      </c>
      <c r="E844" t="s">
        <v>4917</v>
      </c>
      <c r="F844" t="s">
        <v>950</v>
      </c>
      <c r="G844" t="s">
        <v>2081</v>
      </c>
      <c r="H844">
        <v>34050.050000000003</v>
      </c>
      <c r="I844" t="s">
        <v>3982</v>
      </c>
      <c r="M844" s="14" t="s">
        <v>5805</v>
      </c>
    </row>
    <row r="845" spans="1:13" x14ac:dyDescent="0.3">
      <c r="A845" t="s">
        <v>5806</v>
      </c>
      <c r="B845" t="s">
        <v>5807</v>
      </c>
      <c r="C845" t="s">
        <v>5808</v>
      </c>
      <c r="D845" t="s">
        <v>4916</v>
      </c>
      <c r="E845" t="s">
        <v>4917</v>
      </c>
      <c r="F845" t="s">
        <v>950</v>
      </c>
      <c r="G845" t="s">
        <v>2081</v>
      </c>
      <c r="H845">
        <v>35250.67</v>
      </c>
      <c r="I845" t="s">
        <v>3982</v>
      </c>
      <c r="M845" s="14" t="s">
        <v>5809</v>
      </c>
    </row>
    <row r="846" spans="1:13" x14ac:dyDescent="0.3">
      <c r="A846" t="s">
        <v>5810</v>
      </c>
      <c r="B846" t="s">
        <v>5811</v>
      </c>
      <c r="C846" t="s">
        <v>5812</v>
      </c>
      <c r="D846" t="s">
        <v>4916</v>
      </c>
      <c r="E846" t="s">
        <v>4917</v>
      </c>
      <c r="F846" t="s">
        <v>950</v>
      </c>
      <c r="G846" t="s">
        <v>2081</v>
      </c>
      <c r="H846">
        <v>35250.67</v>
      </c>
      <c r="I846" t="s">
        <v>3982</v>
      </c>
      <c r="M846" s="14" t="s">
        <v>5813</v>
      </c>
    </row>
    <row r="847" spans="1:13" x14ac:dyDescent="0.3">
      <c r="A847" t="s">
        <v>5814</v>
      </c>
      <c r="B847" t="s">
        <v>5815</v>
      </c>
      <c r="C847" t="s">
        <v>5816</v>
      </c>
      <c r="D847" t="s">
        <v>4916</v>
      </c>
      <c r="E847" t="s">
        <v>4917</v>
      </c>
      <c r="F847" t="s">
        <v>950</v>
      </c>
      <c r="G847" t="s">
        <v>2081</v>
      </c>
      <c r="H847">
        <v>35250.67</v>
      </c>
      <c r="I847" t="s">
        <v>3982</v>
      </c>
      <c r="M847" s="14" t="s">
        <v>5817</v>
      </c>
    </row>
    <row r="848" spans="1:13" x14ac:dyDescent="0.3">
      <c r="A848" t="s">
        <v>5818</v>
      </c>
      <c r="B848" t="s">
        <v>5819</v>
      </c>
      <c r="C848" t="s">
        <v>5820</v>
      </c>
      <c r="D848" t="s">
        <v>4916</v>
      </c>
      <c r="E848" t="s">
        <v>4917</v>
      </c>
      <c r="F848" t="s">
        <v>950</v>
      </c>
      <c r="G848" t="s">
        <v>2081</v>
      </c>
      <c r="H848">
        <v>35250.67</v>
      </c>
      <c r="I848" t="s">
        <v>3982</v>
      </c>
      <c r="M848" s="14" t="s">
        <v>5821</v>
      </c>
    </row>
    <row r="849" spans="1:13" x14ac:dyDescent="0.3">
      <c r="A849" t="s">
        <v>5822</v>
      </c>
      <c r="B849" t="s">
        <v>5823</v>
      </c>
      <c r="C849" t="s">
        <v>5824</v>
      </c>
      <c r="D849" t="s">
        <v>4916</v>
      </c>
      <c r="E849" t="s">
        <v>4917</v>
      </c>
      <c r="F849" t="s">
        <v>950</v>
      </c>
      <c r="G849" t="s">
        <v>2081</v>
      </c>
      <c r="H849">
        <v>53002.03</v>
      </c>
      <c r="I849" t="s">
        <v>3982</v>
      </c>
      <c r="M849" s="14" t="s">
        <v>5825</v>
      </c>
    </row>
    <row r="850" spans="1:13" x14ac:dyDescent="0.3">
      <c r="A850" t="s">
        <v>5826</v>
      </c>
      <c r="B850" t="s">
        <v>5827</v>
      </c>
      <c r="C850" t="s">
        <v>5828</v>
      </c>
      <c r="D850" t="s">
        <v>4916</v>
      </c>
      <c r="E850" t="s">
        <v>4917</v>
      </c>
      <c r="F850" t="s">
        <v>950</v>
      </c>
      <c r="G850" t="s">
        <v>2081</v>
      </c>
      <c r="H850">
        <v>53002.03</v>
      </c>
      <c r="I850" t="s">
        <v>3982</v>
      </c>
      <c r="M850" s="14" t="s">
        <v>5829</v>
      </c>
    </row>
    <row r="851" spans="1:13" x14ac:dyDescent="0.3">
      <c r="A851" t="s">
        <v>5830</v>
      </c>
      <c r="B851" t="s">
        <v>2256</v>
      </c>
      <c r="C851" t="s">
        <v>5831</v>
      </c>
      <c r="D851" t="s">
        <v>4916</v>
      </c>
      <c r="E851" t="s">
        <v>4917</v>
      </c>
      <c r="F851" t="s">
        <v>950</v>
      </c>
      <c r="G851" t="s">
        <v>2081</v>
      </c>
      <c r="H851">
        <v>26362.1</v>
      </c>
      <c r="I851" t="s">
        <v>3982</v>
      </c>
      <c r="M851" s="14" t="s">
        <v>5832</v>
      </c>
    </row>
    <row r="852" spans="1:13" x14ac:dyDescent="0.3">
      <c r="A852" t="s">
        <v>5833</v>
      </c>
      <c r="B852" t="s">
        <v>5834</v>
      </c>
      <c r="C852" t="s">
        <v>5835</v>
      </c>
      <c r="D852" t="s">
        <v>4916</v>
      </c>
      <c r="E852" t="s">
        <v>4917</v>
      </c>
      <c r="F852" t="s">
        <v>950</v>
      </c>
      <c r="G852" t="s">
        <v>2081</v>
      </c>
      <c r="H852">
        <v>26362.1</v>
      </c>
      <c r="I852" t="s">
        <v>3982</v>
      </c>
      <c r="M852" s="14" t="s">
        <v>5836</v>
      </c>
    </row>
    <row r="853" spans="1:13" x14ac:dyDescent="0.3">
      <c r="A853" t="s">
        <v>5837</v>
      </c>
      <c r="B853" t="s">
        <v>5838</v>
      </c>
      <c r="C853" t="s">
        <v>5839</v>
      </c>
      <c r="D853" t="s">
        <v>4916</v>
      </c>
      <c r="E853" t="s">
        <v>4917</v>
      </c>
      <c r="F853" t="s">
        <v>950</v>
      </c>
      <c r="G853" t="s">
        <v>2081</v>
      </c>
      <c r="H853">
        <v>26362.1</v>
      </c>
      <c r="I853" t="s">
        <v>3982</v>
      </c>
      <c r="M853" s="14" t="s">
        <v>5840</v>
      </c>
    </row>
    <row r="854" spans="1:13" x14ac:dyDescent="0.3">
      <c r="A854" t="s">
        <v>5841</v>
      </c>
      <c r="B854" t="s">
        <v>5842</v>
      </c>
      <c r="C854" t="s">
        <v>5843</v>
      </c>
      <c r="D854" t="s">
        <v>4916</v>
      </c>
      <c r="E854" t="s">
        <v>4917</v>
      </c>
      <c r="F854" t="s">
        <v>950</v>
      </c>
      <c r="G854" t="s">
        <v>2081</v>
      </c>
      <c r="H854">
        <v>29175.13</v>
      </c>
      <c r="I854" t="s">
        <v>3982</v>
      </c>
      <c r="M854" s="14" t="s">
        <v>5844</v>
      </c>
    </row>
    <row r="855" spans="1:13" x14ac:dyDescent="0.3">
      <c r="A855" t="s">
        <v>5845</v>
      </c>
      <c r="B855" t="s">
        <v>5846</v>
      </c>
      <c r="C855" t="s">
        <v>5847</v>
      </c>
      <c r="D855" t="s">
        <v>4916</v>
      </c>
      <c r="E855" t="s">
        <v>4917</v>
      </c>
      <c r="F855" t="s">
        <v>950</v>
      </c>
      <c r="G855" t="s">
        <v>2081</v>
      </c>
      <c r="H855">
        <v>26668.7</v>
      </c>
      <c r="I855" t="s">
        <v>3982</v>
      </c>
      <c r="M855" s="14" t="s">
        <v>5848</v>
      </c>
    </row>
    <row r="856" spans="1:13" x14ac:dyDescent="0.3">
      <c r="A856" t="s">
        <v>5849</v>
      </c>
      <c r="B856" t="s">
        <v>5850</v>
      </c>
      <c r="C856" t="s">
        <v>5851</v>
      </c>
      <c r="D856" t="s">
        <v>4916</v>
      </c>
      <c r="E856" t="s">
        <v>4917</v>
      </c>
      <c r="F856" t="s">
        <v>950</v>
      </c>
      <c r="G856" t="s">
        <v>2081</v>
      </c>
      <c r="H856">
        <v>26668.7</v>
      </c>
      <c r="I856" t="s">
        <v>3982</v>
      </c>
      <c r="M856" s="14" t="s">
        <v>5852</v>
      </c>
    </row>
    <row r="857" spans="1:13" x14ac:dyDescent="0.3">
      <c r="A857" t="s">
        <v>5853</v>
      </c>
      <c r="B857" t="s">
        <v>5854</v>
      </c>
      <c r="C857" t="s">
        <v>5855</v>
      </c>
      <c r="D857" t="s">
        <v>4916</v>
      </c>
      <c r="E857" t="s">
        <v>4917</v>
      </c>
      <c r="F857" t="s">
        <v>950</v>
      </c>
      <c r="G857" t="s">
        <v>2081</v>
      </c>
      <c r="H857">
        <v>30206.07</v>
      </c>
      <c r="I857" t="s">
        <v>3982</v>
      </c>
      <c r="M857" s="14" t="s">
        <v>5856</v>
      </c>
    </row>
    <row r="858" spans="1:13" x14ac:dyDescent="0.3">
      <c r="A858" t="s">
        <v>5857</v>
      </c>
      <c r="B858" t="s">
        <v>5858</v>
      </c>
      <c r="C858" t="s">
        <v>5859</v>
      </c>
      <c r="D858" t="s">
        <v>4916</v>
      </c>
      <c r="E858" t="s">
        <v>4917</v>
      </c>
      <c r="F858" t="s">
        <v>950</v>
      </c>
      <c r="G858" t="s">
        <v>2081</v>
      </c>
      <c r="H858">
        <v>30206.07</v>
      </c>
      <c r="I858" t="s">
        <v>3982</v>
      </c>
      <c r="M858" s="14" t="s">
        <v>5860</v>
      </c>
    </row>
    <row r="859" spans="1:13" x14ac:dyDescent="0.3">
      <c r="A859" t="s">
        <v>5861</v>
      </c>
      <c r="B859" t="s">
        <v>5862</v>
      </c>
      <c r="C859" t="s">
        <v>5863</v>
      </c>
      <c r="D859" t="s">
        <v>4916</v>
      </c>
      <c r="E859" t="s">
        <v>4917</v>
      </c>
      <c r="F859" t="s">
        <v>950</v>
      </c>
      <c r="G859" t="s">
        <v>2081</v>
      </c>
      <c r="H859">
        <v>34050.050000000003</v>
      </c>
      <c r="I859" t="s">
        <v>3982</v>
      </c>
      <c r="M859" s="14" t="s">
        <v>5864</v>
      </c>
    </row>
    <row r="860" spans="1:13" x14ac:dyDescent="0.3">
      <c r="A860" t="s">
        <v>5865</v>
      </c>
      <c r="B860" t="s">
        <v>5866</v>
      </c>
      <c r="C860" t="s">
        <v>5867</v>
      </c>
      <c r="D860" t="s">
        <v>4916</v>
      </c>
      <c r="E860" t="s">
        <v>4917</v>
      </c>
      <c r="F860" t="s">
        <v>950</v>
      </c>
      <c r="G860" t="s">
        <v>2081</v>
      </c>
      <c r="H860">
        <v>34050.050000000003</v>
      </c>
      <c r="I860" t="s">
        <v>3982</v>
      </c>
      <c r="M860" s="14" t="s">
        <v>5868</v>
      </c>
    </row>
    <row r="861" spans="1:13" x14ac:dyDescent="0.3">
      <c r="A861" t="s">
        <v>5869</v>
      </c>
      <c r="B861" t="s">
        <v>5870</v>
      </c>
      <c r="C861" t="s">
        <v>5871</v>
      </c>
      <c r="D861" t="s">
        <v>4916</v>
      </c>
      <c r="E861" t="s">
        <v>4917</v>
      </c>
      <c r="F861" t="s">
        <v>950</v>
      </c>
      <c r="G861" t="s">
        <v>2081</v>
      </c>
      <c r="H861">
        <v>34050.050000000003</v>
      </c>
      <c r="I861" t="s">
        <v>3982</v>
      </c>
      <c r="M861" s="14" t="s">
        <v>5872</v>
      </c>
    </row>
    <row r="862" spans="1:13" x14ac:dyDescent="0.3">
      <c r="A862" t="s">
        <v>5873</v>
      </c>
      <c r="B862" t="s">
        <v>5874</v>
      </c>
      <c r="C862" t="s">
        <v>5875</v>
      </c>
      <c r="D862" t="s">
        <v>4916</v>
      </c>
      <c r="E862" t="s">
        <v>4917</v>
      </c>
      <c r="F862" t="s">
        <v>950</v>
      </c>
      <c r="G862" t="s">
        <v>2081</v>
      </c>
      <c r="H862">
        <v>34050.050000000003</v>
      </c>
      <c r="I862" t="s">
        <v>3982</v>
      </c>
      <c r="M862" s="14" t="s">
        <v>5876</v>
      </c>
    </row>
    <row r="863" spans="1:13" x14ac:dyDescent="0.3">
      <c r="A863" t="s">
        <v>5877</v>
      </c>
      <c r="B863" t="s">
        <v>5878</v>
      </c>
      <c r="C863" t="s">
        <v>5879</v>
      </c>
      <c r="D863" t="s">
        <v>4916</v>
      </c>
      <c r="E863" t="s">
        <v>4917</v>
      </c>
      <c r="F863" t="s">
        <v>950</v>
      </c>
      <c r="G863" t="s">
        <v>2081</v>
      </c>
      <c r="H863">
        <v>35250.67</v>
      </c>
      <c r="I863" t="s">
        <v>3982</v>
      </c>
      <c r="M863" s="14" t="s">
        <v>5880</v>
      </c>
    </row>
    <row r="864" spans="1:13" x14ac:dyDescent="0.3">
      <c r="A864" t="s">
        <v>5881</v>
      </c>
      <c r="B864" t="s">
        <v>5882</v>
      </c>
      <c r="C864" t="s">
        <v>5883</v>
      </c>
      <c r="D864" t="s">
        <v>4916</v>
      </c>
      <c r="E864" t="s">
        <v>4917</v>
      </c>
      <c r="F864" t="s">
        <v>950</v>
      </c>
      <c r="G864" t="s">
        <v>2081</v>
      </c>
      <c r="H864">
        <v>35250.67</v>
      </c>
      <c r="I864" t="s">
        <v>3982</v>
      </c>
      <c r="M864" s="14" t="s">
        <v>5884</v>
      </c>
    </row>
    <row r="865" spans="1:13" x14ac:dyDescent="0.3">
      <c r="A865" t="s">
        <v>5885</v>
      </c>
      <c r="B865" t="s">
        <v>5886</v>
      </c>
      <c r="C865" t="s">
        <v>5887</v>
      </c>
      <c r="D865" t="s">
        <v>4916</v>
      </c>
      <c r="E865" t="s">
        <v>4917</v>
      </c>
      <c r="F865" t="s">
        <v>950</v>
      </c>
      <c r="G865" t="s">
        <v>2081</v>
      </c>
      <c r="H865">
        <v>35250.67</v>
      </c>
      <c r="I865" t="s">
        <v>3982</v>
      </c>
      <c r="M865" s="14" t="s">
        <v>5888</v>
      </c>
    </row>
    <row r="866" spans="1:13" x14ac:dyDescent="0.3">
      <c r="A866" t="s">
        <v>5889</v>
      </c>
      <c r="B866" t="s">
        <v>5890</v>
      </c>
      <c r="C866" t="s">
        <v>5891</v>
      </c>
      <c r="D866" t="s">
        <v>4916</v>
      </c>
      <c r="E866" t="s">
        <v>4917</v>
      </c>
      <c r="F866" t="s">
        <v>950</v>
      </c>
      <c r="G866" t="s">
        <v>2081</v>
      </c>
      <c r="H866">
        <v>35250.67</v>
      </c>
      <c r="I866" t="s">
        <v>3982</v>
      </c>
      <c r="M866" s="14" t="s">
        <v>5892</v>
      </c>
    </row>
    <row r="867" spans="1:13" x14ac:dyDescent="0.3">
      <c r="A867" t="s">
        <v>5893</v>
      </c>
      <c r="B867" t="s">
        <v>5894</v>
      </c>
      <c r="C867" t="s">
        <v>5895</v>
      </c>
      <c r="D867" t="s">
        <v>4916</v>
      </c>
      <c r="E867" t="s">
        <v>4917</v>
      </c>
      <c r="F867" t="s">
        <v>950</v>
      </c>
      <c r="G867" t="s">
        <v>2081</v>
      </c>
      <c r="H867">
        <v>34050.050000000003</v>
      </c>
      <c r="I867" t="s">
        <v>3982</v>
      </c>
      <c r="M867" s="14" t="s">
        <v>5896</v>
      </c>
    </row>
    <row r="868" spans="1:13" x14ac:dyDescent="0.3">
      <c r="A868" t="s">
        <v>5897</v>
      </c>
      <c r="B868" t="s">
        <v>5898</v>
      </c>
      <c r="C868" t="s">
        <v>5899</v>
      </c>
      <c r="D868" t="s">
        <v>4916</v>
      </c>
      <c r="E868" t="s">
        <v>4917</v>
      </c>
      <c r="F868" t="s">
        <v>950</v>
      </c>
      <c r="G868" t="s">
        <v>2081</v>
      </c>
      <c r="H868">
        <v>34050.050000000003</v>
      </c>
      <c r="I868" t="s">
        <v>3982</v>
      </c>
      <c r="M868" s="14" t="s">
        <v>5900</v>
      </c>
    </row>
    <row r="869" spans="1:13" x14ac:dyDescent="0.3">
      <c r="A869" t="s">
        <v>5901</v>
      </c>
      <c r="B869" t="s">
        <v>5902</v>
      </c>
      <c r="C869" t="s">
        <v>5903</v>
      </c>
      <c r="D869" t="s">
        <v>4916</v>
      </c>
      <c r="E869" t="s">
        <v>4917</v>
      </c>
      <c r="F869" t="s">
        <v>950</v>
      </c>
      <c r="G869" t="s">
        <v>2081</v>
      </c>
      <c r="H869">
        <v>32999.26</v>
      </c>
      <c r="I869" t="s">
        <v>3982</v>
      </c>
      <c r="M869" s="14" t="s">
        <v>5904</v>
      </c>
    </row>
    <row r="870" spans="1:13" x14ac:dyDescent="0.3">
      <c r="A870" t="s">
        <v>5905</v>
      </c>
      <c r="B870" t="s">
        <v>5906</v>
      </c>
      <c r="C870" t="s">
        <v>5907</v>
      </c>
      <c r="D870" t="s">
        <v>4916</v>
      </c>
      <c r="E870" t="s">
        <v>4917</v>
      </c>
      <c r="F870" t="s">
        <v>950</v>
      </c>
      <c r="G870" t="s">
        <v>2081</v>
      </c>
      <c r="H870">
        <v>34050.050000000003</v>
      </c>
      <c r="I870" t="s">
        <v>3982</v>
      </c>
      <c r="M870" s="14" t="s">
        <v>5908</v>
      </c>
    </row>
    <row r="871" spans="1:13" x14ac:dyDescent="0.3">
      <c r="A871" t="s">
        <v>5909</v>
      </c>
      <c r="B871" t="s">
        <v>5910</v>
      </c>
      <c r="C871" t="s">
        <v>5911</v>
      </c>
      <c r="D871" t="s">
        <v>4916</v>
      </c>
      <c r="E871" t="s">
        <v>4917</v>
      </c>
      <c r="F871" t="s">
        <v>950</v>
      </c>
      <c r="G871" t="s">
        <v>2081</v>
      </c>
      <c r="H871">
        <v>34050.050000000003</v>
      </c>
      <c r="I871" t="s">
        <v>3982</v>
      </c>
      <c r="M871" s="14" t="s">
        <v>5912</v>
      </c>
    </row>
    <row r="872" spans="1:13" x14ac:dyDescent="0.3">
      <c r="A872" t="s">
        <v>5913</v>
      </c>
      <c r="B872" t="s">
        <v>5914</v>
      </c>
      <c r="C872" t="s">
        <v>5915</v>
      </c>
      <c r="D872" t="s">
        <v>4916</v>
      </c>
      <c r="E872" t="s">
        <v>4917</v>
      </c>
      <c r="F872" t="s">
        <v>950</v>
      </c>
      <c r="G872" t="s">
        <v>2081</v>
      </c>
      <c r="H872">
        <v>34050.050000000003</v>
      </c>
      <c r="I872" t="s">
        <v>3982</v>
      </c>
      <c r="M872" s="14" t="s">
        <v>5916</v>
      </c>
    </row>
    <row r="873" spans="1:13" x14ac:dyDescent="0.3">
      <c r="A873" t="s">
        <v>5917</v>
      </c>
      <c r="B873" t="s">
        <v>5918</v>
      </c>
      <c r="C873" t="s">
        <v>5919</v>
      </c>
      <c r="D873" t="s">
        <v>4916</v>
      </c>
      <c r="E873" t="s">
        <v>4917</v>
      </c>
      <c r="F873" t="s">
        <v>950</v>
      </c>
      <c r="G873" t="s">
        <v>2081</v>
      </c>
      <c r="H873">
        <v>34050.050000000003</v>
      </c>
      <c r="I873" t="s">
        <v>3982</v>
      </c>
      <c r="M873" s="14" t="s">
        <v>5920</v>
      </c>
    </row>
    <row r="874" spans="1:13" x14ac:dyDescent="0.3">
      <c r="A874" t="s">
        <v>5921</v>
      </c>
      <c r="B874" t="s">
        <v>5922</v>
      </c>
      <c r="C874" t="s">
        <v>5923</v>
      </c>
      <c r="D874" t="s">
        <v>4916</v>
      </c>
      <c r="E874" t="s">
        <v>4917</v>
      </c>
      <c r="F874" t="s">
        <v>950</v>
      </c>
      <c r="G874" t="s">
        <v>2081</v>
      </c>
      <c r="H874">
        <v>35250.67</v>
      </c>
      <c r="I874" t="s">
        <v>3982</v>
      </c>
      <c r="M874" s="14" t="s">
        <v>5924</v>
      </c>
    </row>
    <row r="875" spans="1:13" x14ac:dyDescent="0.3">
      <c r="A875" t="s">
        <v>5925</v>
      </c>
      <c r="B875" t="s">
        <v>5926</v>
      </c>
      <c r="C875" t="s">
        <v>5927</v>
      </c>
      <c r="D875" t="s">
        <v>4916</v>
      </c>
      <c r="E875" t="s">
        <v>4917</v>
      </c>
      <c r="F875" t="s">
        <v>950</v>
      </c>
      <c r="G875" t="s">
        <v>2081</v>
      </c>
      <c r="H875">
        <v>35250.67</v>
      </c>
      <c r="I875" t="s">
        <v>3982</v>
      </c>
      <c r="M875" s="14" t="s">
        <v>5928</v>
      </c>
    </row>
    <row r="876" spans="1:13" x14ac:dyDescent="0.3">
      <c r="A876" t="s">
        <v>5929</v>
      </c>
      <c r="B876" t="s">
        <v>5930</v>
      </c>
      <c r="C876" t="s">
        <v>5931</v>
      </c>
      <c r="D876" t="s">
        <v>4916</v>
      </c>
      <c r="E876" t="s">
        <v>4917</v>
      </c>
      <c r="F876" t="s">
        <v>950</v>
      </c>
      <c r="G876" t="s">
        <v>2081</v>
      </c>
      <c r="H876">
        <v>35250.67</v>
      </c>
      <c r="I876" t="s">
        <v>3982</v>
      </c>
      <c r="M876" s="14" t="s">
        <v>5932</v>
      </c>
    </row>
    <row r="877" spans="1:13" x14ac:dyDescent="0.3">
      <c r="A877" t="s">
        <v>5933</v>
      </c>
      <c r="B877" t="s">
        <v>5930</v>
      </c>
      <c r="C877" t="s">
        <v>5931</v>
      </c>
      <c r="D877" t="s">
        <v>4916</v>
      </c>
      <c r="E877" t="s">
        <v>4917</v>
      </c>
      <c r="F877" t="s">
        <v>950</v>
      </c>
      <c r="G877" t="s">
        <v>2081</v>
      </c>
      <c r="H877">
        <v>40643.550000000003</v>
      </c>
      <c r="I877" t="s">
        <v>3982</v>
      </c>
      <c r="M877" s="14" t="s">
        <v>5934</v>
      </c>
    </row>
    <row r="878" spans="1:13" x14ac:dyDescent="0.3">
      <c r="A878" t="s">
        <v>5935</v>
      </c>
      <c r="B878" t="s">
        <v>5936</v>
      </c>
      <c r="C878" t="s">
        <v>5937</v>
      </c>
      <c r="D878" t="s">
        <v>4916</v>
      </c>
      <c r="E878" t="s">
        <v>4917</v>
      </c>
      <c r="F878" t="s">
        <v>950</v>
      </c>
      <c r="G878" t="s">
        <v>2081</v>
      </c>
      <c r="H878">
        <v>35250.67</v>
      </c>
      <c r="I878" t="s">
        <v>3982</v>
      </c>
      <c r="M878" s="14" t="s">
        <v>5938</v>
      </c>
    </row>
    <row r="879" spans="1:13" x14ac:dyDescent="0.3">
      <c r="A879" t="s">
        <v>5939</v>
      </c>
      <c r="B879" t="s">
        <v>5936</v>
      </c>
      <c r="C879" t="s">
        <v>5937</v>
      </c>
      <c r="D879" t="s">
        <v>4916</v>
      </c>
      <c r="E879" t="s">
        <v>4917</v>
      </c>
      <c r="F879" t="s">
        <v>950</v>
      </c>
      <c r="G879" t="s">
        <v>2081</v>
      </c>
      <c r="H879">
        <v>40643.550000000003</v>
      </c>
      <c r="I879" t="s">
        <v>3982</v>
      </c>
      <c r="M879" s="14" t="s">
        <v>5940</v>
      </c>
    </row>
    <row r="880" spans="1:13" x14ac:dyDescent="0.3">
      <c r="A880" t="s">
        <v>5941</v>
      </c>
      <c r="B880" t="s">
        <v>5942</v>
      </c>
      <c r="D880" t="s">
        <v>5943</v>
      </c>
      <c r="E880" t="s">
        <v>5944</v>
      </c>
      <c r="F880" t="s">
        <v>950</v>
      </c>
      <c r="G880" t="s">
        <v>2081</v>
      </c>
      <c r="H880">
        <v>379.32</v>
      </c>
      <c r="I880" t="s">
        <v>3982</v>
      </c>
      <c r="M880" s="14" t="s">
        <v>5945</v>
      </c>
    </row>
    <row r="881" spans="1:13" x14ac:dyDescent="0.3">
      <c r="A881" t="s">
        <v>5946</v>
      </c>
      <c r="B881" t="s">
        <v>5947</v>
      </c>
      <c r="D881" t="s">
        <v>5943</v>
      </c>
      <c r="E881" t="s">
        <v>5944</v>
      </c>
      <c r="F881" t="s">
        <v>950</v>
      </c>
      <c r="G881" t="s">
        <v>2081</v>
      </c>
      <c r="H881">
        <v>506.85</v>
      </c>
      <c r="I881" t="s">
        <v>3982</v>
      </c>
      <c r="M881" s="14" t="s">
        <v>5948</v>
      </c>
    </row>
    <row r="882" spans="1:13" x14ac:dyDescent="0.3">
      <c r="A882" t="s">
        <v>5949</v>
      </c>
      <c r="B882" t="s">
        <v>5950</v>
      </c>
      <c r="D882" t="s">
        <v>5943</v>
      </c>
      <c r="E882" t="s">
        <v>5944</v>
      </c>
      <c r="F882" t="s">
        <v>950</v>
      </c>
      <c r="G882" t="s">
        <v>2081</v>
      </c>
      <c r="H882">
        <v>506.85</v>
      </c>
      <c r="I882" t="s">
        <v>3982</v>
      </c>
      <c r="M882" s="14" t="s">
        <v>5951</v>
      </c>
    </row>
    <row r="883" spans="1:13" x14ac:dyDescent="0.3">
      <c r="A883" t="s">
        <v>5952</v>
      </c>
      <c r="B883" t="s">
        <v>5953</v>
      </c>
      <c r="D883" t="s">
        <v>5943</v>
      </c>
      <c r="E883" t="s">
        <v>5944</v>
      </c>
      <c r="F883" t="s">
        <v>950</v>
      </c>
      <c r="G883" t="s">
        <v>2081</v>
      </c>
      <c r="H883">
        <v>97.01</v>
      </c>
      <c r="I883" t="s">
        <v>3982</v>
      </c>
      <c r="M883" s="14" t="s">
        <v>5954</v>
      </c>
    </row>
    <row r="884" spans="1:13" x14ac:dyDescent="0.3">
      <c r="A884" t="s">
        <v>5955</v>
      </c>
      <c r="B884" t="s">
        <v>5956</v>
      </c>
      <c r="D884" t="s">
        <v>5943</v>
      </c>
      <c r="E884" t="s">
        <v>5944</v>
      </c>
      <c r="F884" t="s">
        <v>950</v>
      </c>
      <c r="G884" t="s">
        <v>2081</v>
      </c>
      <c r="H884">
        <v>1700.4</v>
      </c>
      <c r="I884" t="s">
        <v>3982</v>
      </c>
      <c r="M884" s="14" t="s">
        <v>5957</v>
      </c>
    </row>
    <row r="885" spans="1:13" x14ac:dyDescent="0.3">
      <c r="A885" t="s">
        <v>5958</v>
      </c>
      <c r="B885" t="s">
        <v>5959</v>
      </c>
      <c r="D885" t="s">
        <v>5943</v>
      </c>
      <c r="E885" t="s">
        <v>5944</v>
      </c>
      <c r="F885" t="s">
        <v>950</v>
      </c>
      <c r="G885" t="s">
        <v>2081</v>
      </c>
      <c r="H885">
        <v>2550.6</v>
      </c>
      <c r="I885" t="s">
        <v>3982</v>
      </c>
      <c r="M885" s="14" t="s">
        <v>5960</v>
      </c>
    </row>
    <row r="886" spans="1:13" x14ac:dyDescent="0.3">
      <c r="A886" t="s">
        <v>5961</v>
      </c>
      <c r="B886" t="s">
        <v>5962</v>
      </c>
      <c r="D886" t="s">
        <v>5943</v>
      </c>
      <c r="E886" t="s">
        <v>5944</v>
      </c>
      <c r="F886" t="s">
        <v>950</v>
      </c>
      <c r="G886" t="s">
        <v>2081</v>
      </c>
      <c r="H886">
        <v>3400.8</v>
      </c>
      <c r="I886" t="s">
        <v>3982</v>
      </c>
      <c r="M886" s="14" t="s">
        <v>5963</v>
      </c>
    </row>
    <row r="887" spans="1:13" x14ac:dyDescent="0.3">
      <c r="A887" t="s">
        <v>5964</v>
      </c>
      <c r="B887" t="s">
        <v>5965</v>
      </c>
      <c r="D887" t="s">
        <v>5943</v>
      </c>
      <c r="E887" t="s">
        <v>5944</v>
      </c>
      <c r="F887" t="s">
        <v>950</v>
      </c>
      <c r="G887" t="s">
        <v>2081</v>
      </c>
      <c r="H887">
        <v>4251</v>
      </c>
      <c r="I887" t="s">
        <v>3982</v>
      </c>
      <c r="M887" s="14" t="s">
        <v>5966</v>
      </c>
    </row>
    <row r="888" spans="1:13" x14ac:dyDescent="0.3">
      <c r="A888" t="s">
        <v>5967</v>
      </c>
      <c r="B888" t="s">
        <v>5968</v>
      </c>
      <c r="D888" t="s">
        <v>5943</v>
      </c>
      <c r="E888" t="s">
        <v>5944</v>
      </c>
      <c r="F888" t="s">
        <v>950</v>
      </c>
      <c r="G888" t="s">
        <v>2081</v>
      </c>
      <c r="H888">
        <v>5101.2</v>
      </c>
      <c r="I888" t="s">
        <v>3982</v>
      </c>
      <c r="M888" s="14" t="s">
        <v>5969</v>
      </c>
    </row>
    <row r="889" spans="1:13" x14ac:dyDescent="0.3">
      <c r="A889" t="s">
        <v>5970</v>
      </c>
      <c r="B889" t="s">
        <v>5971</v>
      </c>
      <c r="C889" t="s">
        <v>5972</v>
      </c>
      <c r="D889" t="s">
        <v>4916</v>
      </c>
      <c r="E889" t="s">
        <v>4917</v>
      </c>
      <c r="F889" t="s">
        <v>950</v>
      </c>
      <c r="G889" t="s">
        <v>2081</v>
      </c>
      <c r="H889">
        <v>12697.82</v>
      </c>
      <c r="I889" t="s">
        <v>3982</v>
      </c>
      <c r="M889" s="14" t="s">
        <v>5973</v>
      </c>
    </row>
    <row r="890" spans="1:13" x14ac:dyDescent="0.3">
      <c r="A890" t="s">
        <v>5974</v>
      </c>
      <c r="B890" t="s">
        <v>5975</v>
      </c>
      <c r="C890" t="s">
        <v>5976</v>
      </c>
      <c r="D890" t="s">
        <v>4916</v>
      </c>
      <c r="E890" t="s">
        <v>4917</v>
      </c>
      <c r="F890" t="s">
        <v>950</v>
      </c>
      <c r="G890" t="s">
        <v>2081</v>
      </c>
      <c r="H890">
        <v>30409.49</v>
      </c>
      <c r="I890" t="s">
        <v>3982</v>
      </c>
      <c r="M890" s="14" t="s">
        <v>5977</v>
      </c>
    </row>
    <row r="891" spans="1:13" x14ac:dyDescent="0.3">
      <c r="A891" t="s">
        <v>5978</v>
      </c>
      <c r="B891" t="s">
        <v>5979</v>
      </c>
      <c r="C891" t="s">
        <v>5980</v>
      </c>
      <c r="D891" t="s">
        <v>4916</v>
      </c>
      <c r="E891" t="s">
        <v>4917</v>
      </c>
      <c r="F891" t="s">
        <v>950</v>
      </c>
      <c r="G891" t="s">
        <v>2081</v>
      </c>
      <c r="H891">
        <v>24598.87</v>
      </c>
      <c r="I891" t="s">
        <v>3982</v>
      </c>
      <c r="M891" s="14" t="s">
        <v>5981</v>
      </c>
    </row>
    <row r="892" spans="1:13" x14ac:dyDescent="0.3">
      <c r="A892" t="s">
        <v>5982</v>
      </c>
      <c r="B892" t="s">
        <v>5983</v>
      </c>
      <c r="C892" t="s">
        <v>5984</v>
      </c>
      <c r="D892" t="s">
        <v>4916</v>
      </c>
      <c r="E892" t="s">
        <v>4917</v>
      </c>
      <c r="F892" t="s">
        <v>950</v>
      </c>
      <c r="G892" t="s">
        <v>2081</v>
      </c>
      <c r="H892">
        <v>2948.97</v>
      </c>
      <c r="I892" t="s">
        <v>3982</v>
      </c>
      <c r="M892" s="14" t="s">
        <v>5985</v>
      </c>
    </row>
    <row r="893" spans="1:13" x14ac:dyDescent="0.3">
      <c r="A893" t="s">
        <v>5986</v>
      </c>
      <c r="B893" t="s">
        <v>5987</v>
      </c>
      <c r="C893" t="s">
        <v>5988</v>
      </c>
      <c r="D893" t="s">
        <v>4916</v>
      </c>
      <c r="E893" t="s">
        <v>4917</v>
      </c>
      <c r="F893" t="s">
        <v>950</v>
      </c>
      <c r="G893" t="s">
        <v>2081</v>
      </c>
      <c r="H893">
        <v>2948.97</v>
      </c>
      <c r="I893" t="s">
        <v>3982</v>
      </c>
      <c r="M893" s="14" t="s">
        <v>5989</v>
      </c>
    </row>
    <row r="894" spans="1:13" x14ac:dyDescent="0.3">
      <c r="A894" t="s">
        <v>5990</v>
      </c>
      <c r="B894" t="s">
        <v>5991</v>
      </c>
      <c r="C894" t="s">
        <v>5992</v>
      </c>
      <c r="D894" t="s">
        <v>4975</v>
      </c>
      <c r="E894" t="s">
        <v>4976</v>
      </c>
      <c r="F894" t="s">
        <v>950</v>
      </c>
      <c r="G894" t="s">
        <v>2081</v>
      </c>
      <c r="H894">
        <v>133.01</v>
      </c>
      <c r="I894" t="s">
        <v>3982</v>
      </c>
      <c r="M894" s="14" t="s">
        <v>5993</v>
      </c>
    </row>
    <row r="895" spans="1:13" x14ac:dyDescent="0.3">
      <c r="A895" t="s">
        <v>5994</v>
      </c>
      <c r="B895" t="s">
        <v>5995</v>
      </c>
      <c r="D895" t="s">
        <v>5204</v>
      </c>
      <c r="E895" t="s">
        <v>4917</v>
      </c>
      <c r="F895" t="s">
        <v>950</v>
      </c>
      <c r="G895" t="s">
        <v>2081</v>
      </c>
      <c r="H895">
        <v>42.67</v>
      </c>
      <c r="I895" t="s">
        <v>3982</v>
      </c>
      <c r="M895" s="14" t="s">
        <v>5996</v>
      </c>
    </row>
    <row r="896" spans="1:13" x14ac:dyDescent="0.3">
      <c r="A896" t="s">
        <v>5997</v>
      </c>
      <c r="B896" t="s">
        <v>2189</v>
      </c>
      <c r="C896" t="s">
        <v>5998</v>
      </c>
      <c r="D896" t="s">
        <v>4975</v>
      </c>
      <c r="E896" t="s">
        <v>4976</v>
      </c>
      <c r="F896" t="s">
        <v>950</v>
      </c>
      <c r="G896" t="s">
        <v>2081</v>
      </c>
      <c r="H896">
        <v>361.01</v>
      </c>
      <c r="I896" t="s">
        <v>3982</v>
      </c>
      <c r="M896" s="14" t="s">
        <v>5999</v>
      </c>
    </row>
    <row r="897" spans="1:13" x14ac:dyDescent="0.3">
      <c r="A897" t="s">
        <v>6000</v>
      </c>
      <c r="B897" t="s">
        <v>6001</v>
      </c>
      <c r="D897" t="s">
        <v>5943</v>
      </c>
      <c r="E897" t="s">
        <v>5944</v>
      </c>
      <c r="F897" t="s">
        <v>950</v>
      </c>
      <c r="G897" t="s">
        <v>2081</v>
      </c>
      <c r="H897">
        <v>304.11</v>
      </c>
      <c r="I897" t="s">
        <v>3982</v>
      </c>
      <c r="M897" s="14" t="s">
        <v>6002</v>
      </c>
    </row>
    <row r="898" spans="1:13" x14ac:dyDescent="0.3">
      <c r="A898" t="s">
        <v>6003</v>
      </c>
      <c r="B898" t="s">
        <v>6004</v>
      </c>
      <c r="D898" t="s">
        <v>5204</v>
      </c>
      <c r="E898" t="s">
        <v>4917</v>
      </c>
      <c r="F898" t="s">
        <v>950</v>
      </c>
      <c r="G898" t="s">
        <v>2081</v>
      </c>
      <c r="H898">
        <v>493.15</v>
      </c>
      <c r="I898" t="s">
        <v>3982</v>
      </c>
      <c r="M898" s="14" t="s">
        <v>6005</v>
      </c>
    </row>
    <row r="899" spans="1:13" x14ac:dyDescent="0.3">
      <c r="A899" t="s">
        <v>6006</v>
      </c>
      <c r="B899" t="s">
        <v>6007</v>
      </c>
      <c r="D899" t="s">
        <v>5943</v>
      </c>
      <c r="E899" t="s">
        <v>5944</v>
      </c>
      <c r="F899" t="s">
        <v>950</v>
      </c>
      <c r="G899" t="s">
        <v>2081</v>
      </c>
      <c r="H899">
        <v>534.1</v>
      </c>
      <c r="I899" t="s">
        <v>3982</v>
      </c>
      <c r="M899" s="14" t="s">
        <v>6008</v>
      </c>
    </row>
    <row r="900" spans="1:13" x14ac:dyDescent="0.3">
      <c r="A900" t="s">
        <v>6009</v>
      </c>
      <c r="B900" t="s">
        <v>2186</v>
      </c>
      <c r="C900" t="s">
        <v>6010</v>
      </c>
      <c r="D900" t="s">
        <v>4975</v>
      </c>
      <c r="E900" t="s">
        <v>4976</v>
      </c>
      <c r="F900" t="s">
        <v>950</v>
      </c>
      <c r="G900" t="s">
        <v>2081</v>
      </c>
      <c r="H900">
        <v>360.63</v>
      </c>
      <c r="I900" t="s">
        <v>3982</v>
      </c>
      <c r="M900" s="14" t="s">
        <v>6011</v>
      </c>
    </row>
    <row r="901" spans="1:13" x14ac:dyDescent="0.3">
      <c r="A901" t="s">
        <v>6012</v>
      </c>
      <c r="B901" t="s">
        <v>6013</v>
      </c>
      <c r="C901" t="s">
        <v>6014</v>
      </c>
      <c r="D901" t="s">
        <v>4975</v>
      </c>
      <c r="E901" t="s">
        <v>4976</v>
      </c>
      <c r="F901" t="s">
        <v>950</v>
      </c>
      <c r="G901" t="s">
        <v>2081</v>
      </c>
      <c r="H901">
        <v>418.03</v>
      </c>
      <c r="I901" t="s">
        <v>3982</v>
      </c>
      <c r="M901" s="14" t="s">
        <v>6015</v>
      </c>
    </row>
    <row r="902" spans="1:13" x14ac:dyDescent="0.3">
      <c r="A902" t="s">
        <v>6016</v>
      </c>
      <c r="B902" t="s">
        <v>6017</v>
      </c>
      <c r="C902" t="s">
        <v>6018</v>
      </c>
      <c r="D902" t="s">
        <v>4975</v>
      </c>
      <c r="E902" t="s">
        <v>4976</v>
      </c>
      <c r="F902" t="s">
        <v>950</v>
      </c>
      <c r="G902" t="s">
        <v>2081</v>
      </c>
      <c r="H902">
        <v>614.36</v>
      </c>
      <c r="I902" t="s">
        <v>3982</v>
      </c>
      <c r="M902" s="14" t="s">
        <v>6019</v>
      </c>
    </row>
    <row r="903" spans="1:13" x14ac:dyDescent="0.3">
      <c r="A903" t="s">
        <v>6020</v>
      </c>
      <c r="B903" t="s">
        <v>2168</v>
      </c>
      <c r="C903" t="s">
        <v>6021</v>
      </c>
      <c r="D903" t="s">
        <v>4975</v>
      </c>
      <c r="E903" t="s">
        <v>4976</v>
      </c>
      <c r="F903" t="s">
        <v>950</v>
      </c>
      <c r="G903" t="s">
        <v>2081</v>
      </c>
      <c r="H903">
        <v>361.01</v>
      </c>
      <c r="I903" t="s">
        <v>3982</v>
      </c>
      <c r="M903" s="14" t="s">
        <v>6022</v>
      </c>
    </row>
    <row r="904" spans="1:13" x14ac:dyDescent="0.3">
      <c r="A904" t="s">
        <v>6023</v>
      </c>
      <c r="B904" t="s">
        <v>6024</v>
      </c>
      <c r="D904" t="s">
        <v>5460</v>
      </c>
      <c r="E904" t="s">
        <v>5460</v>
      </c>
      <c r="F904" t="s">
        <v>950</v>
      </c>
      <c r="G904" t="s">
        <v>2081</v>
      </c>
      <c r="H904">
        <v>3020.08</v>
      </c>
      <c r="I904" t="s">
        <v>3982</v>
      </c>
      <c r="M904" s="14" t="s">
        <v>6025</v>
      </c>
    </row>
    <row r="905" spans="1:13" x14ac:dyDescent="0.3">
      <c r="A905" t="s">
        <v>6026</v>
      </c>
      <c r="B905" t="s">
        <v>6027</v>
      </c>
      <c r="C905" t="s">
        <v>6028</v>
      </c>
      <c r="D905" t="s">
        <v>4975</v>
      </c>
      <c r="E905" t="s">
        <v>4976</v>
      </c>
      <c r="F905" t="s">
        <v>950</v>
      </c>
      <c r="G905" t="s">
        <v>2081</v>
      </c>
      <c r="H905">
        <v>3679.83</v>
      </c>
      <c r="I905" t="s">
        <v>3982</v>
      </c>
      <c r="M905" s="14" t="s">
        <v>6029</v>
      </c>
    </row>
    <row r="906" spans="1:13" x14ac:dyDescent="0.3">
      <c r="A906" t="s">
        <v>6030</v>
      </c>
      <c r="B906" t="s">
        <v>6031</v>
      </c>
      <c r="D906" t="s">
        <v>5943</v>
      </c>
      <c r="E906" t="s">
        <v>5944</v>
      </c>
      <c r="F906" t="s">
        <v>950</v>
      </c>
      <c r="G906" t="s">
        <v>2081</v>
      </c>
      <c r="H906">
        <v>3242.75</v>
      </c>
      <c r="I906" t="s">
        <v>3982</v>
      </c>
      <c r="M906" s="14" t="s">
        <v>6032</v>
      </c>
    </row>
    <row r="907" spans="1:13" x14ac:dyDescent="0.3">
      <c r="A907" t="s">
        <v>6033</v>
      </c>
      <c r="B907" t="s">
        <v>6034</v>
      </c>
      <c r="D907" t="s">
        <v>5943</v>
      </c>
      <c r="E907" t="s">
        <v>5944</v>
      </c>
      <c r="F907" t="s">
        <v>950</v>
      </c>
      <c r="G907" t="s">
        <v>2081</v>
      </c>
      <c r="H907">
        <v>4621.6000000000004</v>
      </c>
      <c r="I907" t="s">
        <v>3982</v>
      </c>
      <c r="M907" s="14" t="s">
        <v>6035</v>
      </c>
    </row>
    <row r="908" spans="1:13" x14ac:dyDescent="0.3">
      <c r="A908" t="s">
        <v>6036</v>
      </c>
      <c r="B908" t="s">
        <v>6037</v>
      </c>
      <c r="D908" t="s">
        <v>5943</v>
      </c>
      <c r="E908" t="s">
        <v>5944</v>
      </c>
      <c r="F908" t="s">
        <v>950</v>
      </c>
      <c r="G908" t="s">
        <v>2081</v>
      </c>
      <c r="H908">
        <v>6196.65</v>
      </c>
      <c r="I908" t="s">
        <v>3982</v>
      </c>
      <c r="M908" s="14" t="s">
        <v>6038</v>
      </c>
    </row>
    <row r="909" spans="1:13" x14ac:dyDescent="0.3">
      <c r="A909" t="s">
        <v>6039</v>
      </c>
      <c r="B909" t="s">
        <v>6040</v>
      </c>
      <c r="D909" t="s">
        <v>5943</v>
      </c>
      <c r="E909" t="s">
        <v>5944</v>
      </c>
      <c r="F909" t="s">
        <v>950</v>
      </c>
      <c r="G909" t="s">
        <v>2081</v>
      </c>
      <c r="H909">
        <v>9150.5499999999993</v>
      </c>
      <c r="I909" t="s">
        <v>3982</v>
      </c>
      <c r="M909" s="14" t="s">
        <v>6041</v>
      </c>
    </row>
    <row r="910" spans="1:13" x14ac:dyDescent="0.3">
      <c r="A910" t="s">
        <v>6042</v>
      </c>
      <c r="B910" t="s">
        <v>6043</v>
      </c>
      <c r="D910" t="s">
        <v>5943</v>
      </c>
      <c r="E910" t="s">
        <v>5944</v>
      </c>
      <c r="F910" t="s">
        <v>950</v>
      </c>
      <c r="G910" t="s">
        <v>2081</v>
      </c>
      <c r="H910">
        <v>4063.52</v>
      </c>
      <c r="I910" t="s">
        <v>3982</v>
      </c>
      <c r="M910" s="14" t="s">
        <v>6044</v>
      </c>
    </row>
    <row r="911" spans="1:13" x14ac:dyDescent="0.3">
      <c r="A911" t="s">
        <v>6045</v>
      </c>
      <c r="B911" t="s">
        <v>6046</v>
      </c>
      <c r="D911" t="s">
        <v>5204</v>
      </c>
      <c r="E911" t="s">
        <v>4917</v>
      </c>
      <c r="F911" t="s">
        <v>950</v>
      </c>
      <c r="G911" t="s">
        <v>2081</v>
      </c>
      <c r="H911">
        <v>399.88</v>
      </c>
      <c r="I911" t="s">
        <v>3982</v>
      </c>
      <c r="M911" s="14" t="s">
        <v>6047</v>
      </c>
    </row>
    <row r="912" spans="1:13" x14ac:dyDescent="0.3">
      <c r="A912" t="s">
        <v>6048</v>
      </c>
      <c r="B912" t="s">
        <v>6049</v>
      </c>
      <c r="D912" t="s">
        <v>5204</v>
      </c>
      <c r="E912" t="s">
        <v>4917</v>
      </c>
      <c r="F912" t="s">
        <v>950</v>
      </c>
      <c r="G912" t="s">
        <v>2081</v>
      </c>
      <c r="H912">
        <v>652.9</v>
      </c>
      <c r="I912" t="s">
        <v>3982</v>
      </c>
      <c r="M912" s="14" t="s">
        <v>6050</v>
      </c>
    </row>
    <row r="913" spans="1:13" x14ac:dyDescent="0.3">
      <c r="A913" t="s">
        <v>6051</v>
      </c>
      <c r="B913" t="s">
        <v>6052</v>
      </c>
      <c r="D913" t="s">
        <v>5204</v>
      </c>
      <c r="E913" t="s">
        <v>4917</v>
      </c>
      <c r="F913" t="s">
        <v>950</v>
      </c>
      <c r="G913" t="s">
        <v>2081</v>
      </c>
      <c r="H913">
        <v>652.9</v>
      </c>
      <c r="I913" t="s">
        <v>3982</v>
      </c>
      <c r="M913" s="14" t="s">
        <v>6053</v>
      </c>
    </row>
    <row r="914" spans="1:13" x14ac:dyDescent="0.3">
      <c r="A914" t="s">
        <v>6054</v>
      </c>
      <c r="B914" t="s">
        <v>6055</v>
      </c>
      <c r="D914" t="s">
        <v>5204</v>
      </c>
      <c r="E914" t="s">
        <v>4917</v>
      </c>
      <c r="F914" t="s">
        <v>950</v>
      </c>
      <c r="G914" t="s">
        <v>2081</v>
      </c>
      <c r="H914">
        <v>407.81</v>
      </c>
      <c r="I914" t="s">
        <v>3982</v>
      </c>
      <c r="M914" s="14" t="s">
        <v>6056</v>
      </c>
    </row>
    <row r="915" spans="1:13" x14ac:dyDescent="0.3">
      <c r="A915" t="s">
        <v>6057</v>
      </c>
      <c r="B915" t="s">
        <v>6058</v>
      </c>
      <c r="D915" t="s">
        <v>5204</v>
      </c>
      <c r="E915" t="s">
        <v>4917</v>
      </c>
      <c r="F915" t="s">
        <v>950</v>
      </c>
      <c r="G915" t="s">
        <v>2081</v>
      </c>
      <c r="H915">
        <v>407.81</v>
      </c>
      <c r="I915" t="s">
        <v>3982</v>
      </c>
      <c r="M915" s="14" t="s">
        <v>6059</v>
      </c>
    </row>
    <row r="916" spans="1:13" x14ac:dyDescent="0.3">
      <c r="A916" t="s">
        <v>6060</v>
      </c>
      <c r="B916" t="s">
        <v>6061</v>
      </c>
      <c r="C916" t="s">
        <v>6062</v>
      </c>
      <c r="D916" t="s">
        <v>4916</v>
      </c>
      <c r="E916" t="s">
        <v>4917</v>
      </c>
      <c r="F916" t="s">
        <v>950</v>
      </c>
      <c r="G916" t="s">
        <v>2081</v>
      </c>
      <c r="H916">
        <v>43087.46</v>
      </c>
      <c r="I916" t="s">
        <v>3982</v>
      </c>
      <c r="M916" s="14" t="s">
        <v>6063</v>
      </c>
    </row>
    <row r="917" spans="1:13" x14ac:dyDescent="0.3">
      <c r="A917" t="s">
        <v>6064</v>
      </c>
      <c r="B917" t="s">
        <v>6065</v>
      </c>
      <c r="C917" t="s">
        <v>6066</v>
      </c>
      <c r="D917" t="s">
        <v>4975</v>
      </c>
      <c r="E917" t="s">
        <v>4976</v>
      </c>
      <c r="F917" t="s">
        <v>950</v>
      </c>
      <c r="G917" t="s">
        <v>2081</v>
      </c>
      <c r="H917">
        <v>1897.27</v>
      </c>
      <c r="I917" t="s">
        <v>3982</v>
      </c>
      <c r="M917" s="14" t="s">
        <v>6067</v>
      </c>
    </row>
    <row r="918" spans="1:13" x14ac:dyDescent="0.3">
      <c r="A918" t="s">
        <v>6068</v>
      </c>
      <c r="B918" t="s">
        <v>6069</v>
      </c>
      <c r="C918" t="s">
        <v>6070</v>
      </c>
      <c r="D918" t="s">
        <v>4975</v>
      </c>
      <c r="E918" t="s">
        <v>4976</v>
      </c>
      <c r="F918" t="s">
        <v>950</v>
      </c>
      <c r="G918" t="s">
        <v>2081</v>
      </c>
      <c r="H918">
        <v>3895.16</v>
      </c>
      <c r="I918" t="s">
        <v>3982</v>
      </c>
      <c r="M918" s="14" t="s">
        <v>6071</v>
      </c>
    </row>
    <row r="919" spans="1:13" x14ac:dyDescent="0.3">
      <c r="A919" t="s">
        <v>6072</v>
      </c>
      <c r="B919" t="s">
        <v>6069</v>
      </c>
      <c r="C919" t="s">
        <v>6070</v>
      </c>
      <c r="D919" t="s">
        <v>4975</v>
      </c>
      <c r="E919" t="s">
        <v>4976</v>
      </c>
      <c r="F919" t="s">
        <v>950</v>
      </c>
      <c r="G919" t="s">
        <v>2081</v>
      </c>
      <c r="H919">
        <v>3895.16</v>
      </c>
      <c r="I919" t="s">
        <v>3982</v>
      </c>
      <c r="M919" s="14" t="s">
        <v>6073</v>
      </c>
    </row>
    <row r="920" spans="1:13" x14ac:dyDescent="0.3">
      <c r="A920" t="s">
        <v>6074</v>
      </c>
      <c r="B920" t="s">
        <v>6075</v>
      </c>
      <c r="C920" t="s">
        <v>6076</v>
      </c>
      <c r="D920" t="s">
        <v>4975</v>
      </c>
      <c r="E920" t="s">
        <v>4976</v>
      </c>
      <c r="F920" t="s">
        <v>950</v>
      </c>
      <c r="G920" t="s">
        <v>2081</v>
      </c>
      <c r="H920">
        <v>5655.93</v>
      </c>
      <c r="I920" t="s">
        <v>3982</v>
      </c>
      <c r="M920" s="14" t="s">
        <v>6077</v>
      </c>
    </row>
    <row r="921" spans="1:13" x14ac:dyDescent="0.3">
      <c r="A921" t="s">
        <v>6078</v>
      </c>
      <c r="B921" t="s">
        <v>6075</v>
      </c>
      <c r="C921" t="s">
        <v>6076</v>
      </c>
      <c r="D921" t="s">
        <v>4975</v>
      </c>
      <c r="E921" t="s">
        <v>4976</v>
      </c>
      <c r="F921" t="s">
        <v>950</v>
      </c>
      <c r="G921" t="s">
        <v>2081</v>
      </c>
      <c r="H921">
        <v>5655.93</v>
      </c>
      <c r="I921" t="s">
        <v>3982</v>
      </c>
      <c r="M921" s="14" t="s">
        <v>6079</v>
      </c>
    </row>
    <row r="922" spans="1:13" x14ac:dyDescent="0.3">
      <c r="A922" t="s">
        <v>6080</v>
      </c>
      <c r="B922" t="s">
        <v>6081</v>
      </c>
      <c r="D922" t="s">
        <v>5204</v>
      </c>
      <c r="E922" t="s">
        <v>4917</v>
      </c>
      <c r="F922" t="s">
        <v>950</v>
      </c>
      <c r="G922" t="s">
        <v>2081</v>
      </c>
      <c r="H922">
        <v>234.17</v>
      </c>
      <c r="I922" t="s">
        <v>3982</v>
      </c>
      <c r="M922" s="14" t="s">
        <v>6082</v>
      </c>
    </row>
    <row r="923" spans="1:13" x14ac:dyDescent="0.3">
      <c r="A923" t="s">
        <v>6083</v>
      </c>
      <c r="B923" t="s">
        <v>6084</v>
      </c>
      <c r="D923" t="s">
        <v>5204</v>
      </c>
      <c r="E923" t="s">
        <v>4917</v>
      </c>
      <c r="F923" t="s">
        <v>950</v>
      </c>
      <c r="G923" t="s">
        <v>2081</v>
      </c>
      <c r="H923">
        <v>1582.64</v>
      </c>
      <c r="I923" t="s">
        <v>3982</v>
      </c>
      <c r="M923" s="14" t="s">
        <v>6085</v>
      </c>
    </row>
    <row r="924" spans="1:13" x14ac:dyDescent="0.3">
      <c r="A924" t="s">
        <v>6086</v>
      </c>
      <c r="B924" t="s">
        <v>6087</v>
      </c>
      <c r="D924" t="s">
        <v>5204</v>
      </c>
      <c r="E924" t="s">
        <v>4917</v>
      </c>
      <c r="F924" t="s">
        <v>950</v>
      </c>
      <c r="G924" t="s">
        <v>2081</v>
      </c>
      <c r="H924">
        <v>3165.28</v>
      </c>
      <c r="I924" t="s">
        <v>3982</v>
      </c>
      <c r="M924" s="14" t="s">
        <v>6088</v>
      </c>
    </row>
    <row r="925" spans="1:13" x14ac:dyDescent="0.3">
      <c r="A925" t="s">
        <v>6089</v>
      </c>
      <c r="B925" t="s">
        <v>6090</v>
      </c>
      <c r="D925" t="s">
        <v>5204</v>
      </c>
      <c r="E925" t="s">
        <v>4917</v>
      </c>
      <c r="F925" t="s">
        <v>950</v>
      </c>
      <c r="G925" t="s">
        <v>2081</v>
      </c>
      <c r="H925">
        <v>4747.92</v>
      </c>
      <c r="I925" t="s">
        <v>3982</v>
      </c>
      <c r="M925" s="14" t="s">
        <v>6091</v>
      </c>
    </row>
    <row r="926" spans="1:13" x14ac:dyDescent="0.3">
      <c r="A926" t="s">
        <v>6092</v>
      </c>
      <c r="B926" t="s">
        <v>6093</v>
      </c>
      <c r="C926" t="s">
        <v>6094</v>
      </c>
      <c r="D926" t="s">
        <v>4916</v>
      </c>
      <c r="E926" t="s">
        <v>4917</v>
      </c>
      <c r="F926" t="s">
        <v>950</v>
      </c>
      <c r="G926" t="s">
        <v>2077</v>
      </c>
      <c r="H926">
        <v>25251.77</v>
      </c>
      <c r="I926" t="s">
        <v>3982</v>
      </c>
      <c r="M926" s="14" t="s">
        <v>6095</v>
      </c>
    </row>
    <row r="927" spans="1:13" x14ac:dyDescent="0.3">
      <c r="A927" t="s">
        <v>6096</v>
      </c>
      <c r="B927" t="s">
        <v>6097</v>
      </c>
      <c r="C927" t="s">
        <v>6098</v>
      </c>
      <c r="D927" t="s">
        <v>4916</v>
      </c>
      <c r="E927" t="s">
        <v>4917</v>
      </c>
      <c r="F927" t="s">
        <v>950</v>
      </c>
      <c r="G927" t="s">
        <v>2077</v>
      </c>
      <c r="H927">
        <v>18230.61</v>
      </c>
      <c r="I927" t="s">
        <v>3982</v>
      </c>
      <c r="M927" s="14" t="s">
        <v>6099</v>
      </c>
    </row>
    <row r="928" spans="1:13" x14ac:dyDescent="0.3">
      <c r="A928" t="s">
        <v>6100</v>
      </c>
      <c r="B928" t="s">
        <v>6101</v>
      </c>
      <c r="C928" t="s">
        <v>6102</v>
      </c>
      <c r="D928" t="s">
        <v>4916</v>
      </c>
      <c r="E928" t="s">
        <v>4917</v>
      </c>
      <c r="F928" t="s">
        <v>950</v>
      </c>
      <c r="G928" t="s">
        <v>2077</v>
      </c>
      <c r="H928">
        <v>15745.5</v>
      </c>
      <c r="I928" t="s">
        <v>3982</v>
      </c>
      <c r="M928" s="14" t="s">
        <v>6103</v>
      </c>
    </row>
    <row r="929" spans="1:13" x14ac:dyDescent="0.3">
      <c r="A929" t="s">
        <v>6104</v>
      </c>
      <c r="B929" t="s">
        <v>6105</v>
      </c>
      <c r="C929" t="s">
        <v>6106</v>
      </c>
      <c r="D929" t="s">
        <v>4916</v>
      </c>
      <c r="E929" t="s">
        <v>4917</v>
      </c>
      <c r="F929" t="s">
        <v>950</v>
      </c>
      <c r="G929" t="s">
        <v>2077</v>
      </c>
      <c r="H929">
        <v>15745.5</v>
      </c>
      <c r="I929" t="s">
        <v>3982</v>
      </c>
      <c r="M929" s="14" t="s">
        <v>6107</v>
      </c>
    </row>
    <row r="930" spans="1:13" x14ac:dyDescent="0.3">
      <c r="A930" t="s">
        <v>6108</v>
      </c>
      <c r="B930" t="s">
        <v>6109</v>
      </c>
      <c r="C930" t="s">
        <v>6110</v>
      </c>
      <c r="D930" t="s">
        <v>4916</v>
      </c>
      <c r="E930" t="s">
        <v>4917</v>
      </c>
      <c r="F930" t="s">
        <v>950</v>
      </c>
      <c r="G930" t="s">
        <v>2077</v>
      </c>
      <c r="H930">
        <v>15745.5</v>
      </c>
      <c r="I930" t="s">
        <v>3982</v>
      </c>
      <c r="M930" s="14" t="s">
        <v>6111</v>
      </c>
    </row>
    <row r="931" spans="1:13" x14ac:dyDescent="0.3">
      <c r="A931" t="s">
        <v>6112</v>
      </c>
      <c r="B931" t="s">
        <v>6113</v>
      </c>
      <c r="C931" t="s">
        <v>6114</v>
      </c>
      <c r="D931" t="s">
        <v>4916</v>
      </c>
      <c r="E931" t="s">
        <v>4917</v>
      </c>
      <c r="F931" t="s">
        <v>950</v>
      </c>
      <c r="G931" t="s">
        <v>2077</v>
      </c>
      <c r="H931">
        <v>15162.57</v>
      </c>
      <c r="I931" t="s">
        <v>3982</v>
      </c>
      <c r="M931" s="14" t="s">
        <v>6115</v>
      </c>
    </row>
    <row r="932" spans="1:13" x14ac:dyDescent="0.3">
      <c r="A932" t="s">
        <v>6116</v>
      </c>
      <c r="B932" t="s">
        <v>6117</v>
      </c>
      <c r="C932" t="s">
        <v>6118</v>
      </c>
      <c r="D932" t="s">
        <v>4916</v>
      </c>
      <c r="E932" t="s">
        <v>4917</v>
      </c>
      <c r="F932" t="s">
        <v>950</v>
      </c>
      <c r="G932" t="s">
        <v>2077</v>
      </c>
      <c r="H932">
        <v>16300.68</v>
      </c>
      <c r="I932" t="s">
        <v>3982</v>
      </c>
      <c r="M932" s="14" t="s">
        <v>6119</v>
      </c>
    </row>
    <row r="933" spans="1:13" x14ac:dyDescent="0.3">
      <c r="A933" t="s">
        <v>6120</v>
      </c>
      <c r="B933" t="s">
        <v>6121</v>
      </c>
      <c r="C933" t="s">
        <v>6122</v>
      </c>
      <c r="D933" t="s">
        <v>4916</v>
      </c>
      <c r="E933" t="s">
        <v>4917</v>
      </c>
      <c r="F933" t="s">
        <v>950</v>
      </c>
      <c r="G933" t="s">
        <v>2077</v>
      </c>
      <c r="H933">
        <v>16300.68</v>
      </c>
      <c r="I933" t="s">
        <v>3982</v>
      </c>
      <c r="M933" s="14" t="s">
        <v>6123</v>
      </c>
    </row>
    <row r="934" spans="1:13" x14ac:dyDescent="0.3">
      <c r="A934" t="s">
        <v>6124</v>
      </c>
      <c r="B934" t="s">
        <v>6125</v>
      </c>
      <c r="C934" t="s">
        <v>6126</v>
      </c>
      <c r="D934" t="s">
        <v>4916</v>
      </c>
      <c r="E934" t="s">
        <v>4917</v>
      </c>
      <c r="F934" t="s">
        <v>950</v>
      </c>
      <c r="G934" t="s">
        <v>2077</v>
      </c>
      <c r="H934">
        <v>15137.61</v>
      </c>
      <c r="I934" t="s">
        <v>3982</v>
      </c>
      <c r="M934" s="14" t="s">
        <v>6127</v>
      </c>
    </row>
    <row r="935" spans="1:13" x14ac:dyDescent="0.3">
      <c r="A935" t="s">
        <v>6128</v>
      </c>
      <c r="B935" t="s">
        <v>6129</v>
      </c>
      <c r="C935" t="s">
        <v>6130</v>
      </c>
      <c r="D935" t="s">
        <v>4916</v>
      </c>
      <c r="E935" t="s">
        <v>4917</v>
      </c>
      <c r="F935" t="s">
        <v>950</v>
      </c>
      <c r="G935" t="s">
        <v>2077</v>
      </c>
      <c r="H935">
        <v>15137.61</v>
      </c>
      <c r="I935" t="s">
        <v>3982</v>
      </c>
      <c r="M935" s="14" t="s">
        <v>6131</v>
      </c>
    </row>
    <row r="936" spans="1:13" x14ac:dyDescent="0.3">
      <c r="A936" t="s">
        <v>6132</v>
      </c>
      <c r="B936" t="s">
        <v>6133</v>
      </c>
      <c r="C936" t="s">
        <v>6134</v>
      </c>
      <c r="D936" t="s">
        <v>4916</v>
      </c>
      <c r="E936" t="s">
        <v>4917</v>
      </c>
      <c r="F936" t="s">
        <v>950</v>
      </c>
      <c r="G936" t="s">
        <v>2077</v>
      </c>
      <c r="H936">
        <v>16152.91</v>
      </c>
      <c r="I936" t="s">
        <v>3982</v>
      </c>
      <c r="M936" s="14" t="s">
        <v>6135</v>
      </c>
    </row>
    <row r="937" spans="1:13" x14ac:dyDescent="0.3">
      <c r="A937" t="s">
        <v>6136</v>
      </c>
      <c r="B937" t="s">
        <v>6137</v>
      </c>
      <c r="C937" t="s">
        <v>6138</v>
      </c>
      <c r="D937" t="s">
        <v>4916</v>
      </c>
      <c r="E937" t="s">
        <v>4917</v>
      </c>
      <c r="F937" t="s">
        <v>950</v>
      </c>
      <c r="G937" t="s">
        <v>2077</v>
      </c>
      <c r="H937">
        <v>16152.91</v>
      </c>
      <c r="I937" t="s">
        <v>3982</v>
      </c>
      <c r="M937" s="14" t="s">
        <v>6139</v>
      </c>
    </row>
    <row r="938" spans="1:13" x14ac:dyDescent="0.3">
      <c r="A938" t="s">
        <v>6140</v>
      </c>
      <c r="B938" t="s">
        <v>6141</v>
      </c>
      <c r="C938" t="s">
        <v>6142</v>
      </c>
      <c r="D938" t="s">
        <v>4916</v>
      </c>
      <c r="E938" t="s">
        <v>4917</v>
      </c>
      <c r="F938" t="s">
        <v>950</v>
      </c>
      <c r="G938" t="s">
        <v>2077</v>
      </c>
      <c r="H938">
        <v>13875.62</v>
      </c>
      <c r="I938" t="s">
        <v>3982</v>
      </c>
      <c r="M938" s="14" t="s">
        <v>6143</v>
      </c>
    </row>
    <row r="939" spans="1:13" x14ac:dyDescent="0.3">
      <c r="A939" t="s">
        <v>6144</v>
      </c>
      <c r="B939" t="s">
        <v>6145</v>
      </c>
      <c r="C939" t="s">
        <v>6146</v>
      </c>
      <c r="D939" t="s">
        <v>4916</v>
      </c>
      <c r="E939" t="s">
        <v>4917</v>
      </c>
      <c r="F939" t="s">
        <v>950</v>
      </c>
      <c r="G939" t="s">
        <v>2077</v>
      </c>
      <c r="H939">
        <v>13875.62</v>
      </c>
      <c r="I939" t="s">
        <v>3982</v>
      </c>
      <c r="M939" s="14" t="s">
        <v>6147</v>
      </c>
    </row>
    <row r="940" spans="1:13" x14ac:dyDescent="0.3">
      <c r="A940" t="s">
        <v>6148</v>
      </c>
      <c r="B940" t="s">
        <v>6149</v>
      </c>
      <c r="C940" t="s">
        <v>6150</v>
      </c>
      <c r="D940" t="s">
        <v>4916</v>
      </c>
      <c r="E940" t="s">
        <v>4917</v>
      </c>
      <c r="F940" t="s">
        <v>950</v>
      </c>
      <c r="G940" t="s">
        <v>2077</v>
      </c>
      <c r="H940">
        <v>15162.57</v>
      </c>
      <c r="I940" t="s">
        <v>3982</v>
      </c>
      <c r="M940" s="14" t="s">
        <v>6151</v>
      </c>
    </row>
    <row r="941" spans="1:13" x14ac:dyDescent="0.3">
      <c r="A941" t="s">
        <v>6152</v>
      </c>
      <c r="B941" t="s">
        <v>6153</v>
      </c>
      <c r="C941" t="s">
        <v>6154</v>
      </c>
      <c r="D941" t="s">
        <v>4916</v>
      </c>
      <c r="E941" t="s">
        <v>4917</v>
      </c>
      <c r="F941" t="s">
        <v>950</v>
      </c>
      <c r="G941" t="s">
        <v>2077</v>
      </c>
      <c r="H941">
        <v>15162.57</v>
      </c>
      <c r="I941" t="s">
        <v>3982</v>
      </c>
      <c r="M941" s="14" t="s">
        <v>6155</v>
      </c>
    </row>
    <row r="942" spans="1:13" x14ac:dyDescent="0.3">
      <c r="A942" t="s">
        <v>6156</v>
      </c>
      <c r="B942" t="s">
        <v>6157</v>
      </c>
      <c r="C942" t="s">
        <v>6158</v>
      </c>
      <c r="D942" t="s">
        <v>4916</v>
      </c>
      <c r="E942" t="s">
        <v>4917</v>
      </c>
      <c r="F942" t="s">
        <v>950</v>
      </c>
      <c r="G942" t="s">
        <v>2077</v>
      </c>
      <c r="H942">
        <v>17813.86</v>
      </c>
      <c r="I942" t="s">
        <v>3982</v>
      </c>
      <c r="M942" s="14" t="s">
        <v>6159</v>
      </c>
    </row>
    <row r="943" spans="1:13" x14ac:dyDescent="0.3">
      <c r="A943" t="s">
        <v>6160</v>
      </c>
      <c r="B943" t="s">
        <v>6161</v>
      </c>
      <c r="C943" t="s">
        <v>6162</v>
      </c>
      <c r="D943" t="s">
        <v>4916</v>
      </c>
      <c r="E943" t="s">
        <v>4917</v>
      </c>
      <c r="F943" t="s">
        <v>950</v>
      </c>
      <c r="G943" t="s">
        <v>2077</v>
      </c>
      <c r="H943">
        <v>17813.86</v>
      </c>
      <c r="I943" t="s">
        <v>3982</v>
      </c>
      <c r="M943" s="14" t="s">
        <v>6163</v>
      </c>
    </row>
    <row r="944" spans="1:13" x14ac:dyDescent="0.3">
      <c r="A944" t="s">
        <v>6164</v>
      </c>
      <c r="B944" t="s">
        <v>6165</v>
      </c>
      <c r="C944" t="s">
        <v>6166</v>
      </c>
      <c r="D944" t="s">
        <v>4916</v>
      </c>
      <c r="E944" t="s">
        <v>4917</v>
      </c>
      <c r="F944" t="s">
        <v>950</v>
      </c>
      <c r="G944" t="s">
        <v>2077</v>
      </c>
      <c r="H944">
        <v>15162.57</v>
      </c>
      <c r="I944" t="s">
        <v>3982</v>
      </c>
      <c r="M944" s="14" t="s">
        <v>6167</v>
      </c>
    </row>
    <row r="945" spans="1:13" x14ac:dyDescent="0.3">
      <c r="A945" t="s">
        <v>6168</v>
      </c>
      <c r="B945" t="s">
        <v>6169</v>
      </c>
      <c r="C945" t="s">
        <v>6170</v>
      </c>
      <c r="D945" t="s">
        <v>4916</v>
      </c>
      <c r="E945" t="s">
        <v>4917</v>
      </c>
      <c r="F945" t="s">
        <v>950</v>
      </c>
      <c r="G945" t="s">
        <v>2077</v>
      </c>
      <c r="H945">
        <v>15162.57</v>
      </c>
      <c r="I945" t="s">
        <v>3982</v>
      </c>
      <c r="M945" s="14" t="s">
        <v>6171</v>
      </c>
    </row>
    <row r="946" spans="1:13" x14ac:dyDescent="0.3">
      <c r="A946" t="s">
        <v>6172</v>
      </c>
      <c r="B946" t="s">
        <v>6173</v>
      </c>
      <c r="C946" t="s">
        <v>6174</v>
      </c>
      <c r="D946" t="s">
        <v>4916</v>
      </c>
      <c r="E946" t="s">
        <v>4917</v>
      </c>
      <c r="F946" t="s">
        <v>950</v>
      </c>
      <c r="G946" t="s">
        <v>2077</v>
      </c>
      <c r="H946">
        <v>14525.55</v>
      </c>
      <c r="I946" t="s">
        <v>3982</v>
      </c>
      <c r="M946" s="14" t="s">
        <v>6175</v>
      </c>
    </row>
    <row r="947" spans="1:13" x14ac:dyDescent="0.3">
      <c r="A947" t="s">
        <v>6176</v>
      </c>
      <c r="B947" t="s">
        <v>6177</v>
      </c>
      <c r="C947" t="s">
        <v>6178</v>
      </c>
      <c r="D947" t="s">
        <v>4916</v>
      </c>
      <c r="E947" t="s">
        <v>4917</v>
      </c>
      <c r="F947" t="s">
        <v>950</v>
      </c>
      <c r="G947" t="s">
        <v>2077</v>
      </c>
      <c r="H947">
        <v>11457.51</v>
      </c>
      <c r="I947" t="s">
        <v>3982</v>
      </c>
      <c r="M947" s="14" t="s">
        <v>6179</v>
      </c>
    </row>
    <row r="948" spans="1:13" x14ac:dyDescent="0.3">
      <c r="A948" t="s">
        <v>6180</v>
      </c>
      <c r="B948" t="s">
        <v>6177</v>
      </c>
      <c r="C948" t="s">
        <v>6178</v>
      </c>
      <c r="D948" t="s">
        <v>4916</v>
      </c>
      <c r="E948" t="s">
        <v>4917</v>
      </c>
      <c r="F948" t="s">
        <v>950</v>
      </c>
      <c r="G948" t="s">
        <v>2077</v>
      </c>
      <c r="H948">
        <v>11457.51</v>
      </c>
      <c r="I948" t="s">
        <v>3982</v>
      </c>
      <c r="M948" s="14" t="s">
        <v>6181</v>
      </c>
    </row>
    <row r="949" spans="1:13" x14ac:dyDescent="0.3">
      <c r="A949" t="s">
        <v>6182</v>
      </c>
      <c r="B949" t="s">
        <v>6183</v>
      </c>
      <c r="C949" t="s">
        <v>6184</v>
      </c>
      <c r="D949" t="s">
        <v>4916</v>
      </c>
      <c r="E949" t="s">
        <v>4917</v>
      </c>
      <c r="F949" t="s">
        <v>950</v>
      </c>
      <c r="G949" t="s">
        <v>2077</v>
      </c>
      <c r="H949">
        <v>11457.51</v>
      </c>
      <c r="I949" t="s">
        <v>3982</v>
      </c>
      <c r="M949" s="14" t="s">
        <v>6185</v>
      </c>
    </row>
    <row r="950" spans="1:13" x14ac:dyDescent="0.3">
      <c r="A950" t="s">
        <v>6186</v>
      </c>
      <c r="B950" t="s">
        <v>6187</v>
      </c>
      <c r="C950" t="s">
        <v>6188</v>
      </c>
      <c r="D950" t="s">
        <v>4916</v>
      </c>
      <c r="E950" t="s">
        <v>4917</v>
      </c>
      <c r="F950" t="s">
        <v>950</v>
      </c>
      <c r="G950" t="s">
        <v>2077</v>
      </c>
      <c r="H950">
        <v>11457.51</v>
      </c>
      <c r="I950" t="s">
        <v>3982</v>
      </c>
      <c r="M950" s="14" t="s">
        <v>6189</v>
      </c>
    </row>
    <row r="951" spans="1:13" x14ac:dyDescent="0.3">
      <c r="A951" t="s">
        <v>6190</v>
      </c>
      <c r="B951" t="s">
        <v>6191</v>
      </c>
      <c r="C951" t="s">
        <v>6192</v>
      </c>
      <c r="D951" t="s">
        <v>4916</v>
      </c>
      <c r="E951" t="s">
        <v>4917</v>
      </c>
      <c r="F951" t="s">
        <v>950</v>
      </c>
      <c r="G951" t="s">
        <v>2077</v>
      </c>
      <c r="H951">
        <v>11457.51</v>
      </c>
      <c r="I951" t="s">
        <v>3982</v>
      </c>
      <c r="M951" s="14" t="s">
        <v>6193</v>
      </c>
    </row>
    <row r="952" spans="1:13" x14ac:dyDescent="0.3">
      <c r="A952" t="s">
        <v>6194</v>
      </c>
      <c r="B952" t="s">
        <v>6195</v>
      </c>
      <c r="C952" t="s">
        <v>6196</v>
      </c>
      <c r="D952" t="s">
        <v>4916</v>
      </c>
      <c r="E952" t="s">
        <v>4917</v>
      </c>
      <c r="F952" t="s">
        <v>950</v>
      </c>
      <c r="G952" t="s">
        <v>2077</v>
      </c>
      <c r="H952">
        <v>11457.51</v>
      </c>
      <c r="I952" t="s">
        <v>3982</v>
      </c>
      <c r="M952" s="14" t="s">
        <v>6197</v>
      </c>
    </row>
    <row r="953" spans="1:13" x14ac:dyDescent="0.3">
      <c r="A953" t="s">
        <v>6198</v>
      </c>
      <c r="B953" t="s">
        <v>6199</v>
      </c>
      <c r="C953" t="s">
        <v>6200</v>
      </c>
      <c r="D953" t="s">
        <v>4916</v>
      </c>
      <c r="E953" t="s">
        <v>4917</v>
      </c>
      <c r="F953" t="s">
        <v>950</v>
      </c>
      <c r="G953" t="s">
        <v>2077</v>
      </c>
      <c r="H953">
        <v>11457.51</v>
      </c>
      <c r="I953" t="s">
        <v>3982</v>
      </c>
      <c r="M953" s="14" t="s">
        <v>6201</v>
      </c>
    </row>
    <row r="954" spans="1:13" x14ac:dyDescent="0.3">
      <c r="A954" t="s">
        <v>6202</v>
      </c>
      <c r="B954" t="s">
        <v>6203</v>
      </c>
      <c r="C954" t="s">
        <v>6204</v>
      </c>
      <c r="D954" t="s">
        <v>4916</v>
      </c>
      <c r="E954" t="s">
        <v>4917</v>
      </c>
      <c r="F954" t="s">
        <v>950</v>
      </c>
      <c r="G954" t="s">
        <v>2077</v>
      </c>
      <c r="H954">
        <v>11457.51</v>
      </c>
      <c r="I954" t="s">
        <v>3982</v>
      </c>
      <c r="M954" s="14" t="s">
        <v>6205</v>
      </c>
    </row>
    <row r="955" spans="1:13" x14ac:dyDescent="0.3">
      <c r="A955" t="s">
        <v>6206</v>
      </c>
      <c r="B955" t="s">
        <v>6207</v>
      </c>
      <c r="C955" t="s">
        <v>6208</v>
      </c>
      <c r="D955" t="s">
        <v>4916</v>
      </c>
      <c r="E955" t="s">
        <v>4917</v>
      </c>
      <c r="F955" t="s">
        <v>950</v>
      </c>
      <c r="G955" t="s">
        <v>2077</v>
      </c>
      <c r="H955">
        <v>11567.65</v>
      </c>
      <c r="I955" t="s">
        <v>3982</v>
      </c>
      <c r="M955" s="14" t="s">
        <v>6209</v>
      </c>
    </row>
    <row r="956" spans="1:13" x14ac:dyDescent="0.3">
      <c r="A956" t="s">
        <v>6210</v>
      </c>
      <c r="B956" t="s">
        <v>6211</v>
      </c>
      <c r="C956" t="s">
        <v>6212</v>
      </c>
      <c r="D956" t="s">
        <v>4916</v>
      </c>
      <c r="E956" t="s">
        <v>4917</v>
      </c>
      <c r="F956" t="s">
        <v>950</v>
      </c>
      <c r="G956" t="s">
        <v>2077</v>
      </c>
      <c r="H956">
        <v>11567.65</v>
      </c>
      <c r="I956" t="s">
        <v>3982</v>
      </c>
      <c r="M956" s="14" t="s">
        <v>6213</v>
      </c>
    </row>
    <row r="957" spans="1:13" x14ac:dyDescent="0.3">
      <c r="A957" t="s">
        <v>6214</v>
      </c>
      <c r="B957" t="s">
        <v>6215</v>
      </c>
      <c r="C957" t="s">
        <v>6216</v>
      </c>
      <c r="D957" t="s">
        <v>4916</v>
      </c>
      <c r="E957" t="s">
        <v>4917</v>
      </c>
      <c r="F957" t="s">
        <v>950</v>
      </c>
      <c r="G957" t="s">
        <v>2077</v>
      </c>
      <c r="H957">
        <v>10699.43</v>
      </c>
      <c r="I957" t="s">
        <v>3982</v>
      </c>
      <c r="M957" s="14" t="s">
        <v>6217</v>
      </c>
    </row>
    <row r="958" spans="1:13" x14ac:dyDescent="0.3">
      <c r="A958" t="s">
        <v>6218</v>
      </c>
      <c r="B958" t="s">
        <v>6219</v>
      </c>
      <c r="C958" t="s">
        <v>6220</v>
      </c>
      <c r="D958" t="s">
        <v>4916</v>
      </c>
      <c r="E958" t="s">
        <v>4917</v>
      </c>
      <c r="F958" t="s">
        <v>950</v>
      </c>
      <c r="G958" t="s">
        <v>2077</v>
      </c>
      <c r="H958">
        <v>10699.43</v>
      </c>
      <c r="I958" t="s">
        <v>3982</v>
      </c>
      <c r="M958" s="14" t="s">
        <v>6221</v>
      </c>
    </row>
    <row r="959" spans="1:13" x14ac:dyDescent="0.3">
      <c r="A959" t="s">
        <v>6222</v>
      </c>
      <c r="B959" t="s">
        <v>6223</v>
      </c>
      <c r="C959" t="s">
        <v>6224</v>
      </c>
      <c r="D959" t="s">
        <v>4916</v>
      </c>
      <c r="E959" t="s">
        <v>4917</v>
      </c>
      <c r="F959" t="s">
        <v>950</v>
      </c>
      <c r="G959" t="s">
        <v>2077</v>
      </c>
      <c r="H959">
        <v>10699.43</v>
      </c>
      <c r="I959" t="s">
        <v>3982</v>
      </c>
      <c r="M959" s="14" t="s">
        <v>6225</v>
      </c>
    </row>
    <row r="960" spans="1:13" x14ac:dyDescent="0.3">
      <c r="A960" t="s">
        <v>6226</v>
      </c>
      <c r="B960" t="s">
        <v>6227</v>
      </c>
      <c r="C960" t="s">
        <v>6228</v>
      </c>
      <c r="D960" t="s">
        <v>4916</v>
      </c>
      <c r="E960" t="s">
        <v>4917</v>
      </c>
      <c r="F960" t="s">
        <v>950</v>
      </c>
      <c r="G960" t="s">
        <v>2077</v>
      </c>
      <c r="H960">
        <v>10699.43</v>
      </c>
      <c r="I960" t="s">
        <v>3982</v>
      </c>
      <c r="M960" s="14" t="s">
        <v>6229</v>
      </c>
    </row>
    <row r="961" spans="1:13" x14ac:dyDescent="0.3">
      <c r="A961" t="s">
        <v>6230</v>
      </c>
      <c r="B961" t="s">
        <v>6231</v>
      </c>
      <c r="C961" t="s">
        <v>6232</v>
      </c>
      <c r="D961" t="s">
        <v>4916</v>
      </c>
      <c r="E961" t="s">
        <v>4917</v>
      </c>
      <c r="F961" t="s">
        <v>950</v>
      </c>
      <c r="G961" t="s">
        <v>2077</v>
      </c>
      <c r="H961">
        <v>10699.43</v>
      </c>
      <c r="I961" t="s">
        <v>3982</v>
      </c>
      <c r="M961" s="14" t="s">
        <v>6233</v>
      </c>
    </row>
    <row r="962" spans="1:13" x14ac:dyDescent="0.3">
      <c r="A962" t="s">
        <v>6234</v>
      </c>
      <c r="B962" t="s">
        <v>6235</v>
      </c>
      <c r="C962" t="s">
        <v>6236</v>
      </c>
      <c r="D962" t="s">
        <v>4916</v>
      </c>
      <c r="E962" t="s">
        <v>4917</v>
      </c>
      <c r="F962" t="s">
        <v>950</v>
      </c>
      <c r="G962" t="s">
        <v>2077</v>
      </c>
      <c r="H962">
        <v>10699.43</v>
      </c>
      <c r="I962" t="s">
        <v>3982</v>
      </c>
      <c r="M962" s="14" t="s">
        <v>6237</v>
      </c>
    </row>
    <row r="963" spans="1:13" x14ac:dyDescent="0.3">
      <c r="A963" t="s">
        <v>6238</v>
      </c>
      <c r="B963" t="s">
        <v>6239</v>
      </c>
      <c r="C963" t="s">
        <v>6240</v>
      </c>
      <c r="D963" t="s">
        <v>4916</v>
      </c>
      <c r="E963" t="s">
        <v>4917</v>
      </c>
      <c r="F963" t="s">
        <v>950</v>
      </c>
      <c r="G963" t="s">
        <v>2077</v>
      </c>
      <c r="H963">
        <v>42705.45</v>
      </c>
      <c r="I963" t="s">
        <v>3982</v>
      </c>
      <c r="M963" s="14" t="s">
        <v>6241</v>
      </c>
    </row>
    <row r="964" spans="1:13" x14ac:dyDescent="0.3">
      <c r="A964" t="s">
        <v>6242</v>
      </c>
      <c r="B964" t="s">
        <v>6243</v>
      </c>
      <c r="C964" t="s">
        <v>6244</v>
      </c>
      <c r="D964" t="s">
        <v>4916</v>
      </c>
      <c r="E964" t="s">
        <v>4917</v>
      </c>
      <c r="F964" t="s">
        <v>950</v>
      </c>
      <c r="G964" t="s">
        <v>2077</v>
      </c>
      <c r="H964">
        <v>42705.45</v>
      </c>
      <c r="I964" t="s">
        <v>3982</v>
      </c>
      <c r="M964" s="14" t="s">
        <v>6245</v>
      </c>
    </row>
    <row r="965" spans="1:13" x14ac:dyDescent="0.3">
      <c r="A965" t="s">
        <v>6246</v>
      </c>
      <c r="B965" t="s">
        <v>6247</v>
      </c>
      <c r="C965" t="s">
        <v>6248</v>
      </c>
      <c r="D965" t="s">
        <v>5204</v>
      </c>
      <c r="E965" t="s">
        <v>4917</v>
      </c>
      <c r="F965" t="s">
        <v>950</v>
      </c>
      <c r="G965" t="s">
        <v>2077</v>
      </c>
      <c r="H965">
        <v>8158.28</v>
      </c>
      <c r="I965" t="s">
        <v>3982</v>
      </c>
      <c r="M965" s="14" t="s">
        <v>6249</v>
      </c>
    </row>
    <row r="966" spans="1:13" x14ac:dyDescent="0.3">
      <c r="A966" t="s">
        <v>6250</v>
      </c>
      <c r="B966" t="s">
        <v>2344</v>
      </c>
      <c r="C966" t="s">
        <v>6251</v>
      </c>
      <c r="D966" t="s">
        <v>5204</v>
      </c>
      <c r="E966" t="s">
        <v>4917</v>
      </c>
      <c r="F966" t="s">
        <v>950</v>
      </c>
      <c r="G966" t="s">
        <v>2077</v>
      </c>
      <c r="H966">
        <v>10562.5</v>
      </c>
      <c r="I966" t="s">
        <v>3982</v>
      </c>
      <c r="M966" s="14" t="s">
        <v>6252</v>
      </c>
    </row>
    <row r="967" spans="1:13" x14ac:dyDescent="0.3">
      <c r="A967" t="s">
        <v>6253</v>
      </c>
      <c r="B967" t="s">
        <v>6254</v>
      </c>
      <c r="C967" t="s">
        <v>6255</v>
      </c>
      <c r="D967" t="s">
        <v>4916</v>
      </c>
      <c r="E967" t="s">
        <v>4917</v>
      </c>
      <c r="F967" t="s">
        <v>950</v>
      </c>
      <c r="G967" t="s">
        <v>2077</v>
      </c>
      <c r="H967">
        <v>18255.18</v>
      </c>
      <c r="I967" t="s">
        <v>3982</v>
      </c>
      <c r="M967" s="14" t="s">
        <v>6256</v>
      </c>
    </row>
    <row r="968" spans="1:13" x14ac:dyDescent="0.3">
      <c r="A968" t="s">
        <v>6257</v>
      </c>
      <c r="B968" t="s">
        <v>6258</v>
      </c>
      <c r="C968" t="s">
        <v>6259</v>
      </c>
      <c r="D968" t="s">
        <v>4916</v>
      </c>
      <c r="E968" t="s">
        <v>4917</v>
      </c>
      <c r="F968" t="s">
        <v>950</v>
      </c>
      <c r="G968" t="s">
        <v>2077</v>
      </c>
      <c r="H968">
        <v>18255.18</v>
      </c>
      <c r="I968" t="s">
        <v>3982</v>
      </c>
      <c r="M968" s="14" t="s">
        <v>6260</v>
      </c>
    </row>
    <row r="969" spans="1:13" x14ac:dyDescent="0.3">
      <c r="A969" t="s">
        <v>6261</v>
      </c>
      <c r="B969" t="s">
        <v>6262</v>
      </c>
      <c r="C969" t="s">
        <v>6263</v>
      </c>
      <c r="D969" t="s">
        <v>4916</v>
      </c>
      <c r="E969" t="s">
        <v>4917</v>
      </c>
      <c r="F969" t="s">
        <v>950</v>
      </c>
      <c r="G969" t="s">
        <v>2077</v>
      </c>
      <c r="H969">
        <v>18255.18</v>
      </c>
      <c r="I969" t="s">
        <v>3982</v>
      </c>
      <c r="M969" s="14" t="s">
        <v>6264</v>
      </c>
    </row>
    <row r="970" spans="1:13" x14ac:dyDescent="0.3">
      <c r="A970" t="s">
        <v>6265</v>
      </c>
      <c r="B970" t="s">
        <v>6266</v>
      </c>
      <c r="C970" t="s">
        <v>6267</v>
      </c>
      <c r="D970" t="s">
        <v>4916</v>
      </c>
      <c r="E970" t="s">
        <v>4917</v>
      </c>
      <c r="F970" t="s">
        <v>950</v>
      </c>
      <c r="G970" t="s">
        <v>2077</v>
      </c>
      <c r="H970">
        <v>27093.39</v>
      </c>
      <c r="I970" t="s">
        <v>3982</v>
      </c>
      <c r="M970" s="14" t="s">
        <v>6268</v>
      </c>
    </row>
    <row r="971" spans="1:13" x14ac:dyDescent="0.3">
      <c r="A971" t="s">
        <v>6269</v>
      </c>
      <c r="B971" t="s">
        <v>6270</v>
      </c>
      <c r="C971" t="s">
        <v>6271</v>
      </c>
      <c r="D971" t="s">
        <v>4916</v>
      </c>
      <c r="E971" t="s">
        <v>4917</v>
      </c>
      <c r="F971" t="s">
        <v>950</v>
      </c>
      <c r="G971" t="s">
        <v>2077</v>
      </c>
      <c r="H971">
        <v>27093.39</v>
      </c>
      <c r="I971" t="s">
        <v>3982</v>
      </c>
      <c r="M971" s="14" t="s">
        <v>6272</v>
      </c>
    </row>
    <row r="972" spans="1:13" x14ac:dyDescent="0.3">
      <c r="A972" t="s">
        <v>6273</v>
      </c>
      <c r="B972" t="s">
        <v>6274</v>
      </c>
      <c r="C972" t="s">
        <v>6275</v>
      </c>
      <c r="D972" t="s">
        <v>4916</v>
      </c>
      <c r="E972" t="s">
        <v>4917</v>
      </c>
      <c r="F972" t="s">
        <v>950</v>
      </c>
      <c r="G972" t="s">
        <v>2077</v>
      </c>
      <c r="H972">
        <v>18255.18</v>
      </c>
      <c r="I972" t="s">
        <v>3982</v>
      </c>
      <c r="M972" s="14" t="s">
        <v>6276</v>
      </c>
    </row>
    <row r="973" spans="1:13" x14ac:dyDescent="0.3">
      <c r="A973" t="s">
        <v>6277</v>
      </c>
      <c r="B973" t="s">
        <v>6278</v>
      </c>
      <c r="C973" t="s">
        <v>6279</v>
      </c>
      <c r="D973" t="s">
        <v>4916</v>
      </c>
      <c r="E973" t="s">
        <v>4917</v>
      </c>
      <c r="F973" t="s">
        <v>950</v>
      </c>
      <c r="G973" t="s">
        <v>2077</v>
      </c>
      <c r="H973">
        <v>18255.18</v>
      </c>
      <c r="I973" t="s">
        <v>3982</v>
      </c>
      <c r="M973" s="14" t="s">
        <v>6280</v>
      </c>
    </row>
    <row r="974" spans="1:13" x14ac:dyDescent="0.3">
      <c r="A974" t="s">
        <v>6281</v>
      </c>
      <c r="B974" t="s">
        <v>6282</v>
      </c>
      <c r="C974" t="s">
        <v>6283</v>
      </c>
      <c r="D974" t="s">
        <v>4916</v>
      </c>
      <c r="E974" t="s">
        <v>4917</v>
      </c>
      <c r="F974" t="s">
        <v>950</v>
      </c>
      <c r="G974" t="s">
        <v>2077</v>
      </c>
      <c r="H974">
        <v>20339.14</v>
      </c>
      <c r="I974" t="s">
        <v>3982</v>
      </c>
      <c r="M974" s="14" t="s">
        <v>6284</v>
      </c>
    </row>
    <row r="975" spans="1:13" x14ac:dyDescent="0.3">
      <c r="A975" t="s">
        <v>6285</v>
      </c>
      <c r="B975" t="s">
        <v>6286</v>
      </c>
      <c r="C975" t="s">
        <v>6287</v>
      </c>
      <c r="D975" t="s">
        <v>4916</v>
      </c>
      <c r="E975" t="s">
        <v>4917</v>
      </c>
      <c r="F975" t="s">
        <v>950</v>
      </c>
      <c r="G975" t="s">
        <v>2077</v>
      </c>
      <c r="H975">
        <v>20339.14</v>
      </c>
      <c r="I975" t="s">
        <v>3982</v>
      </c>
      <c r="M975" s="14" t="s">
        <v>6288</v>
      </c>
    </row>
    <row r="976" spans="1:13" x14ac:dyDescent="0.3">
      <c r="A976" t="s">
        <v>6289</v>
      </c>
      <c r="B976" t="s">
        <v>6290</v>
      </c>
      <c r="C976" t="s">
        <v>6291</v>
      </c>
      <c r="D976" t="s">
        <v>4916</v>
      </c>
      <c r="E976" t="s">
        <v>4917</v>
      </c>
      <c r="F976" t="s">
        <v>950</v>
      </c>
      <c r="G976" t="s">
        <v>2077</v>
      </c>
      <c r="H976">
        <v>18003.38</v>
      </c>
      <c r="I976" t="s">
        <v>3982</v>
      </c>
      <c r="M976" s="14" t="s">
        <v>6292</v>
      </c>
    </row>
    <row r="977" spans="1:13" x14ac:dyDescent="0.3">
      <c r="A977" t="s">
        <v>6293</v>
      </c>
      <c r="B977" t="s">
        <v>6294</v>
      </c>
      <c r="C977" t="s">
        <v>6295</v>
      </c>
      <c r="D977" t="s">
        <v>4916</v>
      </c>
      <c r="E977" t="s">
        <v>4917</v>
      </c>
      <c r="F977" t="s">
        <v>950</v>
      </c>
      <c r="G977" t="s">
        <v>2077</v>
      </c>
      <c r="H977">
        <v>18306.650000000001</v>
      </c>
      <c r="I977" t="s">
        <v>3982</v>
      </c>
      <c r="M977" s="14" t="s">
        <v>6296</v>
      </c>
    </row>
    <row r="978" spans="1:13" x14ac:dyDescent="0.3">
      <c r="A978" t="s">
        <v>6297</v>
      </c>
      <c r="B978" t="s">
        <v>6298</v>
      </c>
      <c r="C978" t="s">
        <v>6299</v>
      </c>
      <c r="D978" t="s">
        <v>4916</v>
      </c>
      <c r="E978" t="s">
        <v>4917</v>
      </c>
      <c r="F978" t="s">
        <v>950</v>
      </c>
      <c r="G978" t="s">
        <v>2077</v>
      </c>
      <c r="H978">
        <v>21632.04</v>
      </c>
      <c r="I978" t="s">
        <v>3982</v>
      </c>
      <c r="M978" s="14" t="s">
        <v>6300</v>
      </c>
    </row>
    <row r="979" spans="1:13" x14ac:dyDescent="0.3">
      <c r="A979" t="s">
        <v>6301</v>
      </c>
      <c r="B979" t="s">
        <v>6302</v>
      </c>
      <c r="C979" t="s">
        <v>6303</v>
      </c>
      <c r="D979" t="s">
        <v>4916</v>
      </c>
      <c r="E979" t="s">
        <v>4917</v>
      </c>
      <c r="F979" t="s">
        <v>950</v>
      </c>
      <c r="G979" t="s">
        <v>2077</v>
      </c>
      <c r="H979">
        <v>21632.04</v>
      </c>
      <c r="I979" t="s">
        <v>3982</v>
      </c>
      <c r="M979" s="14" t="s">
        <v>6304</v>
      </c>
    </row>
    <row r="980" spans="1:13" x14ac:dyDescent="0.3">
      <c r="A980" t="s">
        <v>6305</v>
      </c>
      <c r="B980" t="s">
        <v>6306</v>
      </c>
      <c r="C980" t="s">
        <v>6307</v>
      </c>
      <c r="D980" t="s">
        <v>4916</v>
      </c>
      <c r="E980" t="s">
        <v>4917</v>
      </c>
      <c r="F980" t="s">
        <v>950</v>
      </c>
      <c r="G980" t="s">
        <v>2077</v>
      </c>
      <c r="H980">
        <v>20398.68</v>
      </c>
      <c r="I980" t="s">
        <v>3982</v>
      </c>
      <c r="M980" s="14" t="s">
        <v>6308</v>
      </c>
    </row>
    <row r="981" spans="1:13" x14ac:dyDescent="0.3">
      <c r="A981" t="s">
        <v>6309</v>
      </c>
      <c r="B981" t="s">
        <v>6310</v>
      </c>
      <c r="C981" t="s">
        <v>6311</v>
      </c>
      <c r="D981" t="s">
        <v>4916</v>
      </c>
      <c r="E981" t="s">
        <v>4917</v>
      </c>
      <c r="F981" t="s">
        <v>950</v>
      </c>
      <c r="G981" t="s">
        <v>2077</v>
      </c>
      <c r="H981">
        <v>20044.439999999999</v>
      </c>
      <c r="I981" t="s">
        <v>3982</v>
      </c>
      <c r="M981" s="14" t="s">
        <v>6312</v>
      </c>
    </row>
    <row r="982" spans="1:13" x14ac:dyDescent="0.3">
      <c r="A982" t="s">
        <v>6313</v>
      </c>
      <c r="B982" t="s">
        <v>6314</v>
      </c>
      <c r="C982" t="s">
        <v>6315</v>
      </c>
      <c r="D982" t="s">
        <v>4916</v>
      </c>
      <c r="E982" t="s">
        <v>4917</v>
      </c>
      <c r="F982" t="s">
        <v>950</v>
      </c>
      <c r="G982" t="s">
        <v>2077</v>
      </c>
      <c r="H982">
        <v>20044.439999999999</v>
      </c>
      <c r="I982" t="s">
        <v>3982</v>
      </c>
      <c r="M982" s="14" t="s">
        <v>6316</v>
      </c>
    </row>
    <row r="983" spans="1:13" x14ac:dyDescent="0.3">
      <c r="A983" t="s">
        <v>6317</v>
      </c>
      <c r="B983" t="s">
        <v>6318</v>
      </c>
      <c r="C983" t="s">
        <v>6319</v>
      </c>
      <c r="D983" t="s">
        <v>4916</v>
      </c>
      <c r="E983" t="s">
        <v>4917</v>
      </c>
      <c r="F983" t="s">
        <v>950</v>
      </c>
      <c r="G983" t="s">
        <v>2077</v>
      </c>
      <c r="H983">
        <v>20044.439999999999</v>
      </c>
      <c r="I983" t="s">
        <v>3982</v>
      </c>
      <c r="M983" s="14" t="s">
        <v>6320</v>
      </c>
    </row>
    <row r="984" spans="1:13" x14ac:dyDescent="0.3">
      <c r="A984" t="s">
        <v>6321</v>
      </c>
      <c r="B984" t="s">
        <v>6322</v>
      </c>
      <c r="C984" t="s">
        <v>6323</v>
      </c>
      <c r="D984" t="s">
        <v>4916</v>
      </c>
      <c r="E984" t="s">
        <v>4917</v>
      </c>
      <c r="F984" t="s">
        <v>950</v>
      </c>
      <c r="G984" t="s">
        <v>2077</v>
      </c>
      <c r="H984">
        <v>20044.439999999999</v>
      </c>
      <c r="I984" t="s">
        <v>3982</v>
      </c>
      <c r="M984" s="14" t="s">
        <v>6324</v>
      </c>
    </row>
    <row r="985" spans="1:13" x14ac:dyDescent="0.3">
      <c r="A985" t="s">
        <v>6325</v>
      </c>
      <c r="B985" t="s">
        <v>6326</v>
      </c>
      <c r="C985" t="s">
        <v>6327</v>
      </c>
      <c r="D985" t="s">
        <v>4916</v>
      </c>
      <c r="E985" t="s">
        <v>4917</v>
      </c>
      <c r="F985" t="s">
        <v>950</v>
      </c>
      <c r="G985" t="s">
        <v>2077</v>
      </c>
      <c r="H985">
        <v>23362.53</v>
      </c>
      <c r="I985" t="s">
        <v>3982</v>
      </c>
      <c r="M985" s="14" t="s">
        <v>6328</v>
      </c>
    </row>
    <row r="986" spans="1:13" x14ac:dyDescent="0.3">
      <c r="A986" t="s">
        <v>6329</v>
      </c>
      <c r="B986" t="s">
        <v>6330</v>
      </c>
      <c r="C986" t="s">
        <v>6331</v>
      </c>
      <c r="D986" t="s">
        <v>4916</v>
      </c>
      <c r="E986" t="s">
        <v>4917</v>
      </c>
      <c r="F986" t="s">
        <v>950</v>
      </c>
      <c r="G986" t="s">
        <v>2077</v>
      </c>
      <c r="H986">
        <v>23362.53</v>
      </c>
      <c r="I986" t="s">
        <v>3982</v>
      </c>
      <c r="M986" s="14" t="s">
        <v>6332</v>
      </c>
    </row>
    <row r="987" spans="1:13" x14ac:dyDescent="0.3">
      <c r="A987" t="s">
        <v>6333</v>
      </c>
      <c r="B987" t="s">
        <v>6334</v>
      </c>
      <c r="C987" t="s">
        <v>6335</v>
      </c>
      <c r="D987" t="s">
        <v>4916</v>
      </c>
      <c r="E987" t="s">
        <v>4917</v>
      </c>
      <c r="F987" t="s">
        <v>950</v>
      </c>
      <c r="G987" t="s">
        <v>2077</v>
      </c>
      <c r="H987">
        <v>10795.68</v>
      </c>
      <c r="I987" t="s">
        <v>3982</v>
      </c>
      <c r="M987" s="14" t="s">
        <v>6336</v>
      </c>
    </row>
    <row r="988" spans="1:13" x14ac:dyDescent="0.3">
      <c r="A988" t="s">
        <v>6337</v>
      </c>
      <c r="B988" t="s">
        <v>6338</v>
      </c>
      <c r="C988" t="s">
        <v>6339</v>
      </c>
      <c r="D988" t="s">
        <v>4916</v>
      </c>
      <c r="E988" t="s">
        <v>4917</v>
      </c>
      <c r="F988" t="s">
        <v>950</v>
      </c>
      <c r="G988" t="s">
        <v>2077</v>
      </c>
      <c r="H988">
        <v>10795.68</v>
      </c>
      <c r="I988" t="s">
        <v>3982</v>
      </c>
      <c r="M988" s="14" t="s">
        <v>6340</v>
      </c>
    </row>
    <row r="989" spans="1:13" x14ac:dyDescent="0.3">
      <c r="A989" t="s">
        <v>6341</v>
      </c>
      <c r="B989" t="s">
        <v>6342</v>
      </c>
      <c r="C989" t="s">
        <v>6343</v>
      </c>
      <c r="D989" t="s">
        <v>4916</v>
      </c>
      <c r="E989" t="s">
        <v>4917</v>
      </c>
      <c r="F989" t="s">
        <v>950</v>
      </c>
      <c r="G989" t="s">
        <v>2077</v>
      </c>
      <c r="H989">
        <v>20237.93</v>
      </c>
      <c r="I989" t="s">
        <v>3982</v>
      </c>
      <c r="M989" s="14" t="s">
        <v>6344</v>
      </c>
    </row>
    <row r="990" spans="1:13" x14ac:dyDescent="0.3">
      <c r="A990" t="s">
        <v>6345</v>
      </c>
      <c r="B990" t="s">
        <v>6346</v>
      </c>
      <c r="C990" t="s">
        <v>6347</v>
      </c>
      <c r="D990" t="s">
        <v>4916</v>
      </c>
      <c r="E990" t="s">
        <v>4917</v>
      </c>
      <c r="F990" t="s">
        <v>950</v>
      </c>
      <c r="G990" t="s">
        <v>2077</v>
      </c>
      <c r="H990">
        <v>20237.93</v>
      </c>
      <c r="I990" t="s">
        <v>3982</v>
      </c>
      <c r="M990" s="14" t="s">
        <v>6348</v>
      </c>
    </row>
    <row r="991" spans="1:13" x14ac:dyDescent="0.3">
      <c r="A991" t="s">
        <v>6349</v>
      </c>
      <c r="B991" t="s">
        <v>6350</v>
      </c>
      <c r="C991" t="s">
        <v>6351</v>
      </c>
      <c r="D991" t="s">
        <v>4916</v>
      </c>
      <c r="E991" t="s">
        <v>4917</v>
      </c>
      <c r="F991" t="s">
        <v>950</v>
      </c>
      <c r="G991" t="s">
        <v>2077</v>
      </c>
      <c r="H991">
        <v>23659.21</v>
      </c>
      <c r="I991" t="s">
        <v>3982</v>
      </c>
      <c r="M991" s="14" t="s">
        <v>6352</v>
      </c>
    </row>
    <row r="992" spans="1:13" x14ac:dyDescent="0.3">
      <c r="A992" t="s">
        <v>6353</v>
      </c>
      <c r="B992" t="s">
        <v>6354</v>
      </c>
      <c r="C992" t="s">
        <v>6355</v>
      </c>
      <c r="D992" t="s">
        <v>4916</v>
      </c>
      <c r="E992" t="s">
        <v>4917</v>
      </c>
      <c r="F992" t="s">
        <v>950</v>
      </c>
      <c r="G992" t="s">
        <v>2077</v>
      </c>
      <c r="H992">
        <v>23656.23</v>
      </c>
      <c r="I992" t="s">
        <v>3982</v>
      </c>
      <c r="M992" s="14" t="s">
        <v>6356</v>
      </c>
    </row>
    <row r="993" spans="1:13" x14ac:dyDescent="0.3">
      <c r="A993" t="s">
        <v>6357</v>
      </c>
      <c r="B993" t="s">
        <v>6358</v>
      </c>
      <c r="C993" t="s">
        <v>6359</v>
      </c>
      <c r="D993" t="s">
        <v>4916</v>
      </c>
      <c r="E993" t="s">
        <v>4917</v>
      </c>
      <c r="F993" t="s">
        <v>950</v>
      </c>
      <c r="G993" t="s">
        <v>2077</v>
      </c>
      <c r="H993">
        <v>11677.47</v>
      </c>
      <c r="I993" t="s">
        <v>3982</v>
      </c>
      <c r="M993" s="14" t="s">
        <v>6360</v>
      </c>
    </row>
    <row r="994" spans="1:13" x14ac:dyDescent="0.3">
      <c r="A994" t="s">
        <v>6361</v>
      </c>
      <c r="B994" t="s">
        <v>6362</v>
      </c>
      <c r="C994" t="s">
        <v>6363</v>
      </c>
      <c r="D994" t="s">
        <v>4916</v>
      </c>
      <c r="E994" t="s">
        <v>4917</v>
      </c>
      <c r="F994" t="s">
        <v>950</v>
      </c>
      <c r="G994" t="s">
        <v>2077</v>
      </c>
      <c r="H994">
        <v>14665.46</v>
      </c>
      <c r="I994" t="s">
        <v>3982</v>
      </c>
      <c r="M994" s="14" t="s">
        <v>6364</v>
      </c>
    </row>
    <row r="995" spans="1:13" x14ac:dyDescent="0.3">
      <c r="A995" t="s">
        <v>6365</v>
      </c>
      <c r="B995" t="s">
        <v>6366</v>
      </c>
      <c r="C995" t="s">
        <v>6367</v>
      </c>
      <c r="D995" t="s">
        <v>4916</v>
      </c>
      <c r="E995" t="s">
        <v>4917</v>
      </c>
      <c r="F995" t="s">
        <v>950</v>
      </c>
      <c r="G995" t="s">
        <v>2077</v>
      </c>
      <c r="H995">
        <v>14665.46</v>
      </c>
      <c r="I995" t="s">
        <v>3982</v>
      </c>
      <c r="M995" s="14" t="s">
        <v>6368</v>
      </c>
    </row>
    <row r="996" spans="1:13" x14ac:dyDescent="0.3">
      <c r="A996" t="s">
        <v>6369</v>
      </c>
      <c r="B996" t="s">
        <v>6370</v>
      </c>
      <c r="C996" t="s">
        <v>6371</v>
      </c>
      <c r="D996" t="s">
        <v>4916</v>
      </c>
      <c r="E996" t="s">
        <v>4917</v>
      </c>
      <c r="F996" t="s">
        <v>950</v>
      </c>
      <c r="G996" t="s">
        <v>2077</v>
      </c>
      <c r="H996">
        <v>14665.46</v>
      </c>
      <c r="I996" t="s">
        <v>3982</v>
      </c>
      <c r="M996" s="14" t="s">
        <v>6372</v>
      </c>
    </row>
    <row r="997" spans="1:13" x14ac:dyDescent="0.3">
      <c r="A997" t="s">
        <v>6373</v>
      </c>
      <c r="B997" t="s">
        <v>6374</v>
      </c>
      <c r="C997" t="s">
        <v>6375</v>
      </c>
      <c r="D997" t="s">
        <v>4916</v>
      </c>
      <c r="E997" t="s">
        <v>4917</v>
      </c>
      <c r="F997" t="s">
        <v>950</v>
      </c>
      <c r="G997" t="s">
        <v>2077</v>
      </c>
      <c r="H997">
        <v>14665.46</v>
      </c>
      <c r="I997" t="s">
        <v>3982</v>
      </c>
      <c r="M997" s="14" t="s">
        <v>6376</v>
      </c>
    </row>
    <row r="998" spans="1:13" x14ac:dyDescent="0.3">
      <c r="A998" t="s">
        <v>6377</v>
      </c>
      <c r="B998" t="s">
        <v>6378</v>
      </c>
      <c r="C998" t="s">
        <v>6379</v>
      </c>
      <c r="D998" t="s">
        <v>4916</v>
      </c>
      <c r="E998" t="s">
        <v>4917</v>
      </c>
      <c r="F998" t="s">
        <v>950</v>
      </c>
      <c r="G998" t="s">
        <v>2077</v>
      </c>
      <c r="H998">
        <v>14665.46</v>
      </c>
      <c r="I998" t="s">
        <v>3982</v>
      </c>
      <c r="M998" s="14" t="s">
        <v>6380</v>
      </c>
    </row>
    <row r="999" spans="1:13" x14ac:dyDescent="0.3">
      <c r="A999" t="s">
        <v>6381</v>
      </c>
      <c r="B999" t="s">
        <v>6382</v>
      </c>
      <c r="C999" t="s">
        <v>6383</v>
      </c>
      <c r="D999" t="s">
        <v>4916</v>
      </c>
      <c r="E999" t="s">
        <v>4917</v>
      </c>
      <c r="F999" t="s">
        <v>950</v>
      </c>
      <c r="G999" t="s">
        <v>2077</v>
      </c>
      <c r="H999">
        <v>14665.46</v>
      </c>
      <c r="I999" t="s">
        <v>3982</v>
      </c>
      <c r="M999" s="14" t="s">
        <v>6384</v>
      </c>
    </row>
    <row r="1000" spans="1:13" x14ac:dyDescent="0.3">
      <c r="A1000" t="s">
        <v>6385</v>
      </c>
      <c r="B1000" t="s">
        <v>6386</v>
      </c>
      <c r="C1000" t="s">
        <v>6387</v>
      </c>
      <c r="D1000" t="s">
        <v>4916</v>
      </c>
      <c r="E1000" t="s">
        <v>4917</v>
      </c>
      <c r="F1000" t="s">
        <v>950</v>
      </c>
      <c r="G1000" t="s">
        <v>2077</v>
      </c>
      <c r="H1000">
        <v>14665.46</v>
      </c>
      <c r="I1000" t="s">
        <v>3982</v>
      </c>
      <c r="M1000" s="14" t="s">
        <v>6388</v>
      </c>
    </row>
    <row r="1001" spans="1:13" x14ac:dyDescent="0.3">
      <c r="A1001" t="s">
        <v>6389</v>
      </c>
      <c r="B1001" t="s">
        <v>6390</v>
      </c>
      <c r="C1001" t="s">
        <v>6391</v>
      </c>
      <c r="D1001" t="s">
        <v>4916</v>
      </c>
      <c r="E1001" t="s">
        <v>4917</v>
      </c>
      <c r="F1001" t="s">
        <v>950</v>
      </c>
      <c r="G1001" t="s">
        <v>2077</v>
      </c>
      <c r="H1001">
        <v>14665.46</v>
      </c>
      <c r="I1001" t="s">
        <v>3982</v>
      </c>
      <c r="M1001" s="14" t="s">
        <v>6392</v>
      </c>
    </row>
    <row r="1002" spans="1:13" x14ac:dyDescent="0.3">
      <c r="A1002" t="s">
        <v>6393</v>
      </c>
      <c r="B1002" t="s">
        <v>6394</v>
      </c>
      <c r="C1002" t="s">
        <v>6395</v>
      </c>
      <c r="D1002" t="s">
        <v>4916</v>
      </c>
      <c r="E1002" t="s">
        <v>4917</v>
      </c>
      <c r="F1002" t="s">
        <v>950</v>
      </c>
      <c r="G1002" t="s">
        <v>2077</v>
      </c>
      <c r="H1002">
        <v>14665.46</v>
      </c>
      <c r="I1002" t="s">
        <v>3982</v>
      </c>
      <c r="M1002" s="14" t="s">
        <v>6396</v>
      </c>
    </row>
    <row r="1003" spans="1:13" x14ac:dyDescent="0.3">
      <c r="A1003" t="s">
        <v>6397</v>
      </c>
      <c r="B1003" t="s">
        <v>6398</v>
      </c>
      <c r="C1003" t="s">
        <v>6399</v>
      </c>
      <c r="D1003" t="s">
        <v>4916</v>
      </c>
      <c r="E1003" t="s">
        <v>4917</v>
      </c>
      <c r="F1003" t="s">
        <v>950</v>
      </c>
      <c r="G1003" t="s">
        <v>2077</v>
      </c>
      <c r="H1003">
        <v>14665.46</v>
      </c>
      <c r="I1003" t="s">
        <v>3982</v>
      </c>
      <c r="M1003" s="14" t="s">
        <v>6400</v>
      </c>
    </row>
    <row r="1004" spans="1:13" x14ac:dyDescent="0.3">
      <c r="A1004" t="s">
        <v>6401</v>
      </c>
      <c r="B1004" t="s">
        <v>6402</v>
      </c>
      <c r="C1004" t="s">
        <v>6403</v>
      </c>
      <c r="D1004" t="s">
        <v>4916</v>
      </c>
      <c r="E1004" t="s">
        <v>4917</v>
      </c>
      <c r="F1004" t="s">
        <v>950</v>
      </c>
      <c r="G1004" t="s">
        <v>2077</v>
      </c>
      <c r="H1004">
        <v>14665.46</v>
      </c>
      <c r="I1004" t="s">
        <v>3982</v>
      </c>
      <c r="M1004" s="14" t="s">
        <v>6404</v>
      </c>
    </row>
    <row r="1005" spans="1:13" x14ac:dyDescent="0.3">
      <c r="A1005" t="s">
        <v>6405</v>
      </c>
      <c r="B1005" t="s">
        <v>6406</v>
      </c>
      <c r="C1005" t="s">
        <v>6407</v>
      </c>
      <c r="D1005" t="s">
        <v>4916</v>
      </c>
      <c r="E1005" t="s">
        <v>4917</v>
      </c>
      <c r="F1005" t="s">
        <v>950</v>
      </c>
      <c r="G1005" t="s">
        <v>2077</v>
      </c>
      <c r="H1005">
        <v>14665.46</v>
      </c>
      <c r="I1005" t="s">
        <v>3982</v>
      </c>
      <c r="M1005" s="14" t="s">
        <v>6408</v>
      </c>
    </row>
    <row r="1006" spans="1:13" x14ac:dyDescent="0.3">
      <c r="A1006" t="s">
        <v>6409</v>
      </c>
      <c r="B1006" t="s">
        <v>6410</v>
      </c>
      <c r="C1006" t="s">
        <v>6411</v>
      </c>
      <c r="D1006" t="s">
        <v>4916</v>
      </c>
      <c r="E1006" t="s">
        <v>4917</v>
      </c>
      <c r="F1006" t="s">
        <v>950</v>
      </c>
      <c r="G1006" t="s">
        <v>2077</v>
      </c>
      <c r="H1006">
        <v>12551.96</v>
      </c>
      <c r="I1006" t="s">
        <v>3982</v>
      </c>
      <c r="M1006" s="14" t="s">
        <v>6412</v>
      </c>
    </row>
    <row r="1007" spans="1:13" x14ac:dyDescent="0.3">
      <c r="A1007" t="s">
        <v>6413</v>
      </c>
      <c r="B1007" t="s">
        <v>6414</v>
      </c>
      <c r="C1007" t="s">
        <v>6415</v>
      </c>
      <c r="D1007" t="s">
        <v>4916</v>
      </c>
      <c r="E1007" t="s">
        <v>4917</v>
      </c>
      <c r="F1007" t="s">
        <v>950</v>
      </c>
      <c r="G1007" t="s">
        <v>2077</v>
      </c>
      <c r="H1007">
        <v>12551.96</v>
      </c>
      <c r="I1007" t="s">
        <v>3982</v>
      </c>
      <c r="M1007" s="14" t="s">
        <v>6416</v>
      </c>
    </row>
    <row r="1008" spans="1:13" x14ac:dyDescent="0.3">
      <c r="A1008" t="s">
        <v>6417</v>
      </c>
      <c r="B1008" t="s">
        <v>6418</v>
      </c>
      <c r="C1008" t="s">
        <v>6419</v>
      </c>
      <c r="D1008" t="s">
        <v>4916</v>
      </c>
      <c r="E1008" t="s">
        <v>4917</v>
      </c>
      <c r="F1008" t="s">
        <v>950</v>
      </c>
      <c r="G1008" t="s">
        <v>2077</v>
      </c>
      <c r="H1008">
        <v>13582.91</v>
      </c>
      <c r="I1008" t="s">
        <v>3982</v>
      </c>
      <c r="M1008" s="14" t="s">
        <v>6420</v>
      </c>
    </row>
    <row r="1009" spans="1:13" x14ac:dyDescent="0.3">
      <c r="A1009" t="s">
        <v>6421</v>
      </c>
      <c r="B1009" t="s">
        <v>6422</v>
      </c>
      <c r="C1009" t="s">
        <v>6423</v>
      </c>
      <c r="D1009" t="s">
        <v>4916</v>
      </c>
      <c r="E1009" t="s">
        <v>4917</v>
      </c>
      <c r="F1009" t="s">
        <v>950</v>
      </c>
      <c r="G1009" t="s">
        <v>2077</v>
      </c>
      <c r="H1009">
        <v>13582.91</v>
      </c>
      <c r="I1009" t="s">
        <v>3982</v>
      </c>
      <c r="M1009" s="14" t="s">
        <v>6424</v>
      </c>
    </row>
    <row r="1010" spans="1:13" x14ac:dyDescent="0.3">
      <c r="A1010" t="s">
        <v>6425</v>
      </c>
      <c r="B1010" t="s">
        <v>6426</v>
      </c>
      <c r="C1010" t="s">
        <v>6427</v>
      </c>
      <c r="D1010" t="s">
        <v>4916</v>
      </c>
      <c r="E1010" t="s">
        <v>4917</v>
      </c>
      <c r="F1010" t="s">
        <v>950</v>
      </c>
      <c r="G1010" t="s">
        <v>2077</v>
      </c>
      <c r="H1010">
        <v>13582.91</v>
      </c>
      <c r="I1010" t="s">
        <v>3982</v>
      </c>
      <c r="M1010" s="14" t="s">
        <v>6428</v>
      </c>
    </row>
    <row r="1011" spans="1:13" x14ac:dyDescent="0.3">
      <c r="A1011" t="s">
        <v>6429</v>
      </c>
      <c r="B1011" t="s">
        <v>6430</v>
      </c>
      <c r="C1011" t="s">
        <v>6431</v>
      </c>
      <c r="D1011" t="s">
        <v>4916</v>
      </c>
      <c r="E1011" t="s">
        <v>4917</v>
      </c>
      <c r="F1011" t="s">
        <v>950</v>
      </c>
      <c r="G1011" t="s">
        <v>2077</v>
      </c>
      <c r="H1011">
        <v>13582.91</v>
      </c>
      <c r="I1011" t="s">
        <v>3982</v>
      </c>
      <c r="M1011" s="14" t="s">
        <v>6432</v>
      </c>
    </row>
    <row r="1012" spans="1:13" x14ac:dyDescent="0.3">
      <c r="A1012" t="s">
        <v>6433</v>
      </c>
      <c r="B1012" t="s">
        <v>6434</v>
      </c>
      <c r="C1012" t="s">
        <v>6435</v>
      </c>
      <c r="D1012" t="s">
        <v>4916</v>
      </c>
      <c r="E1012" t="s">
        <v>4917</v>
      </c>
      <c r="F1012" t="s">
        <v>950</v>
      </c>
      <c r="G1012" t="s">
        <v>2077</v>
      </c>
      <c r="H1012">
        <v>13582.91</v>
      </c>
      <c r="I1012" t="s">
        <v>3982</v>
      </c>
      <c r="M1012" s="14" t="s">
        <v>6436</v>
      </c>
    </row>
    <row r="1013" spans="1:13" x14ac:dyDescent="0.3">
      <c r="A1013" t="s">
        <v>6437</v>
      </c>
      <c r="B1013" t="s">
        <v>6438</v>
      </c>
      <c r="C1013" t="s">
        <v>6439</v>
      </c>
      <c r="D1013" t="s">
        <v>4916</v>
      </c>
      <c r="E1013" t="s">
        <v>4917</v>
      </c>
      <c r="F1013" t="s">
        <v>950</v>
      </c>
      <c r="G1013" t="s">
        <v>2077</v>
      </c>
      <c r="H1013">
        <v>13582.91</v>
      </c>
      <c r="I1013" t="s">
        <v>3982</v>
      </c>
      <c r="M1013" s="14" t="s">
        <v>6440</v>
      </c>
    </row>
    <row r="1014" spans="1:13" x14ac:dyDescent="0.3">
      <c r="A1014" t="s">
        <v>6441</v>
      </c>
      <c r="B1014" t="s">
        <v>6442</v>
      </c>
      <c r="C1014" t="s">
        <v>6443</v>
      </c>
      <c r="D1014" t="s">
        <v>4916</v>
      </c>
      <c r="E1014" t="s">
        <v>4917</v>
      </c>
      <c r="F1014" t="s">
        <v>950</v>
      </c>
      <c r="G1014" t="s">
        <v>2077</v>
      </c>
      <c r="H1014">
        <v>14375.72</v>
      </c>
      <c r="I1014" t="s">
        <v>3982</v>
      </c>
      <c r="M1014" s="14" t="s">
        <v>6444</v>
      </c>
    </row>
    <row r="1015" spans="1:13" x14ac:dyDescent="0.3">
      <c r="A1015" t="s">
        <v>6445</v>
      </c>
      <c r="B1015" t="s">
        <v>6446</v>
      </c>
      <c r="C1015" t="s">
        <v>6447</v>
      </c>
      <c r="D1015" t="s">
        <v>4916</v>
      </c>
      <c r="E1015" t="s">
        <v>4917</v>
      </c>
      <c r="F1015" t="s">
        <v>950</v>
      </c>
      <c r="G1015" t="s">
        <v>2077</v>
      </c>
      <c r="H1015">
        <v>32128.06</v>
      </c>
      <c r="I1015" t="s">
        <v>3982</v>
      </c>
      <c r="M1015" s="14" t="s">
        <v>6448</v>
      </c>
    </row>
    <row r="1016" spans="1:13" x14ac:dyDescent="0.3">
      <c r="A1016" t="s">
        <v>6449</v>
      </c>
      <c r="B1016" t="s">
        <v>6450</v>
      </c>
      <c r="C1016" t="s">
        <v>6451</v>
      </c>
      <c r="D1016" t="s">
        <v>4916</v>
      </c>
      <c r="E1016" t="s">
        <v>4917</v>
      </c>
      <c r="F1016" t="s">
        <v>950</v>
      </c>
      <c r="G1016" t="s">
        <v>2077</v>
      </c>
      <c r="H1016">
        <v>32128.06</v>
      </c>
      <c r="I1016" t="s">
        <v>3982</v>
      </c>
      <c r="M1016" s="14" t="s">
        <v>6452</v>
      </c>
    </row>
    <row r="1017" spans="1:13" x14ac:dyDescent="0.3">
      <c r="A1017" t="s">
        <v>6453</v>
      </c>
      <c r="B1017" t="s">
        <v>6454</v>
      </c>
      <c r="C1017" t="s">
        <v>6455</v>
      </c>
      <c r="D1017" t="s">
        <v>4916</v>
      </c>
      <c r="E1017" t="s">
        <v>4917</v>
      </c>
      <c r="F1017" t="s">
        <v>950</v>
      </c>
      <c r="G1017" t="s">
        <v>2077</v>
      </c>
      <c r="H1017">
        <v>39442.93</v>
      </c>
      <c r="I1017" t="s">
        <v>3982</v>
      </c>
      <c r="M1017" s="14" t="s">
        <v>6456</v>
      </c>
    </row>
    <row r="1018" spans="1:13" x14ac:dyDescent="0.3">
      <c r="A1018" t="s">
        <v>6457</v>
      </c>
      <c r="B1018" t="s">
        <v>6458</v>
      </c>
      <c r="C1018" t="s">
        <v>6459</v>
      </c>
      <c r="D1018" t="s">
        <v>4916</v>
      </c>
      <c r="E1018" t="s">
        <v>4917</v>
      </c>
      <c r="F1018" t="s">
        <v>950</v>
      </c>
      <c r="G1018" t="s">
        <v>2077</v>
      </c>
      <c r="H1018">
        <v>39442.93</v>
      </c>
      <c r="I1018" t="s">
        <v>3982</v>
      </c>
      <c r="M1018" s="14" t="s">
        <v>6460</v>
      </c>
    </row>
    <row r="1019" spans="1:13" x14ac:dyDescent="0.3">
      <c r="A1019" t="s">
        <v>6461</v>
      </c>
      <c r="B1019" t="s">
        <v>6462</v>
      </c>
      <c r="C1019" t="s">
        <v>6463</v>
      </c>
      <c r="D1019" t="s">
        <v>4916</v>
      </c>
      <c r="E1019" t="s">
        <v>4917</v>
      </c>
      <c r="F1019" t="s">
        <v>950</v>
      </c>
      <c r="G1019" t="s">
        <v>2077</v>
      </c>
      <c r="H1019">
        <v>40643.550000000003</v>
      </c>
      <c r="I1019" t="s">
        <v>3982</v>
      </c>
      <c r="M1019" s="14" t="s">
        <v>6464</v>
      </c>
    </row>
    <row r="1020" spans="1:13" x14ac:dyDescent="0.3">
      <c r="A1020" t="s">
        <v>6465</v>
      </c>
      <c r="B1020" t="s">
        <v>6466</v>
      </c>
      <c r="C1020" t="s">
        <v>6467</v>
      </c>
      <c r="D1020" t="s">
        <v>4916</v>
      </c>
      <c r="E1020" t="s">
        <v>4917</v>
      </c>
      <c r="F1020" t="s">
        <v>950</v>
      </c>
      <c r="G1020" t="s">
        <v>2077</v>
      </c>
      <c r="H1020">
        <v>40643.550000000003</v>
      </c>
      <c r="I1020" t="s">
        <v>3982</v>
      </c>
      <c r="M1020" s="14" t="s">
        <v>6468</v>
      </c>
    </row>
    <row r="1021" spans="1:13" x14ac:dyDescent="0.3">
      <c r="A1021" t="s">
        <v>6469</v>
      </c>
      <c r="B1021" t="s">
        <v>6470</v>
      </c>
      <c r="C1021" t="s">
        <v>6471</v>
      </c>
      <c r="D1021" t="s">
        <v>4916</v>
      </c>
      <c r="E1021" t="s">
        <v>4917</v>
      </c>
      <c r="F1021" t="s">
        <v>950</v>
      </c>
      <c r="G1021" t="s">
        <v>2077</v>
      </c>
      <c r="H1021">
        <v>40643.550000000003</v>
      </c>
      <c r="I1021" t="s">
        <v>3982</v>
      </c>
      <c r="M1021" s="14" t="s">
        <v>6472</v>
      </c>
    </row>
    <row r="1022" spans="1:13" x14ac:dyDescent="0.3">
      <c r="A1022" t="s">
        <v>6473</v>
      </c>
      <c r="B1022" t="s">
        <v>6474</v>
      </c>
      <c r="C1022" t="s">
        <v>6475</v>
      </c>
      <c r="D1022" t="s">
        <v>4916</v>
      </c>
      <c r="E1022" t="s">
        <v>4917</v>
      </c>
      <c r="F1022" t="s">
        <v>950</v>
      </c>
      <c r="G1022" t="s">
        <v>2077</v>
      </c>
      <c r="H1022">
        <v>40643.550000000003</v>
      </c>
      <c r="I1022" t="s">
        <v>3982</v>
      </c>
      <c r="M1022" s="14" t="s">
        <v>6476</v>
      </c>
    </row>
    <row r="1023" spans="1:13" x14ac:dyDescent="0.3">
      <c r="A1023" t="s">
        <v>6477</v>
      </c>
      <c r="B1023" t="s">
        <v>6478</v>
      </c>
      <c r="C1023" t="s">
        <v>6479</v>
      </c>
      <c r="D1023" t="s">
        <v>4916</v>
      </c>
      <c r="E1023" t="s">
        <v>4917</v>
      </c>
      <c r="F1023" t="s">
        <v>950</v>
      </c>
      <c r="G1023" t="s">
        <v>2077</v>
      </c>
      <c r="H1023">
        <v>39442.93</v>
      </c>
      <c r="I1023" t="s">
        <v>3982</v>
      </c>
      <c r="M1023" s="14" t="s">
        <v>6480</v>
      </c>
    </row>
    <row r="1024" spans="1:13" x14ac:dyDescent="0.3">
      <c r="A1024" t="s">
        <v>6481</v>
      </c>
      <c r="B1024" t="s">
        <v>6482</v>
      </c>
      <c r="C1024" t="s">
        <v>6483</v>
      </c>
      <c r="D1024" t="s">
        <v>4916</v>
      </c>
      <c r="E1024" t="s">
        <v>4917</v>
      </c>
      <c r="F1024" t="s">
        <v>950</v>
      </c>
      <c r="G1024" t="s">
        <v>2077</v>
      </c>
      <c r="H1024">
        <v>39442.93</v>
      </c>
      <c r="I1024" t="s">
        <v>3982</v>
      </c>
      <c r="M1024" s="14" t="s">
        <v>6484</v>
      </c>
    </row>
    <row r="1025" spans="1:13" x14ac:dyDescent="0.3">
      <c r="A1025" t="s">
        <v>6485</v>
      </c>
      <c r="B1025" t="s">
        <v>6486</v>
      </c>
      <c r="C1025" t="s">
        <v>6487</v>
      </c>
      <c r="D1025" t="s">
        <v>4916</v>
      </c>
      <c r="E1025" t="s">
        <v>4917</v>
      </c>
      <c r="F1025" t="s">
        <v>950</v>
      </c>
      <c r="G1025" t="s">
        <v>2077</v>
      </c>
      <c r="H1025">
        <v>39442.93</v>
      </c>
      <c r="I1025" t="s">
        <v>3982</v>
      </c>
      <c r="M1025" s="14" t="s">
        <v>6488</v>
      </c>
    </row>
    <row r="1026" spans="1:13" x14ac:dyDescent="0.3">
      <c r="A1026" t="s">
        <v>6489</v>
      </c>
      <c r="B1026" t="s">
        <v>6490</v>
      </c>
      <c r="C1026" t="s">
        <v>6491</v>
      </c>
      <c r="D1026" t="s">
        <v>4916</v>
      </c>
      <c r="E1026" t="s">
        <v>4917</v>
      </c>
      <c r="F1026" t="s">
        <v>950</v>
      </c>
      <c r="G1026" t="s">
        <v>2077</v>
      </c>
      <c r="H1026">
        <v>39442.93</v>
      </c>
      <c r="I1026" t="s">
        <v>3982</v>
      </c>
      <c r="M1026" s="14" t="s">
        <v>6492</v>
      </c>
    </row>
    <row r="1027" spans="1:13" x14ac:dyDescent="0.3">
      <c r="A1027" t="s">
        <v>6493</v>
      </c>
      <c r="B1027" t="s">
        <v>6494</v>
      </c>
      <c r="C1027" t="s">
        <v>6495</v>
      </c>
      <c r="D1027" t="s">
        <v>4916</v>
      </c>
      <c r="E1027" t="s">
        <v>4917</v>
      </c>
      <c r="F1027" t="s">
        <v>950</v>
      </c>
      <c r="G1027" t="s">
        <v>2077</v>
      </c>
      <c r="H1027">
        <v>40643.550000000003</v>
      </c>
      <c r="I1027" t="s">
        <v>3982</v>
      </c>
      <c r="M1027" s="14" t="s">
        <v>6496</v>
      </c>
    </row>
    <row r="1028" spans="1:13" x14ac:dyDescent="0.3">
      <c r="A1028" t="s">
        <v>6497</v>
      </c>
      <c r="B1028" t="s">
        <v>6498</v>
      </c>
      <c r="C1028" t="s">
        <v>6499</v>
      </c>
      <c r="D1028" t="s">
        <v>4916</v>
      </c>
      <c r="E1028" t="s">
        <v>4917</v>
      </c>
      <c r="F1028" t="s">
        <v>950</v>
      </c>
      <c r="G1028" t="s">
        <v>2077</v>
      </c>
      <c r="H1028">
        <v>40643.550000000003</v>
      </c>
      <c r="I1028" t="s">
        <v>3982</v>
      </c>
      <c r="M1028" s="14" t="s">
        <v>6500</v>
      </c>
    </row>
    <row r="1029" spans="1:13" x14ac:dyDescent="0.3">
      <c r="A1029" t="s">
        <v>6501</v>
      </c>
      <c r="B1029" t="s">
        <v>6502</v>
      </c>
      <c r="C1029" t="s">
        <v>6503</v>
      </c>
      <c r="D1029" t="s">
        <v>4916</v>
      </c>
      <c r="E1029" t="s">
        <v>4917</v>
      </c>
      <c r="F1029" t="s">
        <v>950</v>
      </c>
      <c r="G1029" t="s">
        <v>2077</v>
      </c>
      <c r="H1029">
        <v>40643.550000000003</v>
      </c>
      <c r="I1029" t="s">
        <v>3982</v>
      </c>
      <c r="M1029" s="14" t="s">
        <v>6504</v>
      </c>
    </row>
    <row r="1030" spans="1:13" x14ac:dyDescent="0.3">
      <c r="A1030" t="s">
        <v>6505</v>
      </c>
      <c r="B1030" t="s">
        <v>6506</v>
      </c>
      <c r="C1030" t="s">
        <v>6507</v>
      </c>
      <c r="D1030" t="s">
        <v>4916</v>
      </c>
      <c r="E1030" t="s">
        <v>4917</v>
      </c>
      <c r="F1030" t="s">
        <v>950</v>
      </c>
      <c r="G1030" t="s">
        <v>2077</v>
      </c>
      <c r="H1030">
        <v>40643.550000000003</v>
      </c>
      <c r="I1030" t="s">
        <v>3982</v>
      </c>
      <c r="M1030" s="14" t="s">
        <v>6508</v>
      </c>
    </row>
    <row r="1031" spans="1:13" x14ac:dyDescent="0.3">
      <c r="A1031" t="s">
        <v>6509</v>
      </c>
      <c r="B1031" t="s">
        <v>6510</v>
      </c>
      <c r="C1031" t="s">
        <v>6511</v>
      </c>
      <c r="D1031" t="s">
        <v>4916</v>
      </c>
      <c r="E1031" t="s">
        <v>4917</v>
      </c>
      <c r="F1031" t="s">
        <v>950</v>
      </c>
      <c r="G1031" t="s">
        <v>2077</v>
      </c>
      <c r="H1031">
        <v>39442.93</v>
      </c>
      <c r="I1031" t="s">
        <v>3982</v>
      </c>
      <c r="M1031" s="14" t="s">
        <v>6512</v>
      </c>
    </row>
    <row r="1032" spans="1:13" x14ac:dyDescent="0.3">
      <c r="A1032" t="s">
        <v>6513</v>
      </c>
      <c r="B1032" t="s">
        <v>6514</v>
      </c>
      <c r="C1032" t="s">
        <v>6515</v>
      </c>
      <c r="D1032" t="s">
        <v>4916</v>
      </c>
      <c r="E1032" t="s">
        <v>4917</v>
      </c>
      <c r="F1032" t="s">
        <v>950</v>
      </c>
      <c r="G1032" t="s">
        <v>2077</v>
      </c>
      <c r="H1032">
        <v>39442.93</v>
      </c>
      <c r="I1032" t="s">
        <v>3982</v>
      </c>
      <c r="M1032" s="14" t="s">
        <v>6516</v>
      </c>
    </row>
    <row r="1033" spans="1:13" x14ac:dyDescent="0.3">
      <c r="A1033" t="s">
        <v>6517</v>
      </c>
      <c r="B1033" t="s">
        <v>6518</v>
      </c>
      <c r="C1033" t="s">
        <v>6519</v>
      </c>
      <c r="D1033" t="s">
        <v>4916</v>
      </c>
      <c r="E1033" t="s">
        <v>4917</v>
      </c>
      <c r="F1033" t="s">
        <v>950</v>
      </c>
      <c r="G1033" t="s">
        <v>2077</v>
      </c>
      <c r="H1033">
        <v>40643.550000000003</v>
      </c>
      <c r="I1033" t="s">
        <v>3982</v>
      </c>
      <c r="M1033" s="14" t="s">
        <v>6520</v>
      </c>
    </row>
    <row r="1034" spans="1:13" x14ac:dyDescent="0.3">
      <c r="A1034" t="s">
        <v>6521</v>
      </c>
      <c r="B1034" t="s">
        <v>6522</v>
      </c>
      <c r="C1034" t="s">
        <v>6523</v>
      </c>
      <c r="D1034" t="s">
        <v>4916</v>
      </c>
      <c r="E1034" t="s">
        <v>4917</v>
      </c>
      <c r="F1034" t="s">
        <v>950</v>
      </c>
      <c r="G1034" t="s">
        <v>2077</v>
      </c>
      <c r="H1034">
        <v>40643.550000000003</v>
      </c>
      <c r="I1034" t="s">
        <v>3982</v>
      </c>
      <c r="M1034" s="14" t="s">
        <v>6524</v>
      </c>
    </row>
    <row r="1035" spans="1:13" x14ac:dyDescent="0.3">
      <c r="A1035" t="s">
        <v>6525</v>
      </c>
      <c r="B1035" t="s">
        <v>6526</v>
      </c>
      <c r="C1035" t="s">
        <v>6527</v>
      </c>
      <c r="D1035" t="s">
        <v>4916</v>
      </c>
      <c r="E1035" t="s">
        <v>4917</v>
      </c>
      <c r="F1035" t="s">
        <v>950</v>
      </c>
      <c r="G1035" t="s">
        <v>2077</v>
      </c>
      <c r="H1035">
        <v>9370.81</v>
      </c>
      <c r="I1035" t="s">
        <v>3982</v>
      </c>
      <c r="M1035" s="14" t="s">
        <v>6528</v>
      </c>
    </row>
    <row r="1036" spans="1:13" x14ac:dyDescent="0.3">
      <c r="A1036" t="s">
        <v>6529</v>
      </c>
      <c r="B1036" t="s">
        <v>6530</v>
      </c>
      <c r="D1036" t="s">
        <v>2706</v>
      </c>
      <c r="E1036" t="s">
        <v>2707</v>
      </c>
      <c r="F1036" t="s">
        <v>950</v>
      </c>
      <c r="G1036" t="s">
        <v>1809</v>
      </c>
      <c r="H1036">
        <v>799.05</v>
      </c>
      <c r="I1036" t="s">
        <v>2708</v>
      </c>
      <c r="M1036" s="14" t="s">
        <v>6531</v>
      </c>
    </row>
    <row r="1037" spans="1:13" x14ac:dyDescent="0.3">
      <c r="A1037" t="s">
        <v>6532</v>
      </c>
      <c r="B1037" t="s">
        <v>6533</v>
      </c>
      <c r="D1037" t="s">
        <v>2716</v>
      </c>
      <c r="E1037" t="s">
        <v>2717</v>
      </c>
      <c r="F1037" t="s">
        <v>950</v>
      </c>
      <c r="G1037" t="s">
        <v>1809</v>
      </c>
      <c r="H1037">
        <v>978.6</v>
      </c>
      <c r="I1037" t="s">
        <v>2708</v>
      </c>
      <c r="M1037" s="14" t="s">
        <v>6534</v>
      </c>
    </row>
    <row r="1038" spans="1:13" x14ac:dyDescent="0.3">
      <c r="A1038" t="s">
        <v>6535</v>
      </c>
      <c r="B1038" t="s">
        <v>6536</v>
      </c>
      <c r="D1038" t="s">
        <v>2706</v>
      </c>
      <c r="E1038" t="s">
        <v>2707</v>
      </c>
      <c r="F1038" t="s">
        <v>950</v>
      </c>
      <c r="G1038" t="s">
        <v>1809</v>
      </c>
      <c r="H1038">
        <v>895.65</v>
      </c>
      <c r="I1038" t="s">
        <v>2708</v>
      </c>
      <c r="M1038" s="14" t="s">
        <v>6537</v>
      </c>
    </row>
    <row r="1039" spans="1:13" x14ac:dyDescent="0.3">
      <c r="A1039" t="s">
        <v>6538</v>
      </c>
      <c r="B1039" t="s">
        <v>6539</v>
      </c>
      <c r="D1039" t="s">
        <v>2716</v>
      </c>
      <c r="E1039" t="s">
        <v>2717</v>
      </c>
      <c r="F1039" t="s">
        <v>950</v>
      </c>
      <c r="G1039" t="s">
        <v>1809</v>
      </c>
      <c r="H1039">
        <v>1252.6500000000001</v>
      </c>
      <c r="I1039" t="s">
        <v>2708</v>
      </c>
      <c r="M1039" s="14" t="s">
        <v>6540</v>
      </c>
    </row>
    <row r="1040" spans="1:13" x14ac:dyDescent="0.3">
      <c r="A1040" t="s">
        <v>6541</v>
      </c>
      <c r="B1040" t="s">
        <v>6542</v>
      </c>
      <c r="D1040" t="s">
        <v>2716</v>
      </c>
      <c r="E1040" t="s">
        <v>2717</v>
      </c>
      <c r="F1040" t="s">
        <v>950</v>
      </c>
      <c r="G1040" t="s">
        <v>1809</v>
      </c>
      <c r="H1040">
        <v>794.85</v>
      </c>
      <c r="I1040" t="s">
        <v>2708</v>
      </c>
      <c r="M1040" s="14" t="s">
        <v>6543</v>
      </c>
    </row>
    <row r="1041" spans="1:13" x14ac:dyDescent="0.3">
      <c r="A1041" t="s">
        <v>6544</v>
      </c>
      <c r="B1041" t="s">
        <v>6545</v>
      </c>
      <c r="D1041" t="s">
        <v>2706</v>
      </c>
      <c r="E1041" t="s">
        <v>2707</v>
      </c>
      <c r="F1041" t="s">
        <v>950</v>
      </c>
      <c r="G1041" t="s">
        <v>1809</v>
      </c>
      <c r="H1041">
        <v>1211.7</v>
      </c>
      <c r="I1041" t="s">
        <v>2708</v>
      </c>
      <c r="M1041" s="14" t="s">
        <v>6546</v>
      </c>
    </row>
    <row r="1042" spans="1:13" x14ac:dyDescent="0.3">
      <c r="A1042" t="s">
        <v>6547</v>
      </c>
      <c r="B1042" t="s">
        <v>6548</v>
      </c>
      <c r="D1042" t="s">
        <v>2716</v>
      </c>
      <c r="E1042" t="s">
        <v>2717</v>
      </c>
      <c r="F1042" t="s">
        <v>950</v>
      </c>
      <c r="G1042" t="s">
        <v>1809</v>
      </c>
      <c r="H1042">
        <v>1866.9</v>
      </c>
      <c r="I1042" t="s">
        <v>2708</v>
      </c>
      <c r="M1042" s="14" t="s">
        <v>6549</v>
      </c>
    </row>
    <row r="1043" spans="1:13" x14ac:dyDescent="0.3">
      <c r="A1043" t="s">
        <v>6550</v>
      </c>
      <c r="B1043" t="s">
        <v>6551</v>
      </c>
      <c r="D1043" t="s">
        <v>2716</v>
      </c>
      <c r="E1043" t="s">
        <v>2717</v>
      </c>
      <c r="F1043" t="s">
        <v>950</v>
      </c>
      <c r="G1043" t="s">
        <v>1809</v>
      </c>
      <c r="H1043">
        <v>1145.55</v>
      </c>
      <c r="I1043" t="s">
        <v>2708</v>
      </c>
      <c r="M1043" s="14" t="s">
        <v>6552</v>
      </c>
    </row>
    <row r="1044" spans="1:13" x14ac:dyDescent="0.3">
      <c r="A1044" t="s">
        <v>6553</v>
      </c>
      <c r="B1044" t="s">
        <v>6554</v>
      </c>
      <c r="D1044" t="s">
        <v>2706</v>
      </c>
      <c r="E1044" t="s">
        <v>2707</v>
      </c>
      <c r="F1044" t="s">
        <v>950</v>
      </c>
      <c r="G1044" t="s">
        <v>1809</v>
      </c>
      <c r="H1044">
        <v>1457.4</v>
      </c>
      <c r="I1044" t="s">
        <v>2708</v>
      </c>
      <c r="M1044" s="14" t="s">
        <v>6555</v>
      </c>
    </row>
    <row r="1045" spans="1:13" x14ac:dyDescent="0.3">
      <c r="A1045" t="s">
        <v>6556</v>
      </c>
      <c r="B1045" t="s">
        <v>6557</v>
      </c>
      <c r="D1045" t="s">
        <v>2716</v>
      </c>
      <c r="E1045" t="s">
        <v>2717</v>
      </c>
      <c r="F1045" t="s">
        <v>950</v>
      </c>
      <c r="G1045" t="s">
        <v>1809</v>
      </c>
      <c r="H1045">
        <v>2062.1999999999998</v>
      </c>
      <c r="I1045" t="s">
        <v>2708</v>
      </c>
      <c r="M1045" s="14" t="s">
        <v>6558</v>
      </c>
    </row>
    <row r="1046" spans="1:13" x14ac:dyDescent="0.3">
      <c r="A1046" t="s">
        <v>6559</v>
      </c>
      <c r="B1046" t="s">
        <v>6560</v>
      </c>
      <c r="D1046" t="s">
        <v>2716</v>
      </c>
      <c r="E1046" t="s">
        <v>2717</v>
      </c>
      <c r="F1046" t="s">
        <v>950</v>
      </c>
      <c r="G1046" t="s">
        <v>1809</v>
      </c>
      <c r="H1046">
        <v>1398.6</v>
      </c>
      <c r="I1046" t="s">
        <v>2708</v>
      </c>
      <c r="M1046" s="14" t="s">
        <v>6561</v>
      </c>
    </row>
    <row r="1047" spans="1:13" x14ac:dyDescent="0.3">
      <c r="A1047" t="s">
        <v>6562</v>
      </c>
      <c r="B1047" t="s">
        <v>6563</v>
      </c>
      <c r="D1047" t="s">
        <v>2706</v>
      </c>
      <c r="E1047" t="s">
        <v>2707</v>
      </c>
      <c r="F1047" t="s">
        <v>950</v>
      </c>
      <c r="G1047" t="s">
        <v>1809</v>
      </c>
      <c r="H1047">
        <v>1704.15</v>
      </c>
      <c r="I1047" t="s">
        <v>2708</v>
      </c>
      <c r="M1047" s="14" t="s">
        <v>6564</v>
      </c>
    </row>
    <row r="1048" spans="1:13" x14ac:dyDescent="0.3">
      <c r="A1048" t="s">
        <v>6565</v>
      </c>
      <c r="B1048" t="s">
        <v>6566</v>
      </c>
      <c r="D1048" t="s">
        <v>2716</v>
      </c>
      <c r="E1048" t="s">
        <v>2717</v>
      </c>
      <c r="F1048" t="s">
        <v>950</v>
      </c>
      <c r="G1048" t="s">
        <v>1809</v>
      </c>
      <c r="H1048">
        <v>2593.5</v>
      </c>
      <c r="I1048" t="s">
        <v>2708</v>
      </c>
      <c r="M1048" s="14" t="s">
        <v>6567</v>
      </c>
    </row>
    <row r="1049" spans="1:13" x14ac:dyDescent="0.3">
      <c r="A1049" t="s">
        <v>6568</v>
      </c>
      <c r="B1049" t="s">
        <v>6569</v>
      </c>
      <c r="D1049" t="s">
        <v>2716</v>
      </c>
      <c r="E1049" t="s">
        <v>2717</v>
      </c>
      <c r="F1049" t="s">
        <v>950</v>
      </c>
      <c r="G1049" t="s">
        <v>1809</v>
      </c>
      <c r="H1049">
        <v>1620.15</v>
      </c>
      <c r="I1049" t="s">
        <v>2708</v>
      </c>
      <c r="M1049" s="14" t="s">
        <v>6570</v>
      </c>
    </row>
    <row r="1050" spans="1:13" x14ac:dyDescent="0.3">
      <c r="A1050" t="s">
        <v>6571</v>
      </c>
      <c r="B1050" t="s">
        <v>6572</v>
      </c>
      <c r="D1050" t="s">
        <v>2706</v>
      </c>
      <c r="E1050" t="s">
        <v>2707</v>
      </c>
      <c r="F1050" t="s">
        <v>950</v>
      </c>
      <c r="G1050" t="s">
        <v>1809</v>
      </c>
      <c r="H1050">
        <v>799.05</v>
      </c>
      <c r="I1050" t="s">
        <v>2708</v>
      </c>
      <c r="M1050" s="14" t="s">
        <v>6573</v>
      </c>
    </row>
    <row r="1051" spans="1:13" x14ac:dyDescent="0.3">
      <c r="A1051" t="s">
        <v>6574</v>
      </c>
      <c r="B1051" t="s">
        <v>6575</v>
      </c>
      <c r="D1051" t="s">
        <v>2716</v>
      </c>
      <c r="E1051" t="s">
        <v>2717</v>
      </c>
      <c r="F1051" t="s">
        <v>950</v>
      </c>
      <c r="G1051" t="s">
        <v>1809</v>
      </c>
      <c r="H1051">
        <v>563.85</v>
      </c>
      <c r="I1051" t="s">
        <v>2708</v>
      </c>
      <c r="M1051" s="14" t="s">
        <v>6576</v>
      </c>
    </row>
    <row r="1052" spans="1:13" x14ac:dyDescent="0.3">
      <c r="A1052" t="s">
        <v>6577</v>
      </c>
      <c r="B1052" t="s">
        <v>6578</v>
      </c>
      <c r="D1052" t="s">
        <v>2716</v>
      </c>
      <c r="E1052" t="s">
        <v>2717</v>
      </c>
      <c r="F1052" t="s">
        <v>950</v>
      </c>
      <c r="G1052" t="s">
        <v>1809</v>
      </c>
      <c r="H1052">
        <v>641.54999999999995</v>
      </c>
      <c r="I1052" t="s">
        <v>2708</v>
      </c>
      <c r="M1052" s="14" t="s">
        <v>6579</v>
      </c>
    </row>
    <row r="1053" spans="1:13" x14ac:dyDescent="0.3">
      <c r="A1053" t="s">
        <v>6580</v>
      </c>
      <c r="B1053" t="s">
        <v>6581</v>
      </c>
      <c r="D1053" t="s">
        <v>2706</v>
      </c>
      <c r="E1053" t="s">
        <v>2707</v>
      </c>
      <c r="F1053" t="s">
        <v>950</v>
      </c>
      <c r="G1053" t="s">
        <v>1809</v>
      </c>
      <c r="H1053">
        <v>1018.5</v>
      </c>
      <c r="I1053" t="s">
        <v>2708</v>
      </c>
      <c r="M1053" s="14" t="s">
        <v>6582</v>
      </c>
    </row>
    <row r="1054" spans="1:13" x14ac:dyDescent="0.3">
      <c r="A1054" t="s">
        <v>6583</v>
      </c>
      <c r="B1054" t="s">
        <v>6584</v>
      </c>
      <c r="D1054" t="s">
        <v>2716</v>
      </c>
      <c r="E1054" t="s">
        <v>2717</v>
      </c>
      <c r="F1054" t="s">
        <v>950</v>
      </c>
      <c r="G1054" t="s">
        <v>1809</v>
      </c>
      <c r="H1054">
        <v>616.35</v>
      </c>
      <c r="I1054" t="s">
        <v>2708</v>
      </c>
      <c r="M1054" s="14" t="s">
        <v>6585</v>
      </c>
    </row>
    <row r="1055" spans="1:13" x14ac:dyDescent="0.3">
      <c r="A1055" t="s">
        <v>6586</v>
      </c>
      <c r="B1055" t="s">
        <v>6587</v>
      </c>
      <c r="D1055" t="s">
        <v>2716</v>
      </c>
      <c r="E1055" t="s">
        <v>2717</v>
      </c>
      <c r="F1055" t="s">
        <v>950</v>
      </c>
      <c r="G1055" t="s">
        <v>1809</v>
      </c>
      <c r="H1055">
        <v>893.55</v>
      </c>
      <c r="I1055" t="s">
        <v>2708</v>
      </c>
      <c r="M1055" s="14" t="s">
        <v>6588</v>
      </c>
    </row>
    <row r="1056" spans="1:13" x14ac:dyDescent="0.3">
      <c r="A1056" t="s">
        <v>6589</v>
      </c>
      <c r="B1056" t="s">
        <v>6590</v>
      </c>
      <c r="D1056" t="s">
        <v>2706</v>
      </c>
      <c r="E1056" t="s">
        <v>2707</v>
      </c>
      <c r="F1056" t="s">
        <v>950</v>
      </c>
      <c r="G1056" t="s">
        <v>1809</v>
      </c>
      <c r="H1056">
        <v>796.95</v>
      </c>
      <c r="I1056" t="s">
        <v>2708</v>
      </c>
      <c r="M1056" s="14" t="s">
        <v>6591</v>
      </c>
    </row>
    <row r="1057" spans="1:13" x14ac:dyDescent="0.3">
      <c r="A1057" t="s">
        <v>6592</v>
      </c>
      <c r="B1057" t="s">
        <v>6593</v>
      </c>
      <c r="D1057" t="s">
        <v>2716</v>
      </c>
      <c r="E1057" t="s">
        <v>2717</v>
      </c>
      <c r="F1057" t="s">
        <v>950</v>
      </c>
      <c r="G1057" t="s">
        <v>1809</v>
      </c>
      <c r="H1057">
        <v>1267.3499999999999</v>
      </c>
      <c r="I1057" t="s">
        <v>2708</v>
      </c>
      <c r="M1057" s="14" t="s">
        <v>6594</v>
      </c>
    </row>
    <row r="1058" spans="1:13" x14ac:dyDescent="0.3">
      <c r="A1058" t="s">
        <v>6595</v>
      </c>
      <c r="B1058" t="s">
        <v>6596</v>
      </c>
      <c r="D1058" t="s">
        <v>2716</v>
      </c>
      <c r="E1058" t="s">
        <v>2717</v>
      </c>
      <c r="F1058" t="s">
        <v>950</v>
      </c>
      <c r="G1058" t="s">
        <v>1809</v>
      </c>
      <c r="H1058">
        <v>807.45</v>
      </c>
      <c r="I1058" t="s">
        <v>2708</v>
      </c>
      <c r="M1058" s="14" t="s">
        <v>6597</v>
      </c>
    </row>
    <row r="1059" spans="1:13" x14ac:dyDescent="0.3">
      <c r="A1059" t="s">
        <v>6598</v>
      </c>
      <c r="B1059" t="s">
        <v>6599</v>
      </c>
      <c r="D1059" t="s">
        <v>2706</v>
      </c>
      <c r="E1059" t="s">
        <v>2707</v>
      </c>
      <c r="F1059" t="s">
        <v>950</v>
      </c>
      <c r="G1059" t="s">
        <v>1809</v>
      </c>
      <c r="H1059">
        <v>796.95</v>
      </c>
      <c r="I1059" t="s">
        <v>2708</v>
      </c>
      <c r="M1059" s="14" t="s">
        <v>6600</v>
      </c>
    </row>
    <row r="1060" spans="1:13" x14ac:dyDescent="0.3">
      <c r="A1060" t="s">
        <v>6601</v>
      </c>
      <c r="B1060" t="s">
        <v>6602</v>
      </c>
      <c r="D1060" t="s">
        <v>2716</v>
      </c>
      <c r="E1060" t="s">
        <v>2717</v>
      </c>
      <c r="F1060" t="s">
        <v>950</v>
      </c>
      <c r="G1060" t="s">
        <v>1809</v>
      </c>
      <c r="H1060">
        <v>1267.3499999999999</v>
      </c>
      <c r="I1060" t="s">
        <v>2708</v>
      </c>
      <c r="M1060" s="14" t="s">
        <v>6603</v>
      </c>
    </row>
    <row r="1061" spans="1:13" x14ac:dyDescent="0.3">
      <c r="A1061" t="s">
        <v>6604</v>
      </c>
      <c r="B1061" t="s">
        <v>6605</v>
      </c>
      <c r="D1061" t="s">
        <v>2716</v>
      </c>
      <c r="E1061" t="s">
        <v>2717</v>
      </c>
      <c r="F1061" t="s">
        <v>950</v>
      </c>
      <c r="G1061" t="s">
        <v>1809</v>
      </c>
      <c r="H1061">
        <v>807.45</v>
      </c>
      <c r="I1061" t="s">
        <v>2708</v>
      </c>
      <c r="M1061" s="14" t="s">
        <v>6606</v>
      </c>
    </row>
    <row r="1062" spans="1:13" x14ac:dyDescent="0.3">
      <c r="A1062" t="s">
        <v>6607</v>
      </c>
      <c r="B1062" t="s">
        <v>6608</v>
      </c>
      <c r="D1062" t="s">
        <v>2706</v>
      </c>
      <c r="E1062" t="s">
        <v>2707</v>
      </c>
      <c r="F1062" t="s">
        <v>950</v>
      </c>
      <c r="G1062" t="s">
        <v>1809</v>
      </c>
      <c r="H1062">
        <v>1077.3</v>
      </c>
      <c r="I1062" t="s">
        <v>2708</v>
      </c>
      <c r="M1062" s="14" t="s">
        <v>6609</v>
      </c>
    </row>
    <row r="1063" spans="1:13" x14ac:dyDescent="0.3">
      <c r="A1063" t="s">
        <v>6610</v>
      </c>
      <c r="B1063" t="s">
        <v>6611</v>
      </c>
      <c r="D1063" t="s">
        <v>2716</v>
      </c>
      <c r="E1063" t="s">
        <v>2717</v>
      </c>
      <c r="F1063" t="s">
        <v>950</v>
      </c>
      <c r="G1063" t="s">
        <v>1809</v>
      </c>
      <c r="H1063">
        <v>1909.95</v>
      </c>
      <c r="I1063" t="s">
        <v>2708</v>
      </c>
      <c r="M1063" s="14" t="s">
        <v>6612</v>
      </c>
    </row>
    <row r="1064" spans="1:13" x14ac:dyDescent="0.3">
      <c r="A1064" t="s">
        <v>6613</v>
      </c>
      <c r="B1064" t="s">
        <v>6614</v>
      </c>
      <c r="D1064" t="s">
        <v>2716</v>
      </c>
      <c r="E1064" t="s">
        <v>2717</v>
      </c>
      <c r="F1064" t="s">
        <v>950</v>
      </c>
      <c r="G1064" t="s">
        <v>1809</v>
      </c>
      <c r="H1064">
        <v>1117.2</v>
      </c>
      <c r="I1064" t="s">
        <v>2708</v>
      </c>
      <c r="M1064" s="14" t="s">
        <v>6615</v>
      </c>
    </row>
    <row r="1065" spans="1:13" x14ac:dyDescent="0.3">
      <c r="A1065" t="s">
        <v>6616</v>
      </c>
      <c r="B1065" t="s">
        <v>6617</v>
      </c>
      <c r="D1065" t="s">
        <v>2706</v>
      </c>
      <c r="E1065" t="s">
        <v>2707</v>
      </c>
      <c r="F1065" t="s">
        <v>950</v>
      </c>
      <c r="G1065" t="s">
        <v>1809</v>
      </c>
      <c r="H1065">
        <v>1218</v>
      </c>
      <c r="I1065" t="s">
        <v>2708</v>
      </c>
      <c r="M1065" s="14" t="s">
        <v>6618</v>
      </c>
    </row>
    <row r="1066" spans="1:13" x14ac:dyDescent="0.3">
      <c r="A1066" t="s">
        <v>6619</v>
      </c>
      <c r="B1066" t="s">
        <v>6620</v>
      </c>
      <c r="D1066" t="s">
        <v>2716</v>
      </c>
      <c r="E1066" t="s">
        <v>2717</v>
      </c>
      <c r="F1066" t="s">
        <v>950</v>
      </c>
      <c r="G1066" t="s">
        <v>1809</v>
      </c>
      <c r="H1066">
        <v>2104.1999999999998</v>
      </c>
      <c r="I1066" t="s">
        <v>2708</v>
      </c>
      <c r="M1066" s="14" t="s">
        <v>6621</v>
      </c>
    </row>
    <row r="1067" spans="1:13" x14ac:dyDescent="0.3">
      <c r="A1067" t="s">
        <v>6622</v>
      </c>
      <c r="B1067" t="s">
        <v>6623</v>
      </c>
      <c r="D1067" t="s">
        <v>2716</v>
      </c>
      <c r="E1067" t="s">
        <v>2717</v>
      </c>
      <c r="F1067" t="s">
        <v>950</v>
      </c>
      <c r="G1067" t="s">
        <v>1809</v>
      </c>
      <c r="H1067">
        <v>1275.75</v>
      </c>
      <c r="I1067" t="s">
        <v>2708</v>
      </c>
      <c r="M1067" s="14" t="s">
        <v>6624</v>
      </c>
    </row>
    <row r="1068" spans="1:13" x14ac:dyDescent="0.3">
      <c r="A1068" t="s">
        <v>6625</v>
      </c>
      <c r="B1068" t="s">
        <v>6626</v>
      </c>
      <c r="D1068" t="s">
        <v>2706</v>
      </c>
      <c r="E1068" t="s">
        <v>2707</v>
      </c>
      <c r="F1068" t="s">
        <v>950</v>
      </c>
      <c r="G1068" t="s">
        <v>1809</v>
      </c>
      <c r="H1068">
        <v>1417.5</v>
      </c>
      <c r="I1068" t="s">
        <v>2708</v>
      </c>
      <c r="M1068" s="14" t="s">
        <v>6627</v>
      </c>
    </row>
    <row r="1069" spans="1:13" x14ac:dyDescent="0.3">
      <c r="A1069" t="s">
        <v>6628</v>
      </c>
      <c r="B1069" t="s">
        <v>6629</v>
      </c>
      <c r="D1069" t="s">
        <v>2716</v>
      </c>
      <c r="E1069" t="s">
        <v>2717</v>
      </c>
      <c r="F1069" t="s">
        <v>950</v>
      </c>
      <c r="G1069" t="s">
        <v>1809</v>
      </c>
      <c r="H1069">
        <v>2641.8</v>
      </c>
      <c r="I1069" t="s">
        <v>2708</v>
      </c>
      <c r="M1069" s="14" t="s">
        <v>6630</v>
      </c>
    </row>
    <row r="1070" spans="1:13" x14ac:dyDescent="0.3">
      <c r="A1070" t="s">
        <v>6631</v>
      </c>
      <c r="B1070" t="s">
        <v>6632</v>
      </c>
      <c r="D1070" t="s">
        <v>2716</v>
      </c>
      <c r="E1070" t="s">
        <v>2717</v>
      </c>
      <c r="F1070" t="s">
        <v>950</v>
      </c>
      <c r="G1070" t="s">
        <v>1809</v>
      </c>
      <c r="H1070">
        <v>1631.7</v>
      </c>
      <c r="I1070" t="s">
        <v>2708</v>
      </c>
      <c r="M1070" s="14" t="s">
        <v>6633</v>
      </c>
    </row>
    <row r="1071" spans="1:13" x14ac:dyDescent="0.3">
      <c r="A1071" t="s">
        <v>6634</v>
      </c>
      <c r="B1071" t="s">
        <v>6635</v>
      </c>
      <c r="D1071" t="s">
        <v>2706</v>
      </c>
      <c r="E1071" t="s">
        <v>2707</v>
      </c>
      <c r="F1071" t="s">
        <v>950</v>
      </c>
      <c r="G1071" t="s">
        <v>1809</v>
      </c>
      <c r="H1071">
        <v>661.5</v>
      </c>
      <c r="I1071" t="s">
        <v>2708</v>
      </c>
      <c r="M1071" s="14" t="s">
        <v>6636</v>
      </c>
    </row>
    <row r="1072" spans="1:13" x14ac:dyDescent="0.3">
      <c r="A1072" t="s">
        <v>6637</v>
      </c>
      <c r="B1072" t="s">
        <v>6638</v>
      </c>
      <c r="D1072" t="s">
        <v>2706</v>
      </c>
      <c r="E1072" t="s">
        <v>2707</v>
      </c>
      <c r="F1072" t="s">
        <v>950</v>
      </c>
      <c r="G1072" t="s">
        <v>1809</v>
      </c>
      <c r="H1072">
        <v>966</v>
      </c>
      <c r="I1072" t="s">
        <v>2708</v>
      </c>
      <c r="M1072" s="14" t="s">
        <v>6639</v>
      </c>
    </row>
    <row r="1073" spans="1:13" x14ac:dyDescent="0.3">
      <c r="A1073" t="s">
        <v>6640</v>
      </c>
      <c r="B1073" t="s">
        <v>6641</v>
      </c>
      <c r="D1073" t="s">
        <v>2706</v>
      </c>
      <c r="E1073" t="s">
        <v>2707</v>
      </c>
      <c r="F1073" t="s">
        <v>950</v>
      </c>
      <c r="G1073" t="s">
        <v>1809</v>
      </c>
      <c r="H1073">
        <v>1207.5</v>
      </c>
      <c r="I1073" t="s">
        <v>2708</v>
      </c>
      <c r="M1073" s="14" t="s">
        <v>6642</v>
      </c>
    </row>
    <row r="1074" spans="1:13" x14ac:dyDescent="0.3">
      <c r="A1074" t="s">
        <v>6643</v>
      </c>
      <c r="B1074" t="s">
        <v>6644</v>
      </c>
      <c r="D1074" t="s">
        <v>2706</v>
      </c>
      <c r="E1074" t="s">
        <v>2707</v>
      </c>
      <c r="F1074" t="s">
        <v>950</v>
      </c>
      <c r="G1074" t="s">
        <v>1809</v>
      </c>
      <c r="H1074">
        <v>1530.9</v>
      </c>
      <c r="I1074" t="s">
        <v>2708</v>
      </c>
      <c r="M1074" s="14" t="s">
        <v>6645</v>
      </c>
    </row>
    <row r="1075" spans="1:13" x14ac:dyDescent="0.3">
      <c r="A1075" t="s">
        <v>6646</v>
      </c>
      <c r="B1075" t="s">
        <v>6647</v>
      </c>
      <c r="D1075" t="s">
        <v>2706</v>
      </c>
      <c r="E1075" t="s">
        <v>2707</v>
      </c>
      <c r="F1075" t="s">
        <v>950</v>
      </c>
      <c r="G1075" t="s">
        <v>1809</v>
      </c>
      <c r="H1075">
        <v>1834.35</v>
      </c>
      <c r="I1075" t="s">
        <v>2708</v>
      </c>
      <c r="M1075" s="14" t="s">
        <v>6648</v>
      </c>
    </row>
    <row r="1076" spans="1:13" x14ac:dyDescent="0.3">
      <c r="A1076" t="s">
        <v>6649</v>
      </c>
      <c r="B1076" t="s">
        <v>6650</v>
      </c>
      <c r="D1076" t="s">
        <v>2706</v>
      </c>
      <c r="E1076" t="s">
        <v>2707</v>
      </c>
      <c r="F1076" t="s">
        <v>950</v>
      </c>
      <c r="G1076" t="s">
        <v>1809</v>
      </c>
      <c r="H1076">
        <v>1340.85</v>
      </c>
      <c r="I1076" t="s">
        <v>2708</v>
      </c>
      <c r="M1076" s="14" t="s">
        <v>6651</v>
      </c>
    </row>
    <row r="1077" spans="1:13" x14ac:dyDescent="0.3">
      <c r="A1077" t="s">
        <v>6652</v>
      </c>
      <c r="B1077" t="s">
        <v>6653</v>
      </c>
      <c r="D1077" t="s">
        <v>2716</v>
      </c>
      <c r="E1077" t="s">
        <v>2717</v>
      </c>
      <c r="F1077" t="s">
        <v>950</v>
      </c>
      <c r="G1077" t="s">
        <v>1809</v>
      </c>
      <c r="H1077">
        <v>1101.45</v>
      </c>
      <c r="I1077" t="s">
        <v>2708</v>
      </c>
      <c r="M1077" s="14" t="s">
        <v>6654</v>
      </c>
    </row>
    <row r="1078" spans="1:13" x14ac:dyDescent="0.3">
      <c r="A1078" t="s">
        <v>6655</v>
      </c>
      <c r="B1078" t="s">
        <v>6656</v>
      </c>
      <c r="D1078" t="s">
        <v>2716</v>
      </c>
      <c r="E1078" t="s">
        <v>2717</v>
      </c>
      <c r="F1078" t="s">
        <v>950</v>
      </c>
      <c r="G1078" t="s">
        <v>1809</v>
      </c>
      <c r="H1078">
        <v>1165.5</v>
      </c>
      <c r="I1078" t="s">
        <v>2708</v>
      </c>
      <c r="M1078" s="14" t="s">
        <v>6657</v>
      </c>
    </row>
    <row r="1079" spans="1:13" x14ac:dyDescent="0.3">
      <c r="A1079" t="s">
        <v>6658</v>
      </c>
      <c r="B1079" t="s">
        <v>6659</v>
      </c>
      <c r="D1079" t="s">
        <v>2716</v>
      </c>
      <c r="E1079" t="s">
        <v>2717</v>
      </c>
      <c r="F1079" t="s">
        <v>950</v>
      </c>
      <c r="G1079" t="s">
        <v>1809</v>
      </c>
      <c r="H1079">
        <v>1276.8</v>
      </c>
      <c r="I1079" t="s">
        <v>2708</v>
      </c>
      <c r="M1079" s="14" t="s">
        <v>6660</v>
      </c>
    </row>
    <row r="1080" spans="1:13" x14ac:dyDescent="0.3">
      <c r="A1080" t="s">
        <v>6661</v>
      </c>
      <c r="B1080" t="s">
        <v>6662</v>
      </c>
      <c r="D1080" t="s">
        <v>2716</v>
      </c>
      <c r="E1080" t="s">
        <v>2717</v>
      </c>
      <c r="F1080" t="s">
        <v>950</v>
      </c>
      <c r="G1080" t="s">
        <v>1809</v>
      </c>
      <c r="H1080">
        <v>2243.85</v>
      </c>
      <c r="I1080" t="s">
        <v>2708</v>
      </c>
      <c r="M1080" s="14" t="s">
        <v>6663</v>
      </c>
    </row>
    <row r="1081" spans="1:13" x14ac:dyDescent="0.3">
      <c r="A1081" t="s">
        <v>6664</v>
      </c>
      <c r="B1081" t="s">
        <v>6665</v>
      </c>
      <c r="D1081" t="s">
        <v>2716</v>
      </c>
      <c r="E1081" t="s">
        <v>2717</v>
      </c>
      <c r="F1081" t="s">
        <v>950</v>
      </c>
      <c r="G1081" t="s">
        <v>1809</v>
      </c>
      <c r="H1081">
        <v>2308.9499999999998</v>
      </c>
      <c r="I1081" t="s">
        <v>2708</v>
      </c>
      <c r="M1081" s="14" t="s">
        <v>6666</v>
      </c>
    </row>
    <row r="1082" spans="1:13" x14ac:dyDescent="0.3">
      <c r="A1082" t="s">
        <v>6667</v>
      </c>
      <c r="B1082" t="s">
        <v>6668</v>
      </c>
      <c r="D1082" t="s">
        <v>2706</v>
      </c>
      <c r="E1082" t="s">
        <v>2707</v>
      </c>
      <c r="F1082" t="s">
        <v>950</v>
      </c>
      <c r="G1082" t="s">
        <v>1809</v>
      </c>
      <c r="H1082">
        <v>324.45</v>
      </c>
      <c r="I1082" t="s">
        <v>2708</v>
      </c>
      <c r="M1082" s="14" t="s">
        <v>6669</v>
      </c>
    </row>
    <row r="1083" spans="1:13" x14ac:dyDescent="0.3">
      <c r="A1083" t="s">
        <v>6670</v>
      </c>
      <c r="B1083" t="s">
        <v>6671</v>
      </c>
      <c r="D1083" t="s">
        <v>2706</v>
      </c>
      <c r="E1083" t="s">
        <v>2707</v>
      </c>
      <c r="F1083" t="s">
        <v>950</v>
      </c>
      <c r="G1083" t="s">
        <v>1809</v>
      </c>
      <c r="H1083">
        <v>330.75</v>
      </c>
      <c r="I1083" t="s">
        <v>2708</v>
      </c>
      <c r="M1083" s="14" t="s">
        <v>6672</v>
      </c>
    </row>
    <row r="1084" spans="1:13" x14ac:dyDescent="0.3">
      <c r="A1084" t="s">
        <v>6673</v>
      </c>
      <c r="B1084" t="s">
        <v>6674</v>
      </c>
      <c r="D1084" t="s">
        <v>2706</v>
      </c>
      <c r="E1084" t="s">
        <v>2707</v>
      </c>
      <c r="F1084" t="s">
        <v>950</v>
      </c>
      <c r="G1084" t="s">
        <v>1809</v>
      </c>
      <c r="H1084">
        <v>385.35</v>
      </c>
      <c r="I1084" t="s">
        <v>2708</v>
      </c>
      <c r="M1084" s="14" t="s">
        <v>6675</v>
      </c>
    </row>
    <row r="1085" spans="1:13" x14ac:dyDescent="0.3">
      <c r="A1085" t="s">
        <v>6676</v>
      </c>
      <c r="B1085" t="s">
        <v>6677</v>
      </c>
      <c r="D1085" t="s">
        <v>2706</v>
      </c>
      <c r="E1085" t="s">
        <v>2707</v>
      </c>
      <c r="F1085" t="s">
        <v>950</v>
      </c>
      <c r="G1085" t="s">
        <v>1809</v>
      </c>
      <c r="H1085">
        <v>426.3</v>
      </c>
      <c r="I1085" t="s">
        <v>2708</v>
      </c>
      <c r="M1085" s="14" t="s">
        <v>6678</v>
      </c>
    </row>
    <row r="1086" spans="1:13" x14ac:dyDescent="0.3">
      <c r="A1086" t="s">
        <v>6679</v>
      </c>
      <c r="B1086" t="s">
        <v>6680</v>
      </c>
      <c r="D1086" t="s">
        <v>2716</v>
      </c>
      <c r="E1086" t="s">
        <v>2717</v>
      </c>
      <c r="F1086" t="s">
        <v>950</v>
      </c>
      <c r="G1086" t="s">
        <v>1809</v>
      </c>
      <c r="H1086">
        <v>309.75</v>
      </c>
      <c r="I1086" t="s">
        <v>2708</v>
      </c>
      <c r="M1086" s="14" t="s">
        <v>6681</v>
      </c>
    </row>
    <row r="1087" spans="1:13" x14ac:dyDescent="0.3">
      <c r="A1087" t="s">
        <v>6682</v>
      </c>
      <c r="B1087" t="s">
        <v>6683</v>
      </c>
      <c r="D1087" t="s">
        <v>2716</v>
      </c>
      <c r="E1087" t="s">
        <v>2717</v>
      </c>
      <c r="F1087" t="s">
        <v>950</v>
      </c>
      <c r="G1087" t="s">
        <v>1809</v>
      </c>
      <c r="H1087">
        <v>339.15</v>
      </c>
      <c r="I1087" t="s">
        <v>2708</v>
      </c>
      <c r="M1087" s="14" t="s">
        <v>6684</v>
      </c>
    </row>
    <row r="1088" spans="1:13" x14ac:dyDescent="0.3">
      <c r="A1088" t="s">
        <v>6685</v>
      </c>
      <c r="B1088" t="s">
        <v>6686</v>
      </c>
      <c r="D1088" t="s">
        <v>2716</v>
      </c>
      <c r="E1088" t="s">
        <v>2717</v>
      </c>
      <c r="F1088" t="s">
        <v>950</v>
      </c>
      <c r="G1088" t="s">
        <v>1809</v>
      </c>
      <c r="H1088">
        <v>393.75</v>
      </c>
      <c r="I1088" t="s">
        <v>2708</v>
      </c>
      <c r="M1088" s="14" t="s">
        <v>6687</v>
      </c>
    </row>
    <row r="1089" spans="1:13" x14ac:dyDescent="0.3">
      <c r="A1089" t="s">
        <v>6688</v>
      </c>
      <c r="B1089" t="s">
        <v>6689</v>
      </c>
      <c r="D1089" t="s">
        <v>2716</v>
      </c>
      <c r="E1089" t="s">
        <v>2717</v>
      </c>
      <c r="F1089" t="s">
        <v>950</v>
      </c>
      <c r="G1089" t="s">
        <v>1809</v>
      </c>
      <c r="H1089">
        <v>423.15</v>
      </c>
      <c r="I1089" t="s">
        <v>2708</v>
      </c>
      <c r="M1089" s="14" t="s">
        <v>6690</v>
      </c>
    </row>
    <row r="1090" spans="1:13" x14ac:dyDescent="0.3">
      <c r="A1090" t="s">
        <v>6691</v>
      </c>
      <c r="B1090" t="s">
        <v>6692</v>
      </c>
      <c r="D1090" t="s">
        <v>2706</v>
      </c>
      <c r="E1090" t="s">
        <v>2707</v>
      </c>
      <c r="F1090" t="s">
        <v>950</v>
      </c>
      <c r="G1090" t="s">
        <v>1809</v>
      </c>
      <c r="H1090">
        <v>333.9</v>
      </c>
      <c r="I1090" t="s">
        <v>2708</v>
      </c>
      <c r="M1090" s="14" t="s">
        <v>6693</v>
      </c>
    </row>
    <row r="1091" spans="1:13" x14ac:dyDescent="0.3">
      <c r="A1091" t="s">
        <v>6694</v>
      </c>
      <c r="B1091" t="s">
        <v>6692</v>
      </c>
      <c r="D1091" t="s">
        <v>2706</v>
      </c>
      <c r="E1091" t="s">
        <v>2707</v>
      </c>
      <c r="F1091" t="s">
        <v>950</v>
      </c>
      <c r="G1091" t="s">
        <v>1809</v>
      </c>
      <c r="H1091">
        <v>333.9</v>
      </c>
      <c r="I1091" t="s">
        <v>2708</v>
      </c>
      <c r="M1091" s="14" t="s">
        <v>6695</v>
      </c>
    </row>
    <row r="1092" spans="1:13" x14ac:dyDescent="0.3">
      <c r="A1092" t="s">
        <v>6696</v>
      </c>
      <c r="B1092" t="s">
        <v>6692</v>
      </c>
      <c r="D1092" t="s">
        <v>2706</v>
      </c>
      <c r="E1092" t="s">
        <v>2707</v>
      </c>
      <c r="F1092" t="s">
        <v>950</v>
      </c>
      <c r="G1092" t="s">
        <v>1809</v>
      </c>
      <c r="H1092">
        <v>333.9</v>
      </c>
      <c r="I1092" t="s">
        <v>2708</v>
      </c>
      <c r="M1092" s="14" t="s">
        <v>6697</v>
      </c>
    </row>
    <row r="1093" spans="1:13" x14ac:dyDescent="0.3">
      <c r="A1093" t="s">
        <v>6698</v>
      </c>
      <c r="B1093" t="s">
        <v>6699</v>
      </c>
      <c r="D1093" t="s">
        <v>2706</v>
      </c>
      <c r="E1093" t="s">
        <v>2707</v>
      </c>
      <c r="F1093" t="s">
        <v>950</v>
      </c>
      <c r="G1093" t="s">
        <v>1809</v>
      </c>
      <c r="H1093">
        <v>345.45</v>
      </c>
      <c r="I1093" t="s">
        <v>2708</v>
      </c>
      <c r="M1093" s="14" t="s">
        <v>6700</v>
      </c>
    </row>
    <row r="1094" spans="1:13" x14ac:dyDescent="0.3">
      <c r="A1094" t="s">
        <v>6701</v>
      </c>
      <c r="B1094" t="s">
        <v>6702</v>
      </c>
      <c r="D1094" t="s">
        <v>2706</v>
      </c>
      <c r="E1094" t="s">
        <v>2707</v>
      </c>
      <c r="F1094" t="s">
        <v>950</v>
      </c>
      <c r="G1094" t="s">
        <v>1809</v>
      </c>
      <c r="H1094">
        <v>354.9</v>
      </c>
      <c r="I1094" t="s">
        <v>2708</v>
      </c>
      <c r="M1094" s="14" t="s">
        <v>6703</v>
      </c>
    </row>
    <row r="1095" spans="1:13" x14ac:dyDescent="0.3">
      <c r="A1095" t="s">
        <v>6704</v>
      </c>
      <c r="B1095" t="s">
        <v>6705</v>
      </c>
      <c r="D1095" t="s">
        <v>2706</v>
      </c>
      <c r="E1095" t="s">
        <v>2707</v>
      </c>
      <c r="F1095" t="s">
        <v>950</v>
      </c>
      <c r="G1095" t="s">
        <v>1809</v>
      </c>
      <c r="H1095">
        <v>498.75</v>
      </c>
      <c r="I1095" t="s">
        <v>2708</v>
      </c>
      <c r="M1095" s="14" t="s">
        <v>6706</v>
      </c>
    </row>
    <row r="1096" spans="1:13" x14ac:dyDescent="0.3">
      <c r="A1096" t="s">
        <v>6707</v>
      </c>
      <c r="B1096" t="s">
        <v>6708</v>
      </c>
      <c r="D1096" t="s">
        <v>2716</v>
      </c>
      <c r="E1096" t="s">
        <v>2717</v>
      </c>
      <c r="F1096" t="s">
        <v>950</v>
      </c>
      <c r="G1096" t="s">
        <v>1809</v>
      </c>
      <c r="H1096">
        <v>337.05</v>
      </c>
      <c r="I1096" t="s">
        <v>2708</v>
      </c>
      <c r="M1096" s="14" t="s">
        <v>6709</v>
      </c>
    </row>
    <row r="1097" spans="1:13" x14ac:dyDescent="0.3">
      <c r="A1097" t="s">
        <v>6710</v>
      </c>
      <c r="B1097" t="s">
        <v>6708</v>
      </c>
      <c r="D1097" t="s">
        <v>2716</v>
      </c>
      <c r="E1097" t="s">
        <v>2717</v>
      </c>
      <c r="F1097" t="s">
        <v>950</v>
      </c>
      <c r="G1097" t="s">
        <v>1809</v>
      </c>
      <c r="H1097">
        <v>337.05</v>
      </c>
      <c r="I1097" t="s">
        <v>2708</v>
      </c>
      <c r="M1097" s="14" t="s">
        <v>6711</v>
      </c>
    </row>
    <row r="1098" spans="1:13" x14ac:dyDescent="0.3">
      <c r="A1098" t="s">
        <v>6712</v>
      </c>
      <c r="B1098" t="s">
        <v>6713</v>
      </c>
      <c r="D1098" t="s">
        <v>2716</v>
      </c>
      <c r="E1098" t="s">
        <v>2717</v>
      </c>
      <c r="F1098" t="s">
        <v>950</v>
      </c>
      <c r="G1098" t="s">
        <v>1809</v>
      </c>
      <c r="H1098">
        <v>345.45</v>
      </c>
      <c r="I1098" t="s">
        <v>2708</v>
      </c>
      <c r="M1098" s="14" t="s">
        <v>6714</v>
      </c>
    </row>
    <row r="1099" spans="1:13" x14ac:dyDescent="0.3">
      <c r="A1099" t="s">
        <v>6715</v>
      </c>
      <c r="B1099" t="s">
        <v>6716</v>
      </c>
      <c r="D1099" t="s">
        <v>2716</v>
      </c>
      <c r="E1099" t="s">
        <v>2717</v>
      </c>
      <c r="F1099" t="s">
        <v>950</v>
      </c>
      <c r="G1099" t="s">
        <v>1809</v>
      </c>
      <c r="H1099">
        <v>355.95</v>
      </c>
      <c r="I1099" t="s">
        <v>2708</v>
      </c>
      <c r="M1099" s="14" t="s">
        <v>6717</v>
      </c>
    </row>
    <row r="1100" spans="1:13" x14ac:dyDescent="0.3">
      <c r="A1100" t="s">
        <v>6718</v>
      </c>
      <c r="B1100" t="s">
        <v>6719</v>
      </c>
      <c r="D1100" t="s">
        <v>2716</v>
      </c>
      <c r="E1100" t="s">
        <v>2717</v>
      </c>
      <c r="F1100" t="s">
        <v>950</v>
      </c>
      <c r="G1100" t="s">
        <v>1809</v>
      </c>
      <c r="H1100">
        <v>395.85</v>
      </c>
      <c r="I1100" t="s">
        <v>2708</v>
      </c>
      <c r="M1100" s="14" t="s">
        <v>6720</v>
      </c>
    </row>
    <row r="1101" spans="1:13" x14ac:dyDescent="0.3">
      <c r="A1101" t="s">
        <v>6721</v>
      </c>
      <c r="B1101" t="s">
        <v>6722</v>
      </c>
      <c r="D1101" t="s">
        <v>2706</v>
      </c>
      <c r="E1101" t="s">
        <v>2707</v>
      </c>
      <c r="F1101" t="s">
        <v>950</v>
      </c>
      <c r="G1101" t="s">
        <v>1809</v>
      </c>
      <c r="H1101">
        <v>428.4</v>
      </c>
      <c r="I1101" t="s">
        <v>2708</v>
      </c>
      <c r="M1101" s="14" t="s">
        <v>6723</v>
      </c>
    </row>
    <row r="1102" spans="1:13" x14ac:dyDescent="0.3">
      <c r="A1102" t="s">
        <v>6724</v>
      </c>
      <c r="B1102" t="s">
        <v>6722</v>
      </c>
      <c r="D1102" t="s">
        <v>2706</v>
      </c>
      <c r="E1102" t="s">
        <v>2707</v>
      </c>
      <c r="F1102" t="s">
        <v>950</v>
      </c>
      <c r="G1102" t="s">
        <v>1809</v>
      </c>
      <c r="H1102">
        <v>428.4</v>
      </c>
      <c r="I1102" t="s">
        <v>2708</v>
      </c>
      <c r="M1102" s="14" t="s">
        <v>6725</v>
      </c>
    </row>
    <row r="1103" spans="1:13" x14ac:dyDescent="0.3">
      <c r="A1103" t="s">
        <v>6726</v>
      </c>
      <c r="B1103" t="s">
        <v>6727</v>
      </c>
      <c r="D1103" t="s">
        <v>2706</v>
      </c>
      <c r="E1103" t="s">
        <v>2707</v>
      </c>
      <c r="F1103" t="s">
        <v>950</v>
      </c>
      <c r="G1103" t="s">
        <v>1809</v>
      </c>
      <c r="H1103">
        <v>451.5</v>
      </c>
      <c r="I1103" t="s">
        <v>2708</v>
      </c>
      <c r="M1103" s="14" t="s">
        <v>6728</v>
      </c>
    </row>
    <row r="1104" spans="1:13" x14ac:dyDescent="0.3">
      <c r="A1104" t="s">
        <v>6729</v>
      </c>
      <c r="B1104" t="s">
        <v>6730</v>
      </c>
      <c r="D1104" t="s">
        <v>2706</v>
      </c>
      <c r="E1104" t="s">
        <v>2707</v>
      </c>
      <c r="F1104" t="s">
        <v>950</v>
      </c>
      <c r="G1104" t="s">
        <v>1809</v>
      </c>
      <c r="H1104">
        <v>501.9</v>
      </c>
      <c r="I1104" t="s">
        <v>2708</v>
      </c>
      <c r="M1104" s="14" t="s">
        <v>6731</v>
      </c>
    </row>
    <row r="1105" spans="1:13" x14ac:dyDescent="0.3">
      <c r="A1105" t="s">
        <v>6732</v>
      </c>
      <c r="B1105" t="s">
        <v>6733</v>
      </c>
      <c r="D1105" t="s">
        <v>2706</v>
      </c>
      <c r="E1105" t="s">
        <v>2707</v>
      </c>
      <c r="F1105" t="s">
        <v>950</v>
      </c>
      <c r="G1105" t="s">
        <v>1809</v>
      </c>
      <c r="H1105">
        <v>163.80000000000001</v>
      </c>
      <c r="I1105" t="s">
        <v>2708</v>
      </c>
      <c r="M1105" s="14" t="s">
        <v>6734</v>
      </c>
    </row>
    <row r="1106" spans="1:13" x14ac:dyDescent="0.3">
      <c r="A1106" t="s">
        <v>6735</v>
      </c>
      <c r="B1106" t="s">
        <v>6733</v>
      </c>
      <c r="D1106" t="s">
        <v>2706</v>
      </c>
      <c r="E1106" t="s">
        <v>2707</v>
      </c>
      <c r="F1106" t="s">
        <v>950</v>
      </c>
      <c r="G1106" t="s">
        <v>1809</v>
      </c>
      <c r="H1106">
        <v>163.80000000000001</v>
      </c>
      <c r="I1106" t="s">
        <v>2708</v>
      </c>
      <c r="M1106" s="14" t="s">
        <v>6736</v>
      </c>
    </row>
    <row r="1107" spans="1:13" x14ac:dyDescent="0.3">
      <c r="A1107" t="s">
        <v>6737</v>
      </c>
      <c r="B1107" t="s">
        <v>6738</v>
      </c>
      <c r="D1107" t="s">
        <v>2706</v>
      </c>
      <c r="E1107" t="s">
        <v>2707</v>
      </c>
      <c r="F1107" t="s">
        <v>950</v>
      </c>
      <c r="G1107" t="s">
        <v>1809</v>
      </c>
      <c r="H1107">
        <v>172.2</v>
      </c>
      <c r="I1107" t="s">
        <v>2708</v>
      </c>
      <c r="M1107" s="14" t="s">
        <v>6739</v>
      </c>
    </row>
    <row r="1108" spans="1:13" x14ac:dyDescent="0.3">
      <c r="A1108" t="s">
        <v>6740</v>
      </c>
      <c r="B1108" t="s">
        <v>6741</v>
      </c>
      <c r="D1108" t="s">
        <v>2706</v>
      </c>
      <c r="E1108" t="s">
        <v>2707</v>
      </c>
      <c r="F1108" t="s">
        <v>950</v>
      </c>
      <c r="G1108" t="s">
        <v>1809</v>
      </c>
      <c r="H1108">
        <v>184.8</v>
      </c>
      <c r="I1108" t="s">
        <v>2708</v>
      </c>
      <c r="M1108" s="14" t="s">
        <v>6742</v>
      </c>
    </row>
    <row r="1109" spans="1:13" x14ac:dyDescent="0.3">
      <c r="A1109" t="s">
        <v>6743</v>
      </c>
      <c r="B1109" t="s">
        <v>6744</v>
      </c>
      <c r="D1109" t="s">
        <v>2706</v>
      </c>
      <c r="E1109" t="s">
        <v>2707</v>
      </c>
      <c r="F1109" t="s">
        <v>950</v>
      </c>
      <c r="G1109" t="s">
        <v>1809</v>
      </c>
      <c r="H1109">
        <v>221.55</v>
      </c>
      <c r="I1109" t="s">
        <v>2708</v>
      </c>
      <c r="M1109" s="14" t="s">
        <v>6745</v>
      </c>
    </row>
    <row r="1110" spans="1:13" x14ac:dyDescent="0.3">
      <c r="A1110" t="s">
        <v>6746</v>
      </c>
      <c r="B1110" t="s">
        <v>6747</v>
      </c>
      <c r="D1110" t="s">
        <v>2706</v>
      </c>
      <c r="E1110" t="s">
        <v>2707</v>
      </c>
      <c r="F1110" t="s">
        <v>950</v>
      </c>
      <c r="G1110" t="s">
        <v>1809</v>
      </c>
      <c r="H1110">
        <v>289.8</v>
      </c>
      <c r="I1110" t="s">
        <v>2708</v>
      </c>
      <c r="M1110" s="14" t="s">
        <v>6748</v>
      </c>
    </row>
    <row r="1111" spans="1:13" x14ac:dyDescent="0.3">
      <c r="A1111" t="s">
        <v>6749</v>
      </c>
      <c r="B1111" t="s">
        <v>6750</v>
      </c>
      <c r="D1111" t="s">
        <v>2716</v>
      </c>
      <c r="E1111" t="s">
        <v>2717</v>
      </c>
      <c r="F1111" t="s">
        <v>950</v>
      </c>
      <c r="G1111" t="s">
        <v>1809</v>
      </c>
      <c r="H1111">
        <v>129.15</v>
      </c>
      <c r="I1111" t="s">
        <v>2708</v>
      </c>
      <c r="M1111" s="14" t="s">
        <v>6751</v>
      </c>
    </row>
    <row r="1112" spans="1:13" x14ac:dyDescent="0.3">
      <c r="A1112" t="s">
        <v>6752</v>
      </c>
      <c r="B1112" t="s">
        <v>6753</v>
      </c>
      <c r="D1112" t="s">
        <v>2716</v>
      </c>
      <c r="E1112" t="s">
        <v>2717</v>
      </c>
      <c r="F1112" t="s">
        <v>950</v>
      </c>
      <c r="G1112" t="s">
        <v>1809</v>
      </c>
      <c r="H1112">
        <v>142.80000000000001</v>
      </c>
      <c r="I1112" t="s">
        <v>2708</v>
      </c>
      <c r="M1112" s="14" t="s">
        <v>6754</v>
      </c>
    </row>
    <row r="1113" spans="1:13" x14ac:dyDescent="0.3">
      <c r="A1113" t="s">
        <v>6755</v>
      </c>
      <c r="B1113" t="s">
        <v>6756</v>
      </c>
      <c r="D1113" t="s">
        <v>2716</v>
      </c>
      <c r="E1113" t="s">
        <v>2717</v>
      </c>
      <c r="F1113" t="s">
        <v>950</v>
      </c>
      <c r="G1113" t="s">
        <v>1809</v>
      </c>
      <c r="H1113">
        <v>172.2</v>
      </c>
      <c r="I1113" t="s">
        <v>2708</v>
      </c>
      <c r="M1113" s="14" t="s">
        <v>6757</v>
      </c>
    </row>
    <row r="1114" spans="1:13" x14ac:dyDescent="0.3">
      <c r="A1114" t="s">
        <v>6758</v>
      </c>
      <c r="B1114" t="s">
        <v>6759</v>
      </c>
      <c r="D1114" t="s">
        <v>2716</v>
      </c>
      <c r="E1114" t="s">
        <v>2717</v>
      </c>
      <c r="F1114" t="s">
        <v>950</v>
      </c>
      <c r="G1114" t="s">
        <v>1809</v>
      </c>
      <c r="H1114">
        <v>237.3</v>
      </c>
      <c r="I1114" t="s">
        <v>2708</v>
      </c>
      <c r="M1114" s="14" t="s">
        <v>6760</v>
      </c>
    </row>
    <row r="1115" spans="1:13" x14ac:dyDescent="0.3">
      <c r="A1115" t="s">
        <v>6761</v>
      </c>
      <c r="B1115" t="s">
        <v>6762</v>
      </c>
      <c r="D1115" t="s">
        <v>2716</v>
      </c>
      <c r="E1115" t="s">
        <v>2717</v>
      </c>
      <c r="F1115" t="s">
        <v>950</v>
      </c>
      <c r="G1115" t="s">
        <v>1809</v>
      </c>
      <c r="H1115">
        <v>285.60000000000002</v>
      </c>
      <c r="I1115" t="s">
        <v>2708</v>
      </c>
      <c r="M1115" s="14" t="s">
        <v>6763</v>
      </c>
    </row>
    <row r="1116" spans="1:13" x14ac:dyDescent="0.3">
      <c r="A1116" t="s">
        <v>6764</v>
      </c>
      <c r="B1116" t="s">
        <v>6762</v>
      </c>
      <c r="D1116" t="s">
        <v>2716</v>
      </c>
      <c r="E1116" t="s">
        <v>2717</v>
      </c>
      <c r="F1116" t="s">
        <v>950</v>
      </c>
      <c r="G1116" t="s">
        <v>1809</v>
      </c>
      <c r="H1116">
        <v>285.60000000000002</v>
      </c>
      <c r="I1116" t="s">
        <v>2708</v>
      </c>
      <c r="M1116" s="14" t="s">
        <v>6765</v>
      </c>
    </row>
    <row r="1117" spans="1:13" x14ac:dyDescent="0.3">
      <c r="A1117" t="s">
        <v>6766</v>
      </c>
      <c r="B1117" t="s">
        <v>6767</v>
      </c>
      <c r="D1117" t="s">
        <v>2706</v>
      </c>
      <c r="E1117" t="s">
        <v>2707</v>
      </c>
      <c r="F1117" t="s">
        <v>950</v>
      </c>
      <c r="G1117" t="s">
        <v>1809</v>
      </c>
      <c r="H1117">
        <v>687.75</v>
      </c>
      <c r="I1117" t="s">
        <v>2708</v>
      </c>
      <c r="M1117" s="14" t="s">
        <v>6768</v>
      </c>
    </row>
    <row r="1118" spans="1:13" x14ac:dyDescent="0.3">
      <c r="A1118" t="s">
        <v>6769</v>
      </c>
      <c r="B1118" t="s">
        <v>6770</v>
      </c>
      <c r="D1118" t="s">
        <v>2716</v>
      </c>
      <c r="E1118" t="s">
        <v>2717</v>
      </c>
      <c r="F1118" t="s">
        <v>950</v>
      </c>
      <c r="G1118" t="s">
        <v>1809</v>
      </c>
      <c r="H1118">
        <v>954.45</v>
      </c>
      <c r="I1118" t="s">
        <v>2708</v>
      </c>
      <c r="M1118" s="14" t="s">
        <v>6771</v>
      </c>
    </row>
    <row r="1119" spans="1:13" x14ac:dyDescent="0.3">
      <c r="A1119" t="s">
        <v>6772</v>
      </c>
      <c r="B1119" t="s">
        <v>6773</v>
      </c>
      <c r="D1119" t="s">
        <v>2706</v>
      </c>
      <c r="E1119" t="s">
        <v>2707</v>
      </c>
      <c r="F1119" t="s">
        <v>950</v>
      </c>
      <c r="G1119" t="s">
        <v>1809</v>
      </c>
      <c r="H1119">
        <v>805.35</v>
      </c>
      <c r="I1119" t="s">
        <v>2708</v>
      </c>
      <c r="M1119" s="14" t="s">
        <v>6774</v>
      </c>
    </row>
    <row r="1120" spans="1:13" x14ac:dyDescent="0.3">
      <c r="A1120" t="s">
        <v>6775</v>
      </c>
      <c r="B1120" t="s">
        <v>6776</v>
      </c>
      <c r="D1120" t="s">
        <v>2716</v>
      </c>
      <c r="E1120" t="s">
        <v>2717</v>
      </c>
      <c r="F1120" t="s">
        <v>950</v>
      </c>
      <c r="G1120" t="s">
        <v>1809</v>
      </c>
      <c r="H1120">
        <v>1223.25</v>
      </c>
      <c r="I1120" t="s">
        <v>2708</v>
      </c>
      <c r="M1120" s="14" t="s">
        <v>6777</v>
      </c>
    </row>
    <row r="1121" spans="1:13" x14ac:dyDescent="0.3">
      <c r="A1121" t="s">
        <v>6778</v>
      </c>
      <c r="B1121" t="s">
        <v>6779</v>
      </c>
      <c r="D1121" t="s">
        <v>2716</v>
      </c>
      <c r="E1121" t="s">
        <v>2717</v>
      </c>
      <c r="F1121" t="s">
        <v>950</v>
      </c>
      <c r="G1121" t="s">
        <v>1809</v>
      </c>
      <c r="H1121">
        <v>785.4</v>
      </c>
      <c r="I1121" t="s">
        <v>2708</v>
      </c>
      <c r="M1121" s="14" t="s">
        <v>6780</v>
      </c>
    </row>
    <row r="1122" spans="1:13" x14ac:dyDescent="0.3">
      <c r="A1122" t="s">
        <v>6781</v>
      </c>
      <c r="B1122" t="s">
        <v>6782</v>
      </c>
      <c r="D1122" t="s">
        <v>2706</v>
      </c>
      <c r="E1122" t="s">
        <v>2707</v>
      </c>
      <c r="F1122" t="s">
        <v>950</v>
      </c>
      <c r="G1122" t="s">
        <v>1809</v>
      </c>
      <c r="H1122">
        <v>1088.8499999999999</v>
      </c>
      <c r="I1122" t="s">
        <v>2708</v>
      </c>
      <c r="M1122" s="14" t="s">
        <v>6783</v>
      </c>
    </row>
    <row r="1123" spans="1:13" x14ac:dyDescent="0.3">
      <c r="A1123" t="s">
        <v>6784</v>
      </c>
      <c r="B1123" t="s">
        <v>6785</v>
      </c>
      <c r="D1123" t="s">
        <v>2716</v>
      </c>
      <c r="E1123" t="s">
        <v>2717</v>
      </c>
      <c r="F1123" t="s">
        <v>950</v>
      </c>
      <c r="G1123" t="s">
        <v>1809</v>
      </c>
      <c r="H1123">
        <v>1872.15</v>
      </c>
      <c r="I1123" t="s">
        <v>2708</v>
      </c>
      <c r="M1123" s="14" t="s">
        <v>6786</v>
      </c>
    </row>
    <row r="1124" spans="1:13" x14ac:dyDescent="0.3">
      <c r="A1124" t="s">
        <v>6787</v>
      </c>
      <c r="B1124" t="s">
        <v>6788</v>
      </c>
      <c r="D1124" t="s">
        <v>2716</v>
      </c>
      <c r="E1124" t="s">
        <v>2717</v>
      </c>
      <c r="F1124" t="s">
        <v>950</v>
      </c>
      <c r="G1124" t="s">
        <v>1809</v>
      </c>
      <c r="H1124">
        <v>1132.95</v>
      </c>
      <c r="I1124" t="s">
        <v>2708</v>
      </c>
      <c r="M1124" s="14" t="s">
        <v>6789</v>
      </c>
    </row>
    <row r="1125" spans="1:13" x14ac:dyDescent="0.3">
      <c r="A1125" t="s">
        <v>6790</v>
      </c>
      <c r="B1125" t="s">
        <v>6791</v>
      </c>
      <c r="D1125" t="s">
        <v>2706</v>
      </c>
      <c r="E1125" t="s">
        <v>2707</v>
      </c>
      <c r="F1125" t="s">
        <v>950</v>
      </c>
      <c r="G1125" t="s">
        <v>1809</v>
      </c>
      <c r="H1125">
        <v>1320.9</v>
      </c>
      <c r="I1125" t="s">
        <v>2708</v>
      </c>
      <c r="M1125" s="14" t="s">
        <v>6792</v>
      </c>
    </row>
    <row r="1126" spans="1:13" x14ac:dyDescent="0.3">
      <c r="A1126" t="s">
        <v>6793</v>
      </c>
      <c r="B1126" t="s">
        <v>6794</v>
      </c>
      <c r="D1126" t="s">
        <v>2716</v>
      </c>
      <c r="E1126" t="s">
        <v>2717</v>
      </c>
      <c r="F1126" t="s">
        <v>950</v>
      </c>
      <c r="G1126" t="s">
        <v>1809</v>
      </c>
      <c r="H1126">
        <v>2035.95</v>
      </c>
      <c r="I1126" t="s">
        <v>2708</v>
      </c>
      <c r="M1126" s="14" t="s">
        <v>6795</v>
      </c>
    </row>
    <row r="1127" spans="1:13" x14ac:dyDescent="0.3">
      <c r="A1127" t="s">
        <v>6796</v>
      </c>
      <c r="B1127" t="s">
        <v>6797</v>
      </c>
      <c r="D1127" t="s">
        <v>2716</v>
      </c>
      <c r="E1127" t="s">
        <v>2717</v>
      </c>
      <c r="F1127" t="s">
        <v>950</v>
      </c>
      <c r="G1127" t="s">
        <v>1809</v>
      </c>
      <c r="H1127">
        <v>1378.65</v>
      </c>
      <c r="I1127" t="s">
        <v>2708</v>
      </c>
      <c r="M1127" s="14" t="s">
        <v>6798</v>
      </c>
    </row>
    <row r="1128" spans="1:13" x14ac:dyDescent="0.3">
      <c r="A1128" t="s">
        <v>6799</v>
      </c>
      <c r="B1128" t="s">
        <v>6800</v>
      </c>
      <c r="D1128" t="s">
        <v>2706</v>
      </c>
      <c r="E1128" t="s">
        <v>2707</v>
      </c>
      <c r="F1128" t="s">
        <v>950</v>
      </c>
      <c r="G1128" t="s">
        <v>1809</v>
      </c>
      <c r="H1128">
        <v>1454.25</v>
      </c>
      <c r="I1128" t="s">
        <v>2708</v>
      </c>
      <c r="M1128" s="14" t="s">
        <v>6801</v>
      </c>
    </row>
    <row r="1129" spans="1:13" x14ac:dyDescent="0.3">
      <c r="A1129" t="s">
        <v>6802</v>
      </c>
      <c r="B1129" t="s">
        <v>6803</v>
      </c>
      <c r="D1129" t="s">
        <v>2716</v>
      </c>
      <c r="E1129" t="s">
        <v>2717</v>
      </c>
      <c r="F1129" t="s">
        <v>950</v>
      </c>
      <c r="G1129" t="s">
        <v>1809</v>
      </c>
      <c r="H1129">
        <v>2596.65</v>
      </c>
      <c r="I1129" t="s">
        <v>2708</v>
      </c>
      <c r="M1129" s="14" t="s">
        <v>6804</v>
      </c>
    </row>
    <row r="1130" spans="1:13" x14ac:dyDescent="0.3">
      <c r="A1130" t="s">
        <v>6805</v>
      </c>
      <c r="B1130" t="s">
        <v>6806</v>
      </c>
      <c r="D1130" t="s">
        <v>2716</v>
      </c>
      <c r="E1130" t="s">
        <v>2717</v>
      </c>
      <c r="F1130" t="s">
        <v>950</v>
      </c>
      <c r="G1130" t="s">
        <v>1809</v>
      </c>
      <c r="H1130">
        <v>1580.25</v>
      </c>
      <c r="I1130" t="s">
        <v>2708</v>
      </c>
      <c r="M1130" s="14" t="s">
        <v>6807</v>
      </c>
    </row>
    <row r="1131" spans="1:13" x14ac:dyDescent="0.3">
      <c r="A1131" t="s">
        <v>6808</v>
      </c>
      <c r="B1131" t="s">
        <v>6809</v>
      </c>
      <c r="D1131" t="s">
        <v>2706</v>
      </c>
      <c r="E1131" t="s">
        <v>2707</v>
      </c>
      <c r="F1131" t="s">
        <v>950</v>
      </c>
      <c r="G1131" t="s">
        <v>1809</v>
      </c>
      <c r="H1131">
        <v>381.15</v>
      </c>
      <c r="I1131" t="s">
        <v>2708</v>
      </c>
      <c r="M1131" s="14" t="s">
        <v>6810</v>
      </c>
    </row>
    <row r="1132" spans="1:13" x14ac:dyDescent="0.3">
      <c r="A1132" t="s">
        <v>6811</v>
      </c>
      <c r="B1132" t="s">
        <v>6812</v>
      </c>
      <c r="D1132" t="s">
        <v>2706</v>
      </c>
      <c r="E1132" t="s">
        <v>2707</v>
      </c>
      <c r="F1132" t="s">
        <v>950</v>
      </c>
      <c r="G1132" t="s">
        <v>1809</v>
      </c>
      <c r="H1132">
        <v>306.60000000000002</v>
      </c>
      <c r="I1132" t="s">
        <v>2708</v>
      </c>
      <c r="M1132" s="14" t="s">
        <v>6813</v>
      </c>
    </row>
    <row r="1133" spans="1:13" x14ac:dyDescent="0.3">
      <c r="A1133" t="s">
        <v>6814</v>
      </c>
      <c r="B1133" t="s">
        <v>6815</v>
      </c>
      <c r="D1133" t="s">
        <v>2716</v>
      </c>
      <c r="E1133" t="s">
        <v>2717</v>
      </c>
      <c r="F1133" t="s">
        <v>950</v>
      </c>
      <c r="G1133" t="s">
        <v>1809</v>
      </c>
      <c r="H1133">
        <v>328.65</v>
      </c>
      <c r="I1133" t="s">
        <v>2708</v>
      </c>
      <c r="M1133" s="14" t="s">
        <v>6816</v>
      </c>
    </row>
    <row r="1134" spans="1:13" x14ac:dyDescent="0.3">
      <c r="A1134" t="s">
        <v>6817</v>
      </c>
      <c r="B1134" t="s">
        <v>6818</v>
      </c>
      <c r="D1134" t="s">
        <v>2716</v>
      </c>
      <c r="E1134" t="s">
        <v>2717</v>
      </c>
      <c r="F1134" t="s">
        <v>950</v>
      </c>
      <c r="G1134" t="s">
        <v>1809</v>
      </c>
      <c r="H1134">
        <v>447.3</v>
      </c>
      <c r="I1134" t="s">
        <v>2708</v>
      </c>
      <c r="M1134" s="14" t="s">
        <v>6819</v>
      </c>
    </row>
    <row r="1135" spans="1:13" x14ac:dyDescent="0.3">
      <c r="A1135" t="s">
        <v>6820</v>
      </c>
      <c r="B1135" t="s">
        <v>6821</v>
      </c>
      <c r="D1135" t="s">
        <v>2706</v>
      </c>
      <c r="E1135" t="s">
        <v>2707</v>
      </c>
      <c r="F1135" t="s">
        <v>950</v>
      </c>
      <c r="G1135" t="s">
        <v>1809</v>
      </c>
      <c r="H1135">
        <v>583.79999999999995</v>
      </c>
      <c r="I1135" t="s">
        <v>2708</v>
      </c>
      <c r="M1135" s="14" t="s">
        <v>6822</v>
      </c>
    </row>
    <row r="1136" spans="1:13" x14ac:dyDescent="0.3">
      <c r="A1136" t="s">
        <v>6823</v>
      </c>
      <c r="B1136" t="s">
        <v>6824</v>
      </c>
      <c r="D1136" t="s">
        <v>2706</v>
      </c>
      <c r="E1136" t="s">
        <v>2707</v>
      </c>
      <c r="F1136" t="s">
        <v>950</v>
      </c>
      <c r="G1136" t="s">
        <v>1809</v>
      </c>
      <c r="H1136">
        <v>501.9</v>
      </c>
      <c r="I1136" t="s">
        <v>2708</v>
      </c>
      <c r="M1136" s="14" t="s">
        <v>6825</v>
      </c>
    </row>
    <row r="1137" spans="1:13" x14ac:dyDescent="0.3">
      <c r="A1137" t="s">
        <v>6826</v>
      </c>
      <c r="B1137" t="s">
        <v>6827</v>
      </c>
      <c r="D1137" t="s">
        <v>2716</v>
      </c>
      <c r="E1137" t="s">
        <v>2717</v>
      </c>
      <c r="F1137" t="s">
        <v>950</v>
      </c>
      <c r="G1137" t="s">
        <v>1809</v>
      </c>
      <c r="H1137">
        <v>522.9</v>
      </c>
      <c r="I1137" t="s">
        <v>2708</v>
      </c>
      <c r="M1137" s="14" t="s">
        <v>6828</v>
      </c>
    </row>
    <row r="1138" spans="1:13" x14ac:dyDescent="0.3">
      <c r="A1138" t="s">
        <v>6829</v>
      </c>
      <c r="B1138" t="s">
        <v>6830</v>
      </c>
      <c r="D1138" t="s">
        <v>2716</v>
      </c>
      <c r="E1138" t="s">
        <v>2717</v>
      </c>
      <c r="F1138" t="s">
        <v>950</v>
      </c>
      <c r="G1138" t="s">
        <v>1809</v>
      </c>
      <c r="H1138">
        <v>743.4</v>
      </c>
      <c r="I1138" t="s">
        <v>2708</v>
      </c>
      <c r="M1138" s="14" t="s">
        <v>6831</v>
      </c>
    </row>
    <row r="1139" spans="1:13" x14ac:dyDescent="0.3">
      <c r="A1139" t="s">
        <v>6832</v>
      </c>
      <c r="B1139" t="s">
        <v>6833</v>
      </c>
      <c r="D1139" t="s">
        <v>2706</v>
      </c>
      <c r="E1139" t="s">
        <v>2707</v>
      </c>
      <c r="F1139" t="s">
        <v>950</v>
      </c>
      <c r="G1139" t="s">
        <v>1809</v>
      </c>
      <c r="H1139">
        <v>730.8</v>
      </c>
      <c r="I1139" t="s">
        <v>2708</v>
      </c>
      <c r="M1139" s="14" t="s">
        <v>6834</v>
      </c>
    </row>
    <row r="1140" spans="1:13" x14ac:dyDescent="0.3">
      <c r="A1140" t="s">
        <v>6835</v>
      </c>
      <c r="B1140" t="s">
        <v>6836</v>
      </c>
      <c r="D1140" t="s">
        <v>2706</v>
      </c>
      <c r="E1140" t="s">
        <v>2707</v>
      </c>
      <c r="F1140" t="s">
        <v>950</v>
      </c>
      <c r="G1140" t="s">
        <v>1809</v>
      </c>
      <c r="H1140">
        <v>1428</v>
      </c>
      <c r="I1140" t="s">
        <v>2708</v>
      </c>
      <c r="M1140" s="14" t="s">
        <v>6837</v>
      </c>
    </row>
    <row r="1141" spans="1:13" x14ac:dyDescent="0.3">
      <c r="A1141" t="s">
        <v>6838</v>
      </c>
      <c r="B1141" t="s">
        <v>6839</v>
      </c>
      <c r="D1141" t="s">
        <v>2706</v>
      </c>
      <c r="E1141" t="s">
        <v>2707</v>
      </c>
      <c r="F1141" t="s">
        <v>950</v>
      </c>
      <c r="G1141" t="s">
        <v>1809</v>
      </c>
      <c r="H1141">
        <v>666.75</v>
      </c>
      <c r="I1141" t="s">
        <v>2708</v>
      </c>
      <c r="M1141" s="14" t="s">
        <v>6840</v>
      </c>
    </row>
    <row r="1142" spans="1:13" x14ac:dyDescent="0.3">
      <c r="A1142" t="s">
        <v>6841</v>
      </c>
      <c r="B1142" t="s">
        <v>6842</v>
      </c>
      <c r="D1142" t="s">
        <v>2716</v>
      </c>
      <c r="E1142" t="s">
        <v>2717</v>
      </c>
      <c r="F1142" t="s">
        <v>950</v>
      </c>
      <c r="G1142" t="s">
        <v>1809</v>
      </c>
      <c r="H1142">
        <v>701.4</v>
      </c>
      <c r="I1142" t="s">
        <v>2708</v>
      </c>
      <c r="M1142" s="14" t="s">
        <v>6843</v>
      </c>
    </row>
    <row r="1143" spans="1:13" x14ac:dyDescent="0.3">
      <c r="A1143" t="s">
        <v>6844</v>
      </c>
      <c r="B1143" t="s">
        <v>6845</v>
      </c>
      <c r="D1143" t="s">
        <v>2716</v>
      </c>
      <c r="E1143" t="s">
        <v>2717</v>
      </c>
      <c r="F1143" t="s">
        <v>950</v>
      </c>
      <c r="G1143" t="s">
        <v>1809</v>
      </c>
      <c r="H1143">
        <v>903</v>
      </c>
      <c r="I1143" t="s">
        <v>2708</v>
      </c>
      <c r="M1143" s="14" t="s">
        <v>6846</v>
      </c>
    </row>
    <row r="1144" spans="1:13" x14ac:dyDescent="0.3">
      <c r="A1144" t="s">
        <v>6847</v>
      </c>
      <c r="B1144" t="s">
        <v>6848</v>
      </c>
      <c r="D1144" t="s">
        <v>2706</v>
      </c>
      <c r="E1144" t="s">
        <v>2707</v>
      </c>
      <c r="F1144" t="s">
        <v>950</v>
      </c>
      <c r="G1144" t="s">
        <v>1809</v>
      </c>
      <c r="H1144">
        <v>306.60000000000002</v>
      </c>
      <c r="I1144" t="s">
        <v>2708</v>
      </c>
      <c r="M1144" s="14" t="s">
        <v>6849</v>
      </c>
    </row>
    <row r="1145" spans="1:13" x14ac:dyDescent="0.3">
      <c r="A1145" t="s">
        <v>6850</v>
      </c>
      <c r="B1145" t="s">
        <v>6851</v>
      </c>
      <c r="D1145" t="s">
        <v>2706</v>
      </c>
      <c r="E1145" t="s">
        <v>2707</v>
      </c>
      <c r="F1145" t="s">
        <v>950</v>
      </c>
      <c r="G1145" t="s">
        <v>1809</v>
      </c>
      <c r="H1145">
        <v>219.45</v>
      </c>
      <c r="I1145" t="s">
        <v>2708</v>
      </c>
      <c r="M1145" s="14" t="s">
        <v>6852</v>
      </c>
    </row>
    <row r="1146" spans="1:13" x14ac:dyDescent="0.3">
      <c r="A1146" t="s">
        <v>6853</v>
      </c>
      <c r="B1146" t="s">
        <v>6854</v>
      </c>
      <c r="D1146" t="s">
        <v>2716</v>
      </c>
      <c r="E1146" t="s">
        <v>2717</v>
      </c>
      <c r="F1146" t="s">
        <v>950</v>
      </c>
      <c r="G1146" t="s">
        <v>1809</v>
      </c>
      <c r="H1146">
        <v>239.4</v>
      </c>
      <c r="I1146" t="s">
        <v>2708</v>
      </c>
      <c r="M1146" s="14" t="s">
        <v>6855</v>
      </c>
    </row>
    <row r="1147" spans="1:13" x14ac:dyDescent="0.3">
      <c r="A1147" t="s">
        <v>6856</v>
      </c>
      <c r="B1147" t="s">
        <v>6857</v>
      </c>
      <c r="D1147" t="s">
        <v>2716</v>
      </c>
      <c r="E1147" t="s">
        <v>2717</v>
      </c>
      <c r="F1147" t="s">
        <v>950</v>
      </c>
      <c r="G1147" t="s">
        <v>1809</v>
      </c>
      <c r="H1147">
        <v>343.35</v>
      </c>
      <c r="I1147" t="s">
        <v>2708</v>
      </c>
      <c r="M1147" s="14" t="s">
        <v>6858</v>
      </c>
    </row>
    <row r="1148" spans="1:13" x14ac:dyDescent="0.3">
      <c r="A1148" t="s">
        <v>6859</v>
      </c>
      <c r="B1148" t="s">
        <v>6860</v>
      </c>
      <c r="D1148" t="s">
        <v>2706</v>
      </c>
      <c r="E1148" t="s">
        <v>2707</v>
      </c>
      <c r="F1148" t="s">
        <v>950</v>
      </c>
      <c r="G1148" t="s">
        <v>1809</v>
      </c>
      <c r="H1148">
        <v>331.8</v>
      </c>
      <c r="I1148" t="s">
        <v>2708</v>
      </c>
      <c r="M1148" s="14" t="s">
        <v>6861</v>
      </c>
    </row>
    <row r="1149" spans="1:13" x14ac:dyDescent="0.3">
      <c r="A1149" t="s">
        <v>6862</v>
      </c>
      <c r="B1149" t="s">
        <v>6863</v>
      </c>
      <c r="D1149" t="s">
        <v>2706</v>
      </c>
      <c r="E1149" t="s">
        <v>2707</v>
      </c>
      <c r="F1149" t="s">
        <v>950</v>
      </c>
      <c r="G1149" t="s">
        <v>1809</v>
      </c>
      <c r="H1149">
        <v>242.55</v>
      </c>
      <c r="I1149" t="s">
        <v>2708</v>
      </c>
      <c r="M1149" s="14" t="s">
        <v>6864</v>
      </c>
    </row>
    <row r="1150" spans="1:13" x14ac:dyDescent="0.3">
      <c r="A1150" t="s">
        <v>6865</v>
      </c>
      <c r="B1150" t="s">
        <v>6866</v>
      </c>
      <c r="D1150" t="s">
        <v>2716</v>
      </c>
      <c r="E1150" t="s">
        <v>2717</v>
      </c>
      <c r="F1150" t="s">
        <v>950</v>
      </c>
      <c r="G1150" t="s">
        <v>1809</v>
      </c>
      <c r="H1150">
        <v>266.7</v>
      </c>
      <c r="I1150" t="s">
        <v>2708</v>
      </c>
      <c r="M1150" s="14" t="s">
        <v>6867</v>
      </c>
    </row>
    <row r="1151" spans="1:13" x14ac:dyDescent="0.3">
      <c r="A1151" t="s">
        <v>6868</v>
      </c>
      <c r="B1151" t="s">
        <v>6869</v>
      </c>
      <c r="D1151" t="s">
        <v>2716</v>
      </c>
      <c r="E1151" t="s">
        <v>2717</v>
      </c>
      <c r="F1151" t="s">
        <v>950</v>
      </c>
      <c r="G1151" t="s">
        <v>1809</v>
      </c>
      <c r="H1151">
        <v>362.25</v>
      </c>
      <c r="I1151" t="s">
        <v>2708</v>
      </c>
      <c r="M1151" s="14" t="s">
        <v>6870</v>
      </c>
    </row>
    <row r="1152" spans="1:13" x14ac:dyDescent="0.3">
      <c r="A1152" t="s">
        <v>6871</v>
      </c>
      <c r="B1152" t="s">
        <v>6872</v>
      </c>
      <c r="E1152" t="s">
        <v>4244</v>
      </c>
      <c r="F1152" t="s">
        <v>88</v>
      </c>
      <c r="G1152" t="s">
        <v>760</v>
      </c>
      <c r="H1152">
        <v>1524</v>
      </c>
      <c r="I1152" t="s">
        <v>3982</v>
      </c>
      <c r="J1152" t="s">
        <v>4245</v>
      </c>
      <c r="M1152" s="14" t="s">
        <v>6873</v>
      </c>
    </row>
    <row r="1153" spans="1:13" x14ac:dyDescent="0.3">
      <c r="A1153" t="s">
        <v>6874</v>
      </c>
      <c r="B1153" t="s">
        <v>6875</v>
      </c>
      <c r="C1153" t="s">
        <v>6876</v>
      </c>
      <c r="E1153" t="s">
        <v>4244</v>
      </c>
      <c r="F1153" t="s">
        <v>88</v>
      </c>
      <c r="G1153" t="s">
        <v>760</v>
      </c>
      <c r="H1153">
        <v>1054</v>
      </c>
      <c r="I1153" t="s">
        <v>3982</v>
      </c>
      <c r="J1153" t="s">
        <v>4245</v>
      </c>
      <c r="M1153" s="14" t="s">
        <v>6877</v>
      </c>
    </row>
    <row r="1154" spans="1:13" x14ac:dyDescent="0.3">
      <c r="A1154" t="s">
        <v>6878</v>
      </c>
      <c r="B1154" t="s">
        <v>6879</v>
      </c>
      <c r="C1154" t="s">
        <v>6880</v>
      </c>
      <c r="E1154" t="s">
        <v>4244</v>
      </c>
      <c r="F1154" t="s">
        <v>88</v>
      </c>
      <c r="G1154" t="s">
        <v>760</v>
      </c>
      <c r="H1154">
        <v>994</v>
      </c>
      <c r="I1154" t="s">
        <v>3982</v>
      </c>
      <c r="J1154" t="s">
        <v>4245</v>
      </c>
      <c r="M1154" s="14" t="s">
        <v>6881</v>
      </c>
    </row>
    <row r="1155" spans="1:13" x14ac:dyDescent="0.3">
      <c r="A1155" t="s">
        <v>6882</v>
      </c>
      <c r="B1155" t="s">
        <v>6883</v>
      </c>
      <c r="C1155" t="s">
        <v>6884</v>
      </c>
      <c r="D1155" t="s">
        <v>6885</v>
      </c>
      <c r="E1155" t="s">
        <v>6886</v>
      </c>
      <c r="F1155" t="s">
        <v>950</v>
      </c>
      <c r="G1155" t="s">
        <v>1461</v>
      </c>
      <c r="H1155">
        <v>4515</v>
      </c>
      <c r="I1155" t="s">
        <v>3982</v>
      </c>
      <c r="M1155" s="14" t="s">
        <v>6887</v>
      </c>
    </row>
    <row r="1156" spans="1:13" x14ac:dyDescent="0.3">
      <c r="A1156" t="s">
        <v>6888</v>
      </c>
      <c r="B1156" t="s">
        <v>6889</v>
      </c>
      <c r="C1156" t="s">
        <v>6890</v>
      </c>
      <c r="D1156" t="s">
        <v>6891</v>
      </c>
      <c r="E1156" t="s">
        <v>6886</v>
      </c>
      <c r="F1156" t="s">
        <v>950</v>
      </c>
      <c r="G1156" t="s">
        <v>1461</v>
      </c>
      <c r="H1156">
        <v>8284.5</v>
      </c>
      <c r="I1156" t="s">
        <v>3982</v>
      </c>
      <c r="M1156" s="14" t="s">
        <v>6892</v>
      </c>
    </row>
    <row r="1157" spans="1:13" x14ac:dyDescent="0.3">
      <c r="A1157" t="s">
        <v>6893</v>
      </c>
      <c r="B1157" t="s">
        <v>6894</v>
      </c>
      <c r="C1157" t="s">
        <v>6895</v>
      </c>
      <c r="D1157" t="s">
        <v>6885</v>
      </c>
      <c r="E1157" t="s">
        <v>6886</v>
      </c>
      <c r="F1157" t="s">
        <v>950</v>
      </c>
      <c r="G1157" t="s">
        <v>1461</v>
      </c>
      <c r="H1157">
        <v>13860</v>
      </c>
      <c r="I1157" t="s">
        <v>3982</v>
      </c>
      <c r="M1157" s="14" t="s">
        <v>6896</v>
      </c>
    </row>
    <row r="1158" spans="1:13" x14ac:dyDescent="0.3">
      <c r="A1158" t="s">
        <v>6897</v>
      </c>
      <c r="B1158" t="s">
        <v>6898</v>
      </c>
      <c r="C1158" t="s">
        <v>6899</v>
      </c>
      <c r="D1158" t="s">
        <v>6900</v>
      </c>
      <c r="E1158" t="s">
        <v>6886</v>
      </c>
      <c r="F1158" t="s">
        <v>950</v>
      </c>
      <c r="G1158" t="s">
        <v>1461</v>
      </c>
      <c r="H1158">
        <v>1029</v>
      </c>
      <c r="I1158" t="s">
        <v>3982</v>
      </c>
      <c r="M1158" s="14" t="s">
        <v>6901</v>
      </c>
    </row>
    <row r="1159" spans="1:13" x14ac:dyDescent="0.3">
      <c r="A1159" t="s">
        <v>6902</v>
      </c>
      <c r="B1159" t="s">
        <v>6903</v>
      </c>
      <c r="C1159" t="s">
        <v>6904</v>
      </c>
      <c r="D1159" t="s">
        <v>6905</v>
      </c>
      <c r="E1159" t="s">
        <v>6886</v>
      </c>
      <c r="F1159" t="s">
        <v>950</v>
      </c>
      <c r="G1159" t="s">
        <v>1461</v>
      </c>
      <c r="H1159">
        <v>17566.5</v>
      </c>
      <c r="I1159" t="s">
        <v>3982</v>
      </c>
      <c r="M1159" s="14" t="s">
        <v>6906</v>
      </c>
    </row>
    <row r="1160" spans="1:13" x14ac:dyDescent="0.3">
      <c r="A1160" t="s">
        <v>6907</v>
      </c>
      <c r="B1160" t="s">
        <v>6908</v>
      </c>
      <c r="C1160" t="s">
        <v>6909</v>
      </c>
      <c r="D1160" t="s">
        <v>6885</v>
      </c>
      <c r="E1160" t="s">
        <v>6886</v>
      </c>
      <c r="F1160" t="s">
        <v>950</v>
      </c>
      <c r="G1160" t="s">
        <v>1461</v>
      </c>
      <c r="H1160">
        <v>1911</v>
      </c>
      <c r="I1160" t="s">
        <v>3982</v>
      </c>
      <c r="M1160" s="14" t="s">
        <v>6910</v>
      </c>
    </row>
    <row r="1161" spans="1:13" x14ac:dyDescent="0.3">
      <c r="A1161" t="s">
        <v>6911</v>
      </c>
      <c r="B1161" t="s">
        <v>6912</v>
      </c>
      <c r="C1161" t="s">
        <v>6913</v>
      </c>
      <c r="D1161" t="s">
        <v>6914</v>
      </c>
      <c r="E1161" t="s">
        <v>6886</v>
      </c>
      <c r="F1161" t="s">
        <v>950</v>
      </c>
      <c r="G1161" t="s">
        <v>1461</v>
      </c>
      <c r="H1161">
        <v>27615</v>
      </c>
      <c r="I1161" t="s">
        <v>3982</v>
      </c>
      <c r="M1161" s="14" t="s">
        <v>6915</v>
      </c>
    </row>
    <row r="1162" spans="1:13" x14ac:dyDescent="0.3">
      <c r="A1162" t="s">
        <v>6916</v>
      </c>
      <c r="B1162" t="s">
        <v>6917</v>
      </c>
      <c r="C1162" t="s">
        <v>6918</v>
      </c>
      <c r="D1162" t="s">
        <v>6919</v>
      </c>
      <c r="E1162" t="s">
        <v>6886</v>
      </c>
      <c r="F1162" t="s">
        <v>950</v>
      </c>
      <c r="G1162" t="s">
        <v>1461</v>
      </c>
      <c r="H1162">
        <v>12096</v>
      </c>
      <c r="I1162" t="s">
        <v>3982</v>
      </c>
      <c r="M1162" s="14" t="s">
        <v>6920</v>
      </c>
    </row>
    <row r="1163" spans="1:13" x14ac:dyDescent="0.3">
      <c r="A1163" t="s">
        <v>6921</v>
      </c>
      <c r="B1163" t="s">
        <v>6922</v>
      </c>
      <c r="C1163" t="s">
        <v>6923</v>
      </c>
      <c r="D1163" t="s">
        <v>6924</v>
      </c>
      <c r="E1163" t="s">
        <v>6886</v>
      </c>
      <c r="F1163" t="s">
        <v>950</v>
      </c>
      <c r="G1163" t="s">
        <v>1461</v>
      </c>
      <c r="H1163">
        <v>9345</v>
      </c>
      <c r="I1163" t="s">
        <v>3982</v>
      </c>
      <c r="M1163" s="14" t="s">
        <v>6925</v>
      </c>
    </row>
    <row r="1164" spans="1:13" x14ac:dyDescent="0.3">
      <c r="A1164" t="s">
        <v>6926</v>
      </c>
      <c r="B1164" t="s">
        <v>6927</v>
      </c>
      <c r="C1164" t="s">
        <v>6928</v>
      </c>
      <c r="D1164" t="s">
        <v>6928</v>
      </c>
      <c r="E1164" t="s">
        <v>6886</v>
      </c>
      <c r="F1164" t="s">
        <v>950</v>
      </c>
      <c r="G1164" t="s">
        <v>1461</v>
      </c>
      <c r="H1164">
        <v>22963.5</v>
      </c>
      <c r="I1164" t="s">
        <v>3982</v>
      </c>
      <c r="M1164" s="14" t="s">
        <v>6929</v>
      </c>
    </row>
    <row r="1165" spans="1:13" x14ac:dyDescent="0.3">
      <c r="A1165" t="s">
        <v>6930</v>
      </c>
      <c r="B1165" t="s">
        <v>6931</v>
      </c>
      <c r="C1165" t="s">
        <v>6932</v>
      </c>
      <c r="D1165" t="s">
        <v>6933</v>
      </c>
      <c r="E1165" t="s">
        <v>6886</v>
      </c>
      <c r="F1165" t="s">
        <v>950</v>
      </c>
      <c r="G1165" t="s">
        <v>1461</v>
      </c>
      <c r="H1165">
        <v>4357.5</v>
      </c>
      <c r="I1165" t="s">
        <v>3982</v>
      </c>
      <c r="M1165" s="14" t="s">
        <v>6934</v>
      </c>
    </row>
    <row r="1166" spans="1:13" x14ac:dyDescent="0.3">
      <c r="A1166" t="s">
        <v>6935</v>
      </c>
      <c r="B1166" t="s">
        <v>6936</v>
      </c>
      <c r="C1166" t="s">
        <v>6937</v>
      </c>
      <c r="D1166" t="s">
        <v>6938</v>
      </c>
      <c r="E1166" t="s">
        <v>6886</v>
      </c>
      <c r="F1166" t="s">
        <v>950</v>
      </c>
      <c r="G1166" t="s">
        <v>1461</v>
      </c>
      <c r="H1166">
        <v>10909.5</v>
      </c>
      <c r="I1166" t="s">
        <v>3982</v>
      </c>
      <c r="M1166" s="14" t="s">
        <v>6939</v>
      </c>
    </row>
    <row r="1167" spans="1:13" x14ac:dyDescent="0.3">
      <c r="A1167" t="s">
        <v>6940</v>
      </c>
      <c r="B1167" t="s">
        <v>6941</v>
      </c>
      <c r="C1167" t="s">
        <v>6942</v>
      </c>
      <c r="D1167" t="s">
        <v>6943</v>
      </c>
      <c r="E1167" t="s">
        <v>6886</v>
      </c>
      <c r="F1167" t="s">
        <v>950</v>
      </c>
      <c r="G1167" t="s">
        <v>1461</v>
      </c>
      <c r="H1167">
        <v>7245</v>
      </c>
      <c r="I1167" t="s">
        <v>3982</v>
      </c>
      <c r="M1167" s="14" t="s">
        <v>6944</v>
      </c>
    </row>
    <row r="1168" spans="1:13" x14ac:dyDescent="0.3">
      <c r="A1168" t="s">
        <v>6945</v>
      </c>
      <c r="B1168" t="s">
        <v>6946</v>
      </c>
      <c r="C1168" t="s">
        <v>6947</v>
      </c>
      <c r="D1168" t="s">
        <v>6933</v>
      </c>
      <c r="E1168" t="s">
        <v>6886</v>
      </c>
      <c r="F1168" t="s">
        <v>950</v>
      </c>
      <c r="G1168" t="s">
        <v>1472</v>
      </c>
      <c r="H1168">
        <v>20580</v>
      </c>
      <c r="I1168" t="s">
        <v>3982</v>
      </c>
      <c r="M1168" s="14" t="s">
        <v>6948</v>
      </c>
    </row>
    <row r="1169" spans="1:13" x14ac:dyDescent="0.3">
      <c r="A1169" t="s">
        <v>6949</v>
      </c>
      <c r="B1169" t="s">
        <v>6950</v>
      </c>
      <c r="C1169" t="s">
        <v>6951</v>
      </c>
      <c r="D1169" t="s">
        <v>6900</v>
      </c>
      <c r="E1169" t="s">
        <v>6886</v>
      </c>
      <c r="F1169" t="s">
        <v>950</v>
      </c>
      <c r="G1169" t="s">
        <v>1472</v>
      </c>
      <c r="H1169">
        <v>1354.5</v>
      </c>
      <c r="I1169" t="s">
        <v>3982</v>
      </c>
      <c r="M1169" s="14" t="s">
        <v>6952</v>
      </c>
    </row>
    <row r="1170" spans="1:13" x14ac:dyDescent="0.3">
      <c r="A1170" t="s">
        <v>6953</v>
      </c>
      <c r="B1170" t="s">
        <v>6954</v>
      </c>
      <c r="C1170" t="s">
        <v>6955</v>
      </c>
      <c r="D1170" t="s">
        <v>6956</v>
      </c>
      <c r="E1170" t="s">
        <v>6886</v>
      </c>
      <c r="F1170" t="s">
        <v>950</v>
      </c>
      <c r="G1170" t="s">
        <v>1472</v>
      </c>
      <c r="H1170">
        <v>27499.5</v>
      </c>
      <c r="I1170" t="s">
        <v>3982</v>
      </c>
      <c r="M1170" s="14" t="s">
        <v>6957</v>
      </c>
    </row>
    <row r="1171" spans="1:13" x14ac:dyDescent="0.3">
      <c r="A1171" t="s">
        <v>6958</v>
      </c>
      <c r="B1171" t="s">
        <v>6959</v>
      </c>
      <c r="C1171" t="s">
        <v>6960</v>
      </c>
      <c r="D1171" t="s">
        <v>6961</v>
      </c>
      <c r="E1171" t="s">
        <v>6886</v>
      </c>
      <c r="F1171" t="s">
        <v>950</v>
      </c>
      <c r="G1171" t="s">
        <v>1472</v>
      </c>
      <c r="H1171">
        <v>3223.5</v>
      </c>
      <c r="I1171" t="s">
        <v>3982</v>
      </c>
      <c r="M1171" s="14" t="s">
        <v>6962</v>
      </c>
    </row>
    <row r="1172" spans="1:13" x14ac:dyDescent="0.3">
      <c r="A1172" t="s">
        <v>6963</v>
      </c>
      <c r="B1172" t="s">
        <v>6964</v>
      </c>
      <c r="C1172" t="s">
        <v>6965</v>
      </c>
      <c r="D1172" t="s">
        <v>6966</v>
      </c>
      <c r="E1172" t="s">
        <v>6886</v>
      </c>
      <c r="F1172" t="s">
        <v>950</v>
      </c>
      <c r="G1172" t="s">
        <v>1472</v>
      </c>
      <c r="H1172">
        <v>430.5</v>
      </c>
      <c r="I1172" t="s">
        <v>3982</v>
      </c>
      <c r="M1172" s="14" t="s">
        <v>6967</v>
      </c>
    </row>
    <row r="1173" spans="1:13" x14ac:dyDescent="0.3">
      <c r="A1173" t="s">
        <v>6968</v>
      </c>
      <c r="B1173" t="s">
        <v>6969</v>
      </c>
      <c r="C1173" t="s">
        <v>6970</v>
      </c>
      <c r="D1173" t="s">
        <v>6971</v>
      </c>
      <c r="E1173" t="s">
        <v>6886</v>
      </c>
      <c r="F1173" t="s">
        <v>950</v>
      </c>
      <c r="G1173" t="s">
        <v>1472</v>
      </c>
      <c r="H1173">
        <v>12117</v>
      </c>
      <c r="I1173" t="s">
        <v>3982</v>
      </c>
      <c r="M1173" s="14" t="s">
        <v>6972</v>
      </c>
    </row>
    <row r="1174" spans="1:13" x14ac:dyDescent="0.3">
      <c r="A1174" t="s">
        <v>6973</v>
      </c>
      <c r="B1174" t="s">
        <v>6974</v>
      </c>
      <c r="C1174" t="s">
        <v>6975</v>
      </c>
      <c r="D1174" t="s">
        <v>6976</v>
      </c>
      <c r="E1174" t="s">
        <v>6886</v>
      </c>
      <c r="F1174" t="s">
        <v>950</v>
      </c>
      <c r="G1174" t="s">
        <v>1472</v>
      </c>
      <c r="H1174">
        <v>6195</v>
      </c>
      <c r="I1174" t="s">
        <v>3982</v>
      </c>
      <c r="M1174" s="14" t="s">
        <v>6977</v>
      </c>
    </row>
    <row r="1175" spans="1:13" x14ac:dyDescent="0.3">
      <c r="A1175" t="s">
        <v>6978</v>
      </c>
      <c r="B1175" t="s">
        <v>6979</v>
      </c>
      <c r="C1175" t="s">
        <v>6980</v>
      </c>
      <c r="D1175" t="s">
        <v>6981</v>
      </c>
      <c r="E1175" t="s">
        <v>6886</v>
      </c>
      <c r="F1175" t="s">
        <v>950</v>
      </c>
      <c r="G1175" t="s">
        <v>1472</v>
      </c>
      <c r="H1175">
        <v>41958</v>
      </c>
      <c r="I1175" t="s">
        <v>3982</v>
      </c>
      <c r="M1175" s="14" t="s">
        <v>6982</v>
      </c>
    </row>
    <row r="1176" spans="1:13" x14ac:dyDescent="0.3">
      <c r="A1176" t="s">
        <v>6983</v>
      </c>
      <c r="B1176" t="s">
        <v>6984</v>
      </c>
      <c r="D1176" t="s">
        <v>6971</v>
      </c>
      <c r="E1176" t="s">
        <v>6886</v>
      </c>
      <c r="F1176" t="s">
        <v>950</v>
      </c>
      <c r="G1176" t="s">
        <v>1472</v>
      </c>
      <c r="H1176">
        <v>11445</v>
      </c>
      <c r="I1176" t="s">
        <v>3982</v>
      </c>
      <c r="M1176" s="14" t="s">
        <v>6985</v>
      </c>
    </row>
    <row r="1177" spans="1:13" x14ac:dyDescent="0.3">
      <c r="A1177" t="s">
        <v>6986</v>
      </c>
      <c r="B1177" t="s">
        <v>6987</v>
      </c>
      <c r="C1177" t="s">
        <v>6988</v>
      </c>
      <c r="D1177" t="s">
        <v>6989</v>
      </c>
      <c r="E1177" t="s">
        <v>6886</v>
      </c>
      <c r="F1177" t="s">
        <v>950</v>
      </c>
      <c r="G1177" t="s">
        <v>1472</v>
      </c>
      <c r="H1177">
        <v>15498</v>
      </c>
      <c r="I1177" t="s">
        <v>3982</v>
      </c>
      <c r="M1177" s="14" t="s">
        <v>6990</v>
      </c>
    </row>
    <row r="1178" spans="1:13" x14ac:dyDescent="0.3">
      <c r="A1178" t="s">
        <v>6991</v>
      </c>
      <c r="B1178" t="s">
        <v>6992</v>
      </c>
      <c r="C1178" t="s">
        <v>6993</v>
      </c>
      <c r="D1178" t="s">
        <v>6885</v>
      </c>
      <c r="E1178" t="s">
        <v>6886</v>
      </c>
      <c r="F1178" t="s">
        <v>950</v>
      </c>
      <c r="G1178" t="s">
        <v>1472</v>
      </c>
      <c r="H1178">
        <v>32130</v>
      </c>
      <c r="I1178" t="s">
        <v>3982</v>
      </c>
      <c r="M1178" s="14" t="s">
        <v>6994</v>
      </c>
    </row>
    <row r="1179" spans="1:13" x14ac:dyDescent="0.3">
      <c r="A1179" t="s">
        <v>6995</v>
      </c>
      <c r="B1179" t="s">
        <v>6996</v>
      </c>
      <c r="C1179" t="s">
        <v>6997</v>
      </c>
      <c r="D1179" t="s">
        <v>6914</v>
      </c>
      <c r="E1179" t="s">
        <v>6886</v>
      </c>
      <c r="F1179" t="s">
        <v>950</v>
      </c>
      <c r="G1179" t="s">
        <v>1472</v>
      </c>
      <c r="H1179">
        <v>12474</v>
      </c>
      <c r="I1179" t="s">
        <v>3982</v>
      </c>
      <c r="M1179" s="14" t="s">
        <v>6998</v>
      </c>
    </row>
    <row r="1180" spans="1:13" x14ac:dyDescent="0.3">
      <c r="A1180" t="s">
        <v>6999</v>
      </c>
      <c r="B1180" t="s">
        <v>7000</v>
      </c>
      <c r="C1180" t="s">
        <v>7001</v>
      </c>
      <c r="D1180" t="s">
        <v>6914</v>
      </c>
      <c r="E1180" t="s">
        <v>6886</v>
      </c>
      <c r="F1180" t="s">
        <v>950</v>
      </c>
      <c r="G1180" t="s">
        <v>1472</v>
      </c>
      <c r="H1180">
        <v>13734</v>
      </c>
      <c r="I1180" t="s">
        <v>3982</v>
      </c>
      <c r="M1180" s="14" t="s">
        <v>7002</v>
      </c>
    </row>
    <row r="1181" spans="1:13" x14ac:dyDescent="0.3">
      <c r="A1181" t="s">
        <v>7003</v>
      </c>
      <c r="B1181" t="s">
        <v>7004</v>
      </c>
      <c r="C1181" t="s">
        <v>7005</v>
      </c>
      <c r="D1181" t="s">
        <v>6971</v>
      </c>
      <c r="E1181" t="s">
        <v>6886</v>
      </c>
      <c r="F1181" t="s">
        <v>950</v>
      </c>
      <c r="G1181" t="s">
        <v>1457</v>
      </c>
      <c r="H1181">
        <v>23478</v>
      </c>
      <c r="I1181" t="s">
        <v>3982</v>
      </c>
      <c r="M1181" s="14" t="s">
        <v>7006</v>
      </c>
    </row>
    <row r="1182" spans="1:13" x14ac:dyDescent="0.3">
      <c r="A1182" t="s">
        <v>7007</v>
      </c>
      <c r="B1182" t="s">
        <v>7008</v>
      </c>
      <c r="C1182" t="s">
        <v>7009</v>
      </c>
      <c r="D1182" t="s">
        <v>7010</v>
      </c>
      <c r="E1182" t="s">
        <v>6886</v>
      </c>
      <c r="F1182" t="s">
        <v>950</v>
      </c>
      <c r="G1182" t="s">
        <v>1457</v>
      </c>
      <c r="H1182">
        <v>29431.5</v>
      </c>
      <c r="I1182" t="s">
        <v>3982</v>
      </c>
      <c r="M1182" s="14" t="s">
        <v>7011</v>
      </c>
    </row>
    <row r="1183" spans="1:13" x14ac:dyDescent="0.3">
      <c r="A1183" t="s">
        <v>7012</v>
      </c>
      <c r="B1183" t="s">
        <v>7013</v>
      </c>
      <c r="C1183" t="s">
        <v>7014</v>
      </c>
      <c r="D1183" t="s">
        <v>7015</v>
      </c>
      <c r="E1183" t="s">
        <v>6886</v>
      </c>
      <c r="F1183" t="s">
        <v>950</v>
      </c>
      <c r="G1183" t="s">
        <v>1457</v>
      </c>
      <c r="H1183">
        <v>15634.5</v>
      </c>
      <c r="I1183" t="s">
        <v>3982</v>
      </c>
      <c r="M1183" s="14" t="s">
        <v>7016</v>
      </c>
    </row>
    <row r="1184" spans="1:13" x14ac:dyDescent="0.3">
      <c r="A1184" t="s">
        <v>7017</v>
      </c>
      <c r="B1184" t="s">
        <v>7018</v>
      </c>
      <c r="C1184" t="s">
        <v>7019</v>
      </c>
      <c r="D1184" t="s">
        <v>7020</v>
      </c>
      <c r="E1184" t="s">
        <v>6886</v>
      </c>
      <c r="F1184" t="s">
        <v>950</v>
      </c>
      <c r="G1184" t="s">
        <v>1457</v>
      </c>
      <c r="H1184">
        <v>13782.3</v>
      </c>
      <c r="I1184" t="s">
        <v>3982</v>
      </c>
      <c r="M1184" s="14" t="s">
        <v>7021</v>
      </c>
    </row>
    <row r="1185" spans="1:13" x14ac:dyDescent="0.3">
      <c r="A1185" t="s">
        <v>7022</v>
      </c>
      <c r="B1185" t="s">
        <v>7023</v>
      </c>
      <c r="D1185" t="s">
        <v>6933</v>
      </c>
      <c r="E1185" t="s">
        <v>6886</v>
      </c>
      <c r="F1185" t="s">
        <v>950</v>
      </c>
      <c r="G1185" t="s">
        <v>1457</v>
      </c>
      <c r="H1185">
        <v>29568</v>
      </c>
      <c r="I1185" t="s">
        <v>3982</v>
      </c>
      <c r="M1185" s="14" t="s">
        <v>7024</v>
      </c>
    </row>
    <row r="1186" spans="1:13" x14ac:dyDescent="0.3">
      <c r="A1186" t="s">
        <v>7025</v>
      </c>
      <c r="B1186" t="s">
        <v>7026</v>
      </c>
      <c r="C1186" t="s">
        <v>7027</v>
      </c>
      <c r="D1186" t="s">
        <v>7020</v>
      </c>
      <c r="E1186" t="s">
        <v>6886</v>
      </c>
      <c r="F1186" t="s">
        <v>950</v>
      </c>
      <c r="G1186" t="s">
        <v>1457</v>
      </c>
      <c r="H1186">
        <v>8326.5</v>
      </c>
      <c r="I1186" t="s">
        <v>3982</v>
      </c>
      <c r="M1186" s="14" t="s">
        <v>7028</v>
      </c>
    </row>
    <row r="1187" spans="1:13" x14ac:dyDescent="0.3">
      <c r="A1187" t="s">
        <v>7029</v>
      </c>
      <c r="B1187" t="s">
        <v>7030</v>
      </c>
      <c r="C1187" t="s">
        <v>7031</v>
      </c>
      <c r="E1187" t="s">
        <v>6886</v>
      </c>
      <c r="F1187" t="s">
        <v>950</v>
      </c>
      <c r="G1187" t="s">
        <v>1457</v>
      </c>
      <c r="H1187">
        <v>20359.5</v>
      </c>
      <c r="I1187" t="s">
        <v>3982</v>
      </c>
      <c r="M1187" s="14" t="s">
        <v>7032</v>
      </c>
    </row>
    <row r="1188" spans="1:13" x14ac:dyDescent="0.3">
      <c r="A1188" t="s">
        <v>7033</v>
      </c>
      <c r="B1188" t="s">
        <v>7034</v>
      </c>
      <c r="C1188" t="s">
        <v>7035</v>
      </c>
      <c r="D1188" t="s">
        <v>6943</v>
      </c>
      <c r="E1188" t="s">
        <v>6886</v>
      </c>
      <c r="F1188" t="s">
        <v>950</v>
      </c>
      <c r="G1188" t="s">
        <v>1457</v>
      </c>
      <c r="H1188">
        <v>12789</v>
      </c>
      <c r="I1188" t="s">
        <v>3982</v>
      </c>
      <c r="M1188" s="14" t="s">
        <v>7036</v>
      </c>
    </row>
    <row r="1189" spans="1:13" x14ac:dyDescent="0.3">
      <c r="A1189" t="s">
        <v>7037</v>
      </c>
      <c r="B1189" t="s">
        <v>7038</v>
      </c>
      <c r="E1189" t="s">
        <v>7039</v>
      </c>
      <c r="F1189" t="s">
        <v>950</v>
      </c>
      <c r="G1189" t="s">
        <v>720</v>
      </c>
      <c r="H1189">
        <v>1.1000000000000001</v>
      </c>
      <c r="I1189" t="s">
        <v>3982</v>
      </c>
      <c r="M1189" s="14" t="s">
        <v>7040</v>
      </c>
    </row>
    <row r="1190" spans="1:13" x14ac:dyDescent="0.3">
      <c r="A1190" t="s">
        <v>7041</v>
      </c>
      <c r="B1190" t="s">
        <v>7042</v>
      </c>
      <c r="E1190" t="s">
        <v>7039</v>
      </c>
      <c r="F1190" t="s">
        <v>950</v>
      </c>
      <c r="G1190" t="s">
        <v>720</v>
      </c>
      <c r="H1190">
        <v>7.9</v>
      </c>
      <c r="I1190" t="s">
        <v>3982</v>
      </c>
      <c r="M1190" s="14" t="s">
        <v>7043</v>
      </c>
    </row>
    <row r="1191" spans="1:13" x14ac:dyDescent="0.3">
      <c r="A1191" t="s">
        <v>7044</v>
      </c>
      <c r="B1191" t="s">
        <v>7045</v>
      </c>
      <c r="E1191" t="s">
        <v>7039</v>
      </c>
      <c r="F1191" t="s">
        <v>950</v>
      </c>
      <c r="G1191" t="s">
        <v>720</v>
      </c>
      <c r="H1191">
        <v>620</v>
      </c>
      <c r="I1191" t="s">
        <v>3982</v>
      </c>
      <c r="M1191" s="14" t="s">
        <v>7046</v>
      </c>
    </row>
    <row r="1192" spans="1:13" x14ac:dyDescent="0.3">
      <c r="A1192" t="s">
        <v>7047</v>
      </c>
      <c r="B1192" t="s">
        <v>7048</v>
      </c>
      <c r="E1192" t="s">
        <v>7039</v>
      </c>
      <c r="F1192" t="s">
        <v>950</v>
      </c>
      <c r="G1192" t="s">
        <v>720</v>
      </c>
      <c r="H1192">
        <v>2050</v>
      </c>
      <c r="I1192" t="s">
        <v>3982</v>
      </c>
      <c r="M1192" s="14" t="s">
        <v>7049</v>
      </c>
    </row>
    <row r="1193" spans="1:13" x14ac:dyDescent="0.3">
      <c r="A1193" t="s">
        <v>7050</v>
      </c>
      <c r="B1193" t="s">
        <v>7051</v>
      </c>
      <c r="E1193" t="s">
        <v>7039</v>
      </c>
      <c r="F1193" t="s">
        <v>950</v>
      </c>
      <c r="G1193" t="s">
        <v>720</v>
      </c>
      <c r="H1193">
        <v>1.75</v>
      </c>
      <c r="I1193" t="s">
        <v>3982</v>
      </c>
      <c r="M1193" s="14" t="s">
        <v>7052</v>
      </c>
    </row>
    <row r="1194" spans="1:13" x14ac:dyDescent="0.3">
      <c r="A1194" t="s">
        <v>7053</v>
      </c>
      <c r="B1194" t="s">
        <v>7054</v>
      </c>
      <c r="E1194" t="s">
        <v>7039</v>
      </c>
      <c r="F1194" t="s">
        <v>950</v>
      </c>
      <c r="G1194" t="s">
        <v>720</v>
      </c>
      <c r="H1194">
        <v>130</v>
      </c>
      <c r="I1194" t="s">
        <v>3982</v>
      </c>
      <c r="M1194" s="14" t="s">
        <v>7055</v>
      </c>
    </row>
    <row r="1195" spans="1:13" x14ac:dyDescent="0.3">
      <c r="A1195" t="s">
        <v>7056</v>
      </c>
      <c r="B1195" t="s">
        <v>7057</v>
      </c>
      <c r="E1195" t="s">
        <v>7039</v>
      </c>
      <c r="F1195" t="s">
        <v>950</v>
      </c>
      <c r="G1195" t="s">
        <v>720</v>
      </c>
      <c r="H1195">
        <v>828</v>
      </c>
      <c r="I1195" t="s">
        <v>3982</v>
      </c>
      <c r="M1195" s="14" t="s">
        <v>7058</v>
      </c>
    </row>
    <row r="1196" spans="1:13" x14ac:dyDescent="0.3">
      <c r="A1196" t="s">
        <v>7059</v>
      </c>
      <c r="B1196" t="s">
        <v>7060</v>
      </c>
      <c r="E1196" t="s">
        <v>7039</v>
      </c>
      <c r="F1196" t="s">
        <v>950</v>
      </c>
      <c r="G1196" t="s">
        <v>720</v>
      </c>
      <c r="H1196">
        <v>3650</v>
      </c>
      <c r="I1196" t="s">
        <v>3982</v>
      </c>
      <c r="M1196" s="14" t="s">
        <v>7061</v>
      </c>
    </row>
    <row r="1197" spans="1:13" x14ac:dyDescent="0.3">
      <c r="A1197" t="s">
        <v>7062</v>
      </c>
      <c r="B1197" t="s">
        <v>7063</v>
      </c>
      <c r="E1197" t="s">
        <v>7039</v>
      </c>
      <c r="F1197" t="s">
        <v>950</v>
      </c>
      <c r="G1197" t="s">
        <v>720</v>
      </c>
      <c r="H1197">
        <v>127.5</v>
      </c>
      <c r="I1197" t="s">
        <v>3982</v>
      </c>
      <c r="M1197" s="14" t="s">
        <v>7064</v>
      </c>
    </row>
    <row r="1198" spans="1:13" x14ac:dyDescent="0.3">
      <c r="A1198" t="s">
        <v>7065</v>
      </c>
      <c r="B1198" t="s">
        <v>7066</v>
      </c>
      <c r="D1198" t="s">
        <v>7067</v>
      </c>
      <c r="E1198" t="s">
        <v>7068</v>
      </c>
      <c r="F1198" t="s">
        <v>183</v>
      </c>
      <c r="G1198" t="s">
        <v>2129</v>
      </c>
      <c r="H1198">
        <v>532.30999999999995</v>
      </c>
      <c r="I1198" t="s">
        <v>3982</v>
      </c>
      <c r="M1198" s="14" t="s">
        <v>7069</v>
      </c>
    </row>
    <row r="1199" spans="1:13" x14ac:dyDescent="0.3">
      <c r="A1199" t="s">
        <v>7070</v>
      </c>
      <c r="B1199" t="s">
        <v>7071</v>
      </c>
      <c r="D1199" t="s">
        <v>7067</v>
      </c>
      <c r="E1199" t="s">
        <v>7068</v>
      </c>
      <c r="F1199" t="s">
        <v>183</v>
      </c>
      <c r="G1199" t="s">
        <v>2129</v>
      </c>
      <c r="H1199">
        <v>385.51</v>
      </c>
      <c r="I1199" t="s">
        <v>3982</v>
      </c>
      <c r="M1199" s="14" t="s">
        <v>7072</v>
      </c>
    </row>
    <row r="1200" spans="1:13" x14ac:dyDescent="0.3">
      <c r="A1200" t="s">
        <v>7073</v>
      </c>
      <c r="B1200" t="s">
        <v>7074</v>
      </c>
      <c r="D1200" t="s">
        <v>7067</v>
      </c>
      <c r="E1200" t="s">
        <v>7068</v>
      </c>
      <c r="F1200" t="s">
        <v>183</v>
      </c>
      <c r="G1200" t="s">
        <v>2123</v>
      </c>
      <c r="H1200">
        <v>4970.58</v>
      </c>
      <c r="I1200" t="s">
        <v>3982</v>
      </c>
      <c r="M1200" s="14" t="s">
        <v>7075</v>
      </c>
    </row>
    <row r="1201" spans="1:13" x14ac:dyDescent="0.3">
      <c r="A1201" t="s">
        <v>7076</v>
      </c>
      <c r="B1201" t="s">
        <v>7077</v>
      </c>
      <c r="D1201" t="s">
        <v>7067</v>
      </c>
      <c r="E1201" t="s">
        <v>7068</v>
      </c>
      <c r="F1201" t="s">
        <v>183</v>
      </c>
      <c r="G1201" t="s">
        <v>2123</v>
      </c>
      <c r="H1201">
        <v>44.05</v>
      </c>
      <c r="I1201" t="s">
        <v>3982</v>
      </c>
      <c r="M1201" s="14" t="s">
        <v>7078</v>
      </c>
    </row>
    <row r="1202" spans="1:13" x14ac:dyDescent="0.3">
      <c r="A1202" t="s">
        <v>7079</v>
      </c>
      <c r="B1202" t="s">
        <v>7080</v>
      </c>
      <c r="D1202" t="s">
        <v>7067</v>
      </c>
      <c r="E1202" t="s">
        <v>7068</v>
      </c>
      <c r="F1202" t="s">
        <v>183</v>
      </c>
      <c r="G1202" t="s">
        <v>2123</v>
      </c>
      <c r="H1202">
        <v>97.87</v>
      </c>
      <c r="I1202" t="s">
        <v>3982</v>
      </c>
      <c r="M1202" s="14" t="s">
        <v>7081</v>
      </c>
    </row>
    <row r="1203" spans="1:13" x14ac:dyDescent="0.3">
      <c r="A1203" t="s">
        <v>7082</v>
      </c>
      <c r="B1203" t="s">
        <v>7083</v>
      </c>
      <c r="D1203" t="s">
        <v>7067</v>
      </c>
      <c r="E1203" t="s">
        <v>7068</v>
      </c>
      <c r="F1203" t="s">
        <v>183</v>
      </c>
      <c r="G1203" t="s">
        <v>2123</v>
      </c>
      <c r="H1203">
        <v>127.24</v>
      </c>
      <c r="I1203" t="s">
        <v>3982</v>
      </c>
      <c r="M1203" s="14" t="s">
        <v>7084</v>
      </c>
    </row>
    <row r="1204" spans="1:13" x14ac:dyDescent="0.3">
      <c r="A1204" t="s">
        <v>7085</v>
      </c>
      <c r="B1204" t="s">
        <v>7086</v>
      </c>
      <c r="D1204" t="s">
        <v>7067</v>
      </c>
      <c r="E1204" t="s">
        <v>7068</v>
      </c>
      <c r="F1204" t="s">
        <v>183</v>
      </c>
      <c r="G1204" t="s">
        <v>2123</v>
      </c>
      <c r="H1204">
        <v>215.31</v>
      </c>
      <c r="I1204" t="s">
        <v>3982</v>
      </c>
      <c r="M1204" s="14" t="s">
        <v>7087</v>
      </c>
    </row>
    <row r="1205" spans="1:13" x14ac:dyDescent="0.3">
      <c r="A1205" t="s">
        <v>7088</v>
      </c>
      <c r="B1205" t="s">
        <v>7089</v>
      </c>
      <c r="D1205" t="s">
        <v>7067</v>
      </c>
      <c r="E1205" t="s">
        <v>7068</v>
      </c>
      <c r="F1205" t="s">
        <v>183</v>
      </c>
      <c r="G1205" t="s">
        <v>2123</v>
      </c>
      <c r="H1205">
        <v>205.52</v>
      </c>
      <c r="I1205" t="s">
        <v>3982</v>
      </c>
      <c r="M1205" s="14" t="s">
        <v>7090</v>
      </c>
    </row>
    <row r="1206" spans="1:13" x14ac:dyDescent="0.3">
      <c r="A1206" t="s">
        <v>7091</v>
      </c>
      <c r="B1206" t="s">
        <v>7092</v>
      </c>
      <c r="D1206" t="s">
        <v>7067</v>
      </c>
      <c r="E1206" t="s">
        <v>7068</v>
      </c>
      <c r="F1206" t="s">
        <v>183</v>
      </c>
      <c r="G1206" t="s">
        <v>2123</v>
      </c>
      <c r="H1206">
        <v>277.45</v>
      </c>
      <c r="I1206" t="s">
        <v>3982</v>
      </c>
      <c r="M1206" s="14" t="s">
        <v>7093</v>
      </c>
    </row>
    <row r="1207" spans="1:13" x14ac:dyDescent="0.3">
      <c r="A1207" t="s">
        <v>7094</v>
      </c>
      <c r="B1207" t="s">
        <v>7095</v>
      </c>
      <c r="D1207" t="s">
        <v>7067</v>
      </c>
      <c r="E1207" t="s">
        <v>7068</v>
      </c>
      <c r="F1207" t="s">
        <v>183</v>
      </c>
      <c r="G1207" t="s">
        <v>2123</v>
      </c>
      <c r="H1207">
        <v>375.74</v>
      </c>
      <c r="I1207" t="s">
        <v>3982</v>
      </c>
      <c r="M1207" s="14" t="s">
        <v>7096</v>
      </c>
    </row>
    <row r="1208" spans="1:13" x14ac:dyDescent="0.3">
      <c r="A1208" t="s">
        <v>7097</v>
      </c>
      <c r="B1208" t="s">
        <v>7098</v>
      </c>
      <c r="D1208" t="s">
        <v>7067</v>
      </c>
      <c r="E1208" t="s">
        <v>7068</v>
      </c>
      <c r="F1208" t="s">
        <v>183</v>
      </c>
      <c r="G1208" t="s">
        <v>2123</v>
      </c>
      <c r="H1208">
        <v>474.99</v>
      </c>
      <c r="I1208" t="s">
        <v>3982</v>
      </c>
      <c r="M1208" s="14" t="s">
        <v>7099</v>
      </c>
    </row>
    <row r="1209" spans="1:13" x14ac:dyDescent="0.3">
      <c r="A1209" t="s">
        <v>7100</v>
      </c>
      <c r="B1209" t="s">
        <v>7101</v>
      </c>
      <c r="D1209" t="s">
        <v>7102</v>
      </c>
      <c r="E1209" t="s">
        <v>7103</v>
      </c>
      <c r="F1209" t="s">
        <v>183</v>
      </c>
      <c r="G1209" t="s">
        <v>1886</v>
      </c>
      <c r="H1209">
        <v>187951.05</v>
      </c>
      <c r="I1209" t="s">
        <v>3982</v>
      </c>
      <c r="M1209" s="14" t="s">
        <v>7104</v>
      </c>
    </row>
    <row r="1210" spans="1:13" x14ac:dyDescent="0.3">
      <c r="A1210" t="s">
        <v>7105</v>
      </c>
      <c r="B1210" t="s">
        <v>7106</v>
      </c>
      <c r="D1210" t="s">
        <v>7102</v>
      </c>
      <c r="E1210" t="s">
        <v>7103</v>
      </c>
      <c r="F1210" t="s">
        <v>183</v>
      </c>
      <c r="G1210" t="s">
        <v>1886</v>
      </c>
      <c r="H1210">
        <v>124007.1</v>
      </c>
      <c r="I1210" t="s">
        <v>3982</v>
      </c>
      <c r="M1210" s="14" t="s">
        <v>7107</v>
      </c>
    </row>
    <row r="1211" spans="1:13" x14ac:dyDescent="0.3">
      <c r="A1211" t="s">
        <v>7108</v>
      </c>
      <c r="B1211" t="s">
        <v>7109</v>
      </c>
      <c r="D1211" t="s">
        <v>7102</v>
      </c>
      <c r="E1211" t="s">
        <v>7103</v>
      </c>
      <c r="F1211" t="s">
        <v>183</v>
      </c>
      <c r="G1211" t="s">
        <v>1886</v>
      </c>
      <c r="H1211">
        <v>311104.5</v>
      </c>
      <c r="I1211" t="s">
        <v>3982</v>
      </c>
      <c r="M1211" s="14" t="s">
        <v>7110</v>
      </c>
    </row>
    <row r="1212" spans="1:13" x14ac:dyDescent="0.3">
      <c r="A1212" t="s">
        <v>7111</v>
      </c>
      <c r="B1212" t="s">
        <v>7112</v>
      </c>
      <c r="D1212" t="s">
        <v>7102</v>
      </c>
      <c r="E1212" t="s">
        <v>7103</v>
      </c>
      <c r="F1212" t="s">
        <v>183</v>
      </c>
      <c r="G1212" t="s">
        <v>1886</v>
      </c>
      <c r="H1212">
        <v>22705.200000000001</v>
      </c>
      <c r="I1212" t="s">
        <v>3982</v>
      </c>
      <c r="M1212" s="14" t="s">
        <v>7113</v>
      </c>
    </row>
    <row r="1213" spans="1:13" x14ac:dyDescent="0.3">
      <c r="A1213" t="s">
        <v>7114</v>
      </c>
      <c r="B1213" t="s">
        <v>7115</v>
      </c>
      <c r="D1213" t="s">
        <v>7102</v>
      </c>
      <c r="E1213" t="s">
        <v>7103</v>
      </c>
      <c r="F1213" t="s">
        <v>183</v>
      </c>
      <c r="G1213" t="s">
        <v>1886</v>
      </c>
      <c r="H1213">
        <v>62745.9</v>
      </c>
      <c r="I1213" t="s">
        <v>3982</v>
      </c>
      <c r="M1213" s="14" t="s">
        <v>7116</v>
      </c>
    </row>
    <row r="1214" spans="1:13" x14ac:dyDescent="0.3">
      <c r="A1214" t="s">
        <v>7117</v>
      </c>
      <c r="B1214" t="s">
        <v>7118</v>
      </c>
      <c r="D1214" t="s">
        <v>7102</v>
      </c>
      <c r="E1214" t="s">
        <v>7103</v>
      </c>
      <c r="F1214" t="s">
        <v>183</v>
      </c>
      <c r="G1214" t="s">
        <v>1886</v>
      </c>
      <c r="H1214">
        <v>136832.85</v>
      </c>
      <c r="I1214" t="s">
        <v>3982</v>
      </c>
      <c r="M1214" s="14" t="s">
        <v>7119</v>
      </c>
    </row>
    <row r="1215" spans="1:13" x14ac:dyDescent="0.3">
      <c r="A1215" t="s">
        <v>7120</v>
      </c>
      <c r="B1215" t="s">
        <v>7121</v>
      </c>
      <c r="D1215" t="s">
        <v>7102</v>
      </c>
      <c r="E1215" t="s">
        <v>7103</v>
      </c>
      <c r="F1215" t="s">
        <v>183</v>
      </c>
      <c r="G1215" t="s">
        <v>1886</v>
      </c>
      <c r="H1215">
        <v>24994.2</v>
      </c>
      <c r="I1215" t="s">
        <v>3982</v>
      </c>
      <c r="M1215" s="14" t="s">
        <v>7122</v>
      </c>
    </row>
    <row r="1216" spans="1:13" x14ac:dyDescent="0.3">
      <c r="A1216" t="s">
        <v>7123</v>
      </c>
      <c r="B1216" t="s">
        <v>7124</v>
      </c>
      <c r="D1216" t="s">
        <v>7102</v>
      </c>
      <c r="E1216" t="s">
        <v>7103</v>
      </c>
      <c r="F1216" t="s">
        <v>183</v>
      </c>
      <c r="G1216" t="s">
        <v>1886</v>
      </c>
      <c r="H1216">
        <v>22568.7</v>
      </c>
      <c r="I1216" t="s">
        <v>3982</v>
      </c>
      <c r="M1216" s="14" t="s">
        <v>7125</v>
      </c>
    </row>
    <row r="1217" spans="1:13" x14ac:dyDescent="0.3">
      <c r="A1217" t="s">
        <v>7126</v>
      </c>
      <c r="B1217" t="s">
        <v>7127</v>
      </c>
      <c r="D1217" t="s">
        <v>7102</v>
      </c>
      <c r="E1217" t="s">
        <v>7103</v>
      </c>
      <c r="F1217" t="s">
        <v>183</v>
      </c>
      <c r="G1217" t="s">
        <v>1886</v>
      </c>
      <c r="H1217">
        <v>12020.4</v>
      </c>
      <c r="I1217" t="s">
        <v>3982</v>
      </c>
      <c r="M1217" s="14" t="s">
        <v>7128</v>
      </c>
    </row>
    <row r="1218" spans="1:13" x14ac:dyDescent="0.3">
      <c r="A1218" t="s">
        <v>7129</v>
      </c>
      <c r="B1218" t="s">
        <v>7130</v>
      </c>
      <c r="D1218" t="s">
        <v>7102</v>
      </c>
      <c r="E1218" t="s">
        <v>7103</v>
      </c>
      <c r="F1218" t="s">
        <v>183</v>
      </c>
      <c r="G1218" t="s">
        <v>1886</v>
      </c>
      <c r="H1218">
        <v>348886.65</v>
      </c>
      <c r="I1218" t="s">
        <v>3982</v>
      </c>
      <c r="M1218" s="14" t="s">
        <v>7131</v>
      </c>
    </row>
    <row r="1219" spans="1:13" x14ac:dyDescent="0.3">
      <c r="A1219" t="s">
        <v>7132</v>
      </c>
      <c r="B1219" t="s">
        <v>7133</v>
      </c>
      <c r="D1219" t="s">
        <v>7102</v>
      </c>
      <c r="E1219" t="s">
        <v>7103</v>
      </c>
      <c r="F1219" t="s">
        <v>183</v>
      </c>
      <c r="G1219" t="s">
        <v>1886</v>
      </c>
      <c r="H1219">
        <v>348616.8</v>
      </c>
      <c r="I1219" t="s">
        <v>3982</v>
      </c>
      <c r="M1219" s="14" t="s">
        <v>7134</v>
      </c>
    </row>
    <row r="1220" spans="1:13" x14ac:dyDescent="0.3">
      <c r="M1220" s="14" t="str">
        <f t="shared" ref="M1220:M1283" si="0">IF($A1220="","",$A1220&amp;" — "&amp;$B1220)</f>
        <v/>
      </c>
    </row>
    <row r="1221" spans="1:13" x14ac:dyDescent="0.3">
      <c r="M1221" s="14" t="str">
        <f t="shared" si="0"/>
        <v/>
      </c>
    </row>
    <row r="1222" spans="1:13" x14ac:dyDescent="0.3">
      <c r="M1222" s="14" t="str">
        <f t="shared" si="0"/>
        <v/>
      </c>
    </row>
    <row r="1223" spans="1:13" x14ac:dyDescent="0.3">
      <c r="M1223" s="14" t="str">
        <f t="shared" si="0"/>
        <v/>
      </c>
    </row>
    <row r="1224" spans="1:13" x14ac:dyDescent="0.3">
      <c r="M1224" s="14" t="str">
        <f t="shared" si="0"/>
        <v/>
      </c>
    </row>
    <row r="1225" spans="1:13" x14ac:dyDescent="0.3">
      <c r="M1225" s="14" t="str">
        <f t="shared" si="0"/>
        <v/>
      </c>
    </row>
    <row r="1226" spans="1:13" x14ac:dyDescent="0.3">
      <c r="M1226" s="14" t="str">
        <f t="shared" si="0"/>
        <v/>
      </c>
    </row>
    <row r="1227" spans="1:13" x14ac:dyDescent="0.3">
      <c r="M1227" s="14" t="str">
        <f t="shared" si="0"/>
        <v/>
      </c>
    </row>
    <row r="1228" spans="1:13" x14ac:dyDescent="0.3">
      <c r="M1228" s="14" t="str">
        <f t="shared" si="0"/>
        <v/>
      </c>
    </row>
    <row r="1229" spans="1:13" x14ac:dyDescent="0.3">
      <c r="M1229" s="14" t="str">
        <f t="shared" si="0"/>
        <v/>
      </c>
    </row>
    <row r="1230" spans="1:13" x14ac:dyDescent="0.3">
      <c r="M1230" s="14" t="str">
        <f t="shared" si="0"/>
        <v/>
      </c>
    </row>
    <row r="1231" spans="1:13" x14ac:dyDescent="0.3">
      <c r="M1231" s="14" t="str">
        <f t="shared" si="0"/>
        <v/>
      </c>
    </row>
    <row r="1232" spans="1:13" x14ac:dyDescent="0.3">
      <c r="M1232" s="14" t="str">
        <f t="shared" si="0"/>
        <v/>
      </c>
    </row>
    <row r="1233" spans="13:13" x14ac:dyDescent="0.3">
      <c r="M1233" s="14" t="str">
        <f t="shared" si="0"/>
        <v/>
      </c>
    </row>
    <row r="1234" spans="13:13" x14ac:dyDescent="0.3">
      <c r="M1234" s="14" t="str">
        <f t="shared" si="0"/>
        <v/>
      </c>
    </row>
    <row r="1235" spans="13:13" x14ac:dyDescent="0.3">
      <c r="M1235" s="14" t="str">
        <f t="shared" si="0"/>
        <v/>
      </c>
    </row>
    <row r="1236" spans="13:13" x14ac:dyDescent="0.3">
      <c r="M1236" s="14" t="str">
        <f t="shared" si="0"/>
        <v/>
      </c>
    </row>
    <row r="1237" spans="13:13" x14ac:dyDescent="0.3">
      <c r="M1237" s="14" t="str">
        <f t="shared" si="0"/>
        <v/>
      </c>
    </row>
    <row r="1238" spans="13:13" x14ac:dyDescent="0.3">
      <c r="M1238" s="14" t="str">
        <f t="shared" si="0"/>
        <v/>
      </c>
    </row>
    <row r="1239" spans="13:13" x14ac:dyDescent="0.3">
      <c r="M1239" s="14" t="str">
        <f t="shared" si="0"/>
        <v/>
      </c>
    </row>
    <row r="1240" spans="13:13" x14ac:dyDescent="0.3">
      <c r="M1240" s="14" t="str">
        <f t="shared" si="0"/>
        <v/>
      </c>
    </row>
    <row r="1241" spans="13:13" x14ac:dyDescent="0.3">
      <c r="M1241" s="14" t="str">
        <f t="shared" si="0"/>
        <v/>
      </c>
    </row>
    <row r="1242" spans="13:13" x14ac:dyDescent="0.3">
      <c r="M1242" s="14" t="str">
        <f t="shared" si="0"/>
        <v/>
      </c>
    </row>
    <row r="1243" spans="13:13" x14ac:dyDescent="0.3">
      <c r="M1243" s="14" t="str">
        <f t="shared" si="0"/>
        <v/>
      </c>
    </row>
    <row r="1244" spans="13:13" x14ac:dyDescent="0.3">
      <c r="M1244" s="14" t="str">
        <f t="shared" si="0"/>
        <v/>
      </c>
    </row>
    <row r="1245" spans="13:13" x14ac:dyDescent="0.3">
      <c r="M1245" s="14" t="str">
        <f t="shared" si="0"/>
        <v/>
      </c>
    </row>
    <row r="1246" spans="13:13" x14ac:dyDescent="0.3">
      <c r="M1246" s="14" t="str">
        <f t="shared" si="0"/>
        <v/>
      </c>
    </row>
    <row r="1247" spans="13:13" x14ac:dyDescent="0.3">
      <c r="M1247" s="14" t="str">
        <f t="shared" si="0"/>
        <v/>
      </c>
    </row>
    <row r="1248" spans="13:13" x14ac:dyDescent="0.3">
      <c r="M1248" s="14" t="str">
        <f t="shared" si="0"/>
        <v/>
      </c>
    </row>
    <row r="1249" spans="13:13" x14ac:dyDescent="0.3">
      <c r="M1249" s="14" t="str">
        <f t="shared" si="0"/>
        <v/>
      </c>
    </row>
    <row r="1250" spans="13:13" x14ac:dyDescent="0.3">
      <c r="M1250" s="14" t="str">
        <f t="shared" si="0"/>
        <v/>
      </c>
    </row>
    <row r="1251" spans="13:13" x14ac:dyDescent="0.3">
      <c r="M1251" s="14" t="str">
        <f t="shared" si="0"/>
        <v/>
      </c>
    </row>
    <row r="1252" spans="13:13" x14ac:dyDescent="0.3">
      <c r="M1252" s="14" t="str">
        <f t="shared" si="0"/>
        <v/>
      </c>
    </row>
    <row r="1253" spans="13:13" x14ac:dyDescent="0.3">
      <c r="M1253" s="14" t="str">
        <f t="shared" si="0"/>
        <v/>
      </c>
    </row>
    <row r="1254" spans="13:13" x14ac:dyDescent="0.3">
      <c r="M1254" s="14" t="str">
        <f t="shared" si="0"/>
        <v/>
      </c>
    </row>
    <row r="1255" spans="13:13" x14ac:dyDescent="0.3">
      <c r="M1255" s="14" t="str">
        <f t="shared" si="0"/>
        <v/>
      </c>
    </row>
    <row r="1256" spans="13:13" x14ac:dyDescent="0.3">
      <c r="M1256" s="14" t="str">
        <f t="shared" si="0"/>
        <v/>
      </c>
    </row>
    <row r="1257" spans="13:13" x14ac:dyDescent="0.3">
      <c r="M1257" s="14" t="str">
        <f t="shared" si="0"/>
        <v/>
      </c>
    </row>
    <row r="1258" spans="13:13" x14ac:dyDescent="0.3">
      <c r="M1258" s="14" t="str">
        <f t="shared" si="0"/>
        <v/>
      </c>
    </row>
    <row r="1259" spans="13:13" x14ac:dyDescent="0.3">
      <c r="M1259" s="14" t="str">
        <f t="shared" si="0"/>
        <v/>
      </c>
    </row>
    <row r="1260" spans="13:13" x14ac:dyDescent="0.3">
      <c r="M1260" s="14" t="str">
        <f t="shared" si="0"/>
        <v/>
      </c>
    </row>
    <row r="1261" spans="13:13" x14ac:dyDescent="0.3">
      <c r="M1261" s="14" t="str">
        <f t="shared" si="0"/>
        <v/>
      </c>
    </row>
    <row r="1262" spans="13:13" x14ac:dyDescent="0.3">
      <c r="M1262" s="14" t="str">
        <f t="shared" si="0"/>
        <v/>
      </c>
    </row>
    <row r="1263" spans="13:13" x14ac:dyDescent="0.3">
      <c r="M1263" s="14" t="str">
        <f t="shared" si="0"/>
        <v/>
      </c>
    </row>
    <row r="1264" spans="13:13" x14ac:dyDescent="0.3">
      <c r="M1264" s="14" t="str">
        <f t="shared" si="0"/>
        <v/>
      </c>
    </row>
    <row r="1265" spans="13:13" x14ac:dyDescent="0.3">
      <c r="M1265" s="14" t="str">
        <f t="shared" si="0"/>
        <v/>
      </c>
    </row>
    <row r="1266" spans="13:13" x14ac:dyDescent="0.3">
      <c r="M1266" s="14" t="str">
        <f t="shared" si="0"/>
        <v/>
      </c>
    </row>
    <row r="1267" spans="13:13" x14ac:dyDescent="0.3">
      <c r="M1267" s="14" t="str">
        <f t="shared" si="0"/>
        <v/>
      </c>
    </row>
    <row r="1268" spans="13:13" x14ac:dyDescent="0.3">
      <c r="M1268" s="14" t="str">
        <f t="shared" si="0"/>
        <v/>
      </c>
    </row>
    <row r="1269" spans="13:13" x14ac:dyDescent="0.3">
      <c r="M1269" s="14" t="str">
        <f t="shared" si="0"/>
        <v/>
      </c>
    </row>
    <row r="1270" spans="13:13" x14ac:dyDescent="0.3">
      <c r="M1270" s="14" t="str">
        <f t="shared" si="0"/>
        <v/>
      </c>
    </row>
    <row r="1271" spans="13:13" x14ac:dyDescent="0.3">
      <c r="M1271" s="14" t="str">
        <f t="shared" si="0"/>
        <v/>
      </c>
    </row>
    <row r="1272" spans="13:13" x14ac:dyDescent="0.3">
      <c r="M1272" s="14" t="str">
        <f t="shared" si="0"/>
        <v/>
      </c>
    </row>
    <row r="1273" spans="13:13" x14ac:dyDescent="0.3">
      <c r="M1273" s="14" t="str">
        <f t="shared" si="0"/>
        <v/>
      </c>
    </row>
    <row r="1274" spans="13:13" x14ac:dyDescent="0.3">
      <c r="M1274" s="14" t="str">
        <f t="shared" si="0"/>
        <v/>
      </c>
    </row>
    <row r="1275" spans="13:13" x14ac:dyDescent="0.3">
      <c r="M1275" s="14" t="str">
        <f t="shared" si="0"/>
        <v/>
      </c>
    </row>
    <row r="1276" spans="13:13" x14ac:dyDescent="0.3">
      <c r="M1276" s="14" t="str">
        <f t="shared" si="0"/>
        <v/>
      </c>
    </row>
    <row r="1277" spans="13:13" x14ac:dyDescent="0.3">
      <c r="M1277" s="14" t="str">
        <f t="shared" si="0"/>
        <v/>
      </c>
    </row>
    <row r="1278" spans="13:13" x14ac:dyDescent="0.3">
      <c r="M1278" s="14" t="str">
        <f t="shared" si="0"/>
        <v/>
      </c>
    </row>
    <row r="1279" spans="13:13" x14ac:dyDescent="0.3">
      <c r="M1279" s="14" t="str">
        <f t="shared" si="0"/>
        <v/>
      </c>
    </row>
    <row r="1280" spans="13:13" x14ac:dyDescent="0.3">
      <c r="M1280" s="14" t="str">
        <f t="shared" si="0"/>
        <v/>
      </c>
    </row>
    <row r="1281" spans="13:13" x14ac:dyDescent="0.3">
      <c r="M1281" s="14" t="str">
        <f t="shared" si="0"/>
        <v/>
      </c>
    </row>
    <row r="1282" spans="13:13" x14ac:dyDescent="0.3">
      <c r="M1282" s="14" t="str">
        <f t="shared" si="0"/>
        <v/>
      </c>
    </row>
    <row r="1283" spans="13:13" x14ac:dyDescent="0.3">
      <c r="M1283" s="14" t="str">
        <f t="shared" si="0"/>
        <v/>
      </c>
    </row>
    <row r="1284" spans="13:13" x14ac:dyDescent="0.3">
      <c r="M1284" s="14" t="str">
        <f t="shared" ref="M1284:M1347" si="1">IF($A1284="","",$A1284&amp;" — "&amp;$B1284)</f>
        <v/>
      </c>
    </row>
    <row r="1285" spans="13:13" x14ac:dyDescent="0.3">
      <c r="M1285" s="14" t="str">
        <f t="shared" si="1"/>
        <v/>
      </c>
    </row>
    <row r="1286" spans="13:13" x14ac:dyDescent="0.3">
      <c r="M1286" s="14" t="str">
        <f t="shared" si="1"/>
        <v/>
      </c>
    </row>
    <row r="1287" spans="13:13" x14ac:dyDescent="0.3">
      <c r="M1287" s="14" t="str">
        <f t="shared" si="1"/>
        <v/>
      </c>
    </row>
    <row r="1288" spans="13:13" x14ac:dyDescent="0.3">
      <c r="M1288" s="14" t="str">
        <f t="shared" si="1"/>
        <v/>
      </c>
    </row>
    <row r="1289" spans="13:13" x14ac:dyDescent="0.3">
      <c r="M1289" s="14" t="str">
        <f t="shared" si="1"/>
        <v/>
      </c>
    </row>
    <row r="1290" spans="13:13" x14ac:dyDescent="0.3">
      <c r="M1290" s="14" t="str">
        <f t="shared" si="1"/>
        <v/>
      </c>
    </row>
    <row r="1291" spans="13:13" x14ac:dyDescent="0.3">
      <c r="M1291" s="14" t="str">
        <f t="shared" si="1"/>
        <v/>
      </c>
    </row>
    <row r="1292" spans="13:13" x14ac:dyDescent="0.3">
      <c r="M1292" s="14" t="str">
        <f t="shared" si="1"/>
        <v/>
      </c>
    </row>
    <row r="1293" spans="13:13" x14ac:dyDescent="0.3">
      <c r="M1293" s="14" t="str">
        <f t="shared" si="1"/>
        <v/>
      </c>
    </row>
    <row r="1294" spans="13:13" x14ac:dyDescent="0.3">
      <c r="M1294" s="14" t="str">
        <f t="shared" si="1"/>
        <v/>
      </c>
    </row>
    <row r="1295" spans="13:13" x14ac:dyDescent="0.3">
      <c r="M1295" s="14" t="str">
        <f t="shared" si="1"/>
        <v/>
      </c>
    </row>
    <row r="1296" spans="13:13" x14ac:dyDescent="0.3">
      <c r="M1296" s="14" t="str">
        <f t="shared" si="1"/>
        <v/>
      </c>
    </row>
    <row r="1297" spans="13:13" x14ac:dyDescent="0.3">
      <c r="M1297" s="14" t="str">
        <f t="shared" si="1"/>
        <v/>
      </c>
    </row>
    <row r="1298" spans="13:13" x14ac:dyDescent="0.3">
      <c r="M1298" s="14" t="str">
        <f t="shared" si="1"/>
        <v/>
      </c>
    </row>
    <row r="1299" spans="13:13" x14ac:dyDescent="0.3">
      <c r="M1299" s="14" t="str">
        <f t="shared" si="1"/>
        <v/>
      </c>
    </row>
    <row r="1300" spans="13:13" x14ac:dyDescent="0.3">
      <c r="M1300" s="14" t="str">
        <f t="shared" si="1"/>
        <v/>
      </c>
    </row>
    <row r="1301" spans="13:13" x14ac:dyDescent="0.3">
      <c r="M1301" s="14" t="str">
        <f t="shared" si="1"/>
        <v/>
      </c>
    </row>
    <row r="1302" spans="13:13" x14ac:dyDescent="0.3">
      <c r="M1302" s="14" t="str">
        <f t="shared" si="1"/>
        <v/>
      </c>
    </row>
    <row r="1303" spans="13:13" x14ac:dyDescent="0.3">
      <c r="M1303" s="14" t="str">
        <f t="shared" si="1"/>
        <v/>
      </c>
    </row>
    <row r="1304" spans="13:13" x14ac:dyDescent="0.3">
      <c r="M1304" s="14" t="str">
        <f t="shared" si="1"/>
        <v/>
      </c>
    </row>
    <row r="1305" spans="13:13" x14ac:dyDescent="0.3">
      <c r="M1305" s="14" t="str">
        <f t="shared" si="1"/>
        <v/>
      </c>
    </row>
    <row r="1306" spans="13:13" x14ac:dyDescent="0.3">
      <c r="M1306" s="14" t="str">
        <f t="shared" si="1"/>
        <v/>
      </c>
    </row>
    <row r="1307" spans="13:13" x14ac:dyDescent="0.3">
      <c r="M1307" s="14" t="str">
        <f t="shared" si="1"/>
        <v/>
      </c>
    </row>
    <row r="1308" spans="13:13" x14ac:dyDescent="0.3">
      <c r="M1308" s="14" t="str">
        <f t="shared" si="1"/>
        <v/>
      </c>
    </row>
    <row r="1309" spans="13:13" x14ac:dyDescent="0.3">
      <c r="M1309" s="14" t="str">
        <f t="shared" si="1"/>
        <v/>
      </c>
    </row>
    <row r="1310" spans="13:13" x14ac:dyDescent="0.3">
      <c r="M1310" s="14" t="str">
        <f t="shared" si="1"/>
        <v/>
      </c>
    </row>
    <row r="1311" spans="13:13" x14ac:dyDescent="0.3">
      <c r="M1311" s="14" t="str">
        <f t="shared" si="1"/>
        <v/>
      </c>
    </row>
    <row r="1312" spans="13:13" x14ac:dyDescent="0.3">
      <c r="M1312" s="14" t="str">
        <f t="shared" si="1"/>
        <v/>
      </c>
    </row>
    <row r="1313" spans="13:13" x14ac:dyDescent="0.3">
      <c r="M1313" s="14" t="str">
        <f t="shared" si="1"/>
        <v/>
      </c>
    </row>
    <row r="1314" spans="13:13" x14ac:dyDescent="0.3">
      <c r="M1314" s="14" t="str">
        <f t="shared" si="1"/>
        <v/>
      </c>
    </row>
    <row r="1315" spans="13:13" x14ac:dyDescent="0.3">
      <c r="M1315" s="14" t="str">
        <f t="shared" si="1"/>
        <v/>
      </c>
    </row>
    <row r="1316" spans="13:13" x14ac:dyDescent="0.3">
      <c r="M1316" s="14" t="str">
        <f t="shared" si="1"/>
        <v/>
      </c>
    </row>
    <row r="1317" spans="13:13" x14ac:dyDescent="0.3">
      <c r="M1317" s="14" t="str">
        <f t="shared" si="1"/>
        <v/>
      </c>
    </row>
    <row r="1318" spans="13:13" x14ac:dyDescent="0.3">
      <c r="M1318" s="14" t="str">
        <f t="shared" si="1"/>
        <v/>
      </c>
    </row>
    <row r="1319" spans="13:13" x14ac:dyDescent="0.3">
      <c r="M1319" s="14" t="str">
        <f t="shared" si="1"/>
        <v/>
      </c>
    </row>
    <row r="1320" spans="13:13" x14ac:dyDescent="0.3">
      <c r="M1320" s="14" t="str">
        <f t="shared" si="1"/>
        <v/>
      </c>
    </row>
    <row r="1321" spans="13:13" x14ac:dyDescent="0.3">
      <c r="M1321" s="14" t="str">
        <f t="shared" si="1"/>
        <v/>
      </c>
    </row>
    <row r="1322" spans="13:13" x14ac:dyDescent="0.3">
      <c r="M1322" s="14" t="str">
        <f t="shared" si="1"/>
        <v/>
      </c>
    </row>
    <row r="1323" spans="13:13" x14ac:dyDescent="0.3">
      <c r="M1323" s="14" t="str">
        <f t="shared" si="1"/>
        <v/>
      </c>
    </row>
    <row r="1324" spans="13:13" x14ac:dyDescent="0.3">
      <c r="M1324" s="14" t="str">
        <f t="shared" si="1"/>
        <v/>
      </c>
    </row>
    <row r="1325" spans="13:13" x14ac:dyDescent="0.3">
      <c r="M1325" s="14" t="str">
        <f t="shared" si="1"/>
        <v/>
      </c>
    </row>
    <row r="1326" spans="13:13" x14ac:dyDescent="0.3">
      <c r="M1326" s="14" t="str">
        <f t="shared" si="1"/>
        <v/>
      </c>
    </row>
    <row r="1327" spans="13:13" x14ac:dyDescent="0.3">
      <c r="M1327" s="14" t="str">
        <f t="shared" si="1"/>
        <v/>
      </c>
    </row>
    <row r="1328" spans="13:13" x14ac:dyDescent="0.3">
      <c r="M1328" s="14" t="str">
        <f t="shared" si="1"/>
        <v/>
      </c>
    </row>
    <row r="1329" spans="13:13" x14ac:dyDescent="0.3">
      <c r="M1329" s="14" t="str">
        <f t="shared" si="1"/>
        <v/>
      </c>
    </row>
    <row r="1330" spans="13:13" x14ac:dyDescent="0.3">
      <c r="M1330" s="14" t="str">
        <f t="shared" si="1"/>
        <v/>
      </c>
    </row>
    <row r="1331" spans="13:13" x14ac:dyDescent="0.3">
      <c r="M1331" s="14" t="str">
        <f t="shared" si="1"/>
        <v/>
      </c>
    </row>
    <row r="1332" spans="13:13" x14ac:dyDescent="0.3">
      <c r="M1332" s="14" t="str">
        <f t="shared" si="1"/>
        <v/>
      </c>
    </row>
    <row r="1333" spans="13:13" x14ac:dyDescent="0.3">
      <c r="M1333" s="14" t="str">
        <f t="shared" si="1"/>
        <v/>
      </c>
    </row>
    <row r="1334" spans="13:13" x14ac:dyDescent="0.3">
      <c r="M1334" s="14" t="str">
        <f t="shared" si="1"/>
        <v/>
      </c>
    </row>
    <row r="1335" spans="13:13" x14ac:dyDescent="0.3">
      <c r="M1335" s="14" t="str">
        <f t="shared" si="1"/>
        <v/>
      </c>
    </row>
    <row r="1336" spans="13:13" x14ac:dyDescent="0.3">
      <c r="M1336" s="14" t="str">
        <f t="shared" si="1"/>
        <v/>
      </c>
    </row>
    <row r="1337" spans="13:13" x14ac:dyDescent="0.3">
      <c r="M1337" s="14" t="str">
        <f t="shared" si="1"/>
        <v/>
      </c>
    </row>
    <row r="1338" spans="13:13" x14ac:dyDescent="0.3">
      <c r="M1338" s="14" t="str">
        <f t="shared" si="1"/>
        <v/>
      </c>
    </row>
    <row r="1339" spans="13:13" x14ac:dyDescent="0.3">
      <c r="M1339" s="14" t="str">
        <f t="shared" si="1"/>
        <v/>
      </c>
    </row>
    <row r="1340" spans="13:13" x14ac:dyDescent="0.3">
      <c r="M1340" s="14" t="str">
        <f t="shared" si="1"/>
        <v/>
      </c>
    </row>
    <row r="1341" spans="13:13" x14ac:dyDescent="0.3">
      <c r="M1341" s="14" t="str">
        <f t="shared" si="1"/>
        <v/>
      </c>
    </row>
    <row r="1342" spans="13:13" x14ac:dyDescent="0.3">
      <c r="M1342" s="14" t="str">
        <f t="shared" si="1"/>
        <v/>
      </c>
    </row>
    <row r="1343" spans="13:13" x14ac:dyDescent="0.3">
      <c r="M1343" s="14" t="str">
        <f t="shared" si="1"/>
        <v/>
      </c>
    </row>
    <row r="1344" spans="13:13" x14ac:dyDescent="0.3">
      <c r="M1344" s="14" t="str">
        <f t="shared" si="1"/>
        <v/>
      </c>
    </row>
    <row r="1345" spans="13:13" x14ac:dyDescent="0.3">
      <c r="M1345" s="14" t="str">
        <f t="shared" si="1"/>
        <v/>
      </c>
    </row>
    <row r="1346" spans="13:13" x14ac:dyDescent="0.3">
      <c r="M1346" s="14" t="str">
        <f t="shared" si="1"/>
        <v/>
      </c>
    </row>
    <row r="1347" spans="13:13" x14ac:dyDescent="0.3">
      <c r="M1347" s="14" t="str">
        <f t="shared" si="1"/>
        <v/>
      </c>
    </row>
    <row r="1348" spans="13:13" x14ac:dyDescent="0.3">
      <c r="M1348" s="14" t="str">
        <f t="shared" ref="M1348:M1411" si="2">IF($A1348="","",$A1348&amp;" — "&amp;$B1348)</f>
        <v/>
      </c>
    </row>
    <row r="1349" spans="13:13" x14ac:dyDescent="0.3">
      <c r="M1349" s="14" t="str">
        <f t="shared" si="2"/>
        <v/>
      </c>
    </row>
    <row r="1350" spans="13:13" x14ac:dyDescent="0.3">
      <c r="M1350" s="14" t="str">
        <f t="shared" si="2"/>
        <v/>
      </c>
    </row>
    <row r="1351" spans="13:13" x14ac:dyDescent="0.3">
      <c r="M1351" s="14" t="str">
        <f t="shared" si="2"/>
        <v/>
      </c>
    </row>
    <row r="1352" spans="13:13" x14ac:dyDescent="0.3">
      <c r="M1352" s="14" t="str">
        <f t="shared" si="2"/>
        <v/>
      </c>
    </row>
    <row r="1353" spans="13:13" x14ac:dyDescent="0.3">
      <c r="M1353" s="14" t="str">
        <f t="shared" si="2"/>
        <v/>
      </c>
    </row>
    <row r="1354" spans="13:13" x14ac:dyDescent="0.3">
      <c r="M1354" s="14" t="str">
        <f t="shared" si="2"/>
        <v/>
      </c>
    </row>
    <row r="1355" spans="13:13" x14ac:dyDescent="0.3">
      <c r="M1355" s="14" t="str">
        <f t="shared" si="2"/>
        <v/>
      </c>
    </row>
    <row r="1356" spans="13:13" x14ac:dyDescent="0.3">
      <c r="M1356" s="14" t="str">
        <f t="shared" si="2"/>
        <v/>
      </c>
    </row>
    <row r="1357" spans="13:13" x14ac:dyDescent="0.3">
      <c r="M1357" s="14" t="str">
        <f t="shared" si="2"/>
        <v/>
      </c>
    </row>
    <row r="1358" spans="13:13" x14ac:dyDescent="0.3">
      <c r="M1358" s="14" t="str">
        <f t="shared" si="2"/>
        <v/>
      </c>
    </row>
    <row r="1359" spans="13:13" x14ac:dyDescent="0.3">
      <c r="M1359" s="14" t="str">
        <f t="shared" si="2"/>
        <v/>
      </c>
    </row>
    <row r="1360" spans="13:13" x14ac:dyDescent="0.3">
      <c r="M1360" s="14" t="str">
        <f t="shared" si="2"/>
        <v/>
      </c>
    </row>
    <row r="1361" spans="13:13" x14ac:dyDescent="0.3">
      <c r="M1361" s="14" t="str">
        <f t="shared" si="2"/>
        <v/>
      </c>
    </row>
    <row r="1362" spans="13:13" x14ac:dyDescent="0.3">
      <c r="M1362" s="14" t="str">
        <f t="shared" si="2"/>
        <v/>
      </c>
    </row>
    <row r="1363" spans="13:13" x14ac:dyDescent="0.3">
      <c r="M1363" s="14" t="str">
        <f t="shared" si="2"/>
        <v/>
      </c>
    </row>
    <row r="1364" spans="13:13" x14ac:dyDescent="0.3">
      <c r="M1364" s="14" t="str">
        <f t="shared" si="2"/>
        <v/>
      </c>
    </row>
    <row r="1365" spans="13:13" x14ac:dyDescent="0.3">
      <c r="M1365" s="14" t="str">
        <f t="shared" si="2"/>
        <v/>
      </c>
    </row>
    <row r="1366" spans="13:13" x14ac:dyDescent="0.3">
      <c r="M1366" s="14" t="str">
        <f t="shared" si="2"/>
        <v/>
      </c>
    </row>
    <row r="1367" spans="13:13" x14ac:dyDescent="0.3">
      <c r="M1367" s="14" t="str">
        <f t="shared" si="2"/>
        <v/>
      </c>
    </row>
    <row r="1368" spans="13:13" x14ac:dyDescent="0.3">
      <c r="M1368" s="14" t="str">
        <f t="shared" si="2"/>
        <v/>
      </c>
    </row>
    <row r="1369" spans="13:13" x14ac:dyDescent="0.3">
      <c r="M1369" s="14" t="str">
        <f t="shared" si="2"/>
        <v/>
      </c>
    </row>
    <row r="1370" spans="13:13" x14ac:dyDescent="0.3">
      <c r="M1370" s="14" t="str">
        <f t="shared" si="2"/>
        <v/>
      </c>
    </row>
    <row r="1371" spans="13:13" x14ac:dyDescent="0.3">
      <c r="M1371" s="14" t="str">
        <f t="shared" si="2"/>
        <v/>
      </c>
    </row>
    <row r="1372" spans="13:13" x14ac:dyDescent="0.3">
      <c r="M1372" s="14" t="str">
        <f t="shared" si="2"/>
        <v/>
      </c>
    </row>
    <row r="1373" spans="13:13" x14ac:dyDescent="0.3">
      <c r="M1373" s="14" t="str">
        <f t="shared" si="2"/>
        <v/>
      </c>
    </row>
    <row r="1374" spans="13:13" x14ac:dyDescent="0.3">
      <c r="M1374" s="14" t="str">
        <f t="shared" si="2"/>
        <v/>
      </c>
    </row>
    <row r="1375" spans="13:13" x14ac:dyDescent="0.3">
      <c r="M1375" s="14" t="str">
        <f t="shared" si="2"/>
        <v/>
      </c>
    </row>
    <row r="1376" spans="13:13" x14ac:dyDescent="0.3">
      <c r="M1376" s="14" t="str">
        <f t="shared" si="2"/>
        <v/>
      </c>
    </row>
    <row r="1377" spans="13:13" x14ac:dyDescent="0.3">
      <c r="M1377" s="14" t="str">
        <f t="shared" si="2"/>
        <v/>
      </c>
    </row>
    <row r="1378" spans="13:13" x14ac:dyDescent="0.3">
      <c r="M1378" s="14" t="str">
        <f t="shared" si="2"/>
        <v/>
      </c>
    </row>
    <row r="1379" spans="13:13" x14ac:dyDescent="0.3">
      <c r="M1379" s="14" t="str">
        <f t="shared" si="2"/>
        <v/>
      </c>
    </row>
    <row r="1380" spans="13:13" x14ac:dyDescent="0.3">
      <c r="M1380" s="14" t="str">
        <f t="shared" si="2"/>
        <v/>
      </c>
    </row>
    <row r="1381" spans="13:13" x14ac:dyDescent="0.3">
      <c r="M1381" s="14" t="str">
        <f t="shared" si="2"/>
        <v/>
      </c>
    </row>
    <row r="1382" spans="13:13" x14ac:dyDescent="0.3">
      <c r="M1382" s="14" t="str">
        <f t="shared" si="2"/>
        <v/>
      </c>
    </row>
    <row r="1383" spans="13:13" x14ac:dyDescent="0.3">
      <c r="M1383" s="14" t="str">
        <f t="shared" si="2"/>
        <v/>
      </c>
    </row>
    <row r="1384" spans="13:13" x14ac:dyDescent="0.3">
      <c r="M1384" s="14" t="str">
        <f t="shared" si="2"/>
        <v/>
      </c>
    </row>
    <row r="1385" spans="13:13" x14ac:dyDescent="0.3">
      <c r="M1385" s="14" t="str">
        <f t="shared" si="2"/>
        <v/>
      </c>
    </row>
    <row r="1386" spans="13:13" x14ac:dyDescent="0.3">
      <c r="M1386" s="14" t="str">
        <f t="shared" si="2"/>
        <v/>
      </c>
    </row>
    <row r="1387" spans="13:13" x14ac:dyDescent="0.3">
      <c r="M1387" s="14" t="str">
        <f t="shared" si="2"/>
        <v/>
      </c>
    </row>
    <row r="1388" spans="13:13" x14ac:dyDescent="0.3">
      <c r="M1388" s="14" t="str">
        <f t="shared" si="2"/>
        <v/>
      </c>
    </row>
    <row r="1389" spans="13:13" x14ac:dyDescent="0.3">
      <c r="M1389" s="14" t="str">
        <f t="shared" si="2"/>
        <v/>
      </c>
    </row>
    <row r="1390" spans="13:13" x14ac:dyDescent="0.3">
      <c r="M1390" s="14" t="str">
        <f t="shared" si="2"/>
        <v/>
      </c>
    </row>
    <row r="1391" spans="13:13" x14ac:dyDescent="0.3">
      <c r="M1391" s="14" t="str">
        <f t="shared" si="2"/>
        <v/>
      </c>
    </row>
    <row r="1392" spans="13:13" x14ac:dyDescent="0.3">
      <c r="M1392" s="14" t="str">
        <f t="shared" si="2"/>
        <v/>
      </c>
    </row>
    <row r="1393" spans="13:13" x14ac:dyDescent="0.3">
      <c r="M1393" s="14" t="str">
        <f t="shared" si="2"/>
        <v/>
      </c>
    </row>
    <row r="1394" spans="13:13" x14ac:dyDescent="0.3">
      <c r="M1394" s="14" t="str">
        <f t="shared" si="2"/>
        <v/>
      </c>
    </row>
    <row r="1395" spans="13:13" x14ac:dyDescent="0.3">
      <c r="M1395" s="14" t="str">
        <f t="shared" si="2"/>
        <v/>
      </c>
    </row>
    <row r="1396" spans="13:13" x14ac:dyDescent="0.3">
      <c r="M1396" s="14" t="str">
        <f t="shared" si="2"/>
        <v/>
      </c>
    </row>
    <row r="1397" spans="13:13" x14ac:dyDescent="0.3">
      <c r="M1397" s="14" t="str">
        <f t="shared" si="2"/>
        <v/>
      </c>
    </row>
    <row r="1398" spans="13:13" x14ac:dyDescent="0.3">
      <c r="M1398" s="14" t="str">
        <f t="shared" si="2"/>
        <v/>
      </c>
    </row>
    <row r="1399" spans="13:13" x14ac:dyDescent="0.3">
      <c r="M1399" s="14" t="str">
        <f t="shared" si="2"/>
        <v/>
      </c>
    </row>
    <row r="1400" spans="13:13" x14ac:dyDescent="0.3">
      <c r="M1400" s="14" t="str">
        <f t="shared" si="2"/>
        <v/>
      </c>
    </row>
    <row r="1401" spans="13:13" x14ac:dyDescent="0.3">
      <c r="M1401" s="14" t="str">
        <f t="shared" si="2"/>
        <v/>
      </c>
    </row>
    <row r="1402" spans="13:13" x14ac:dyDescent="0.3">
      <c r="M1402" s="14" t="str">
        <f t="shared" si="2"/>
        <v/>
      </c>
    </row>
    <row r="1403" spans="13:13" x14ac:dyDescent="0.3">
      <c r="M1403" s="14" t="str">
        <f t="shared" si="2"/>
        <v/>
      </c>
    </row>
    <row r="1404" spans="13:13" x14ac:dyDescent="0.3">
      <c r="M1404" s="14" t="str">
        <f t="shared" si="2"/>
        <v/>
      </c>
    </row>
    <row r="1405" spans="13:13" x14ac:dyDescent="0.3">
      <c r="M1405" s="14" t="str">
        <f t="shared" si="2"/>
        <v/>
      </c>
    </row>
    <row r="1406" spans="13:13" x14ac:dyDescent="0.3">
      <c r="M1406" s="14" t="str">
        <f t="shared" si="2"/>
        <v/>
      </c>
    </row>
    <row r="1407" spans="13:13" x14ac:dyDescent="0.3">
      <c r="M1407" s="14" t="str">
        <f t="shared" si="2"/>
        <v/>
      </c>
    </row>
    <row r="1408" spans="13:13" x14ac:dyDescent="0.3">
      <c r="M1408" s="14" t="str">
        <f t="shared" si="2"/>
        <v/>
      </c>
    </row>
    <row r="1409" spans="13:13" x14ac:dyDescent="0.3">
      <c r="M1409" s="14" t="str">
        <f t="shared" si="2"/>
        <v/>
      </c>
    </row>
    <row r="1410" spans="13:13" x14ac:dyDescent="0.3">
      <c r="M1410" s="14" t="str">
        <f t="shared" si="2"/>
        <v/>
      </c>
    </row>
    <row r="1411" spans="13:13" x14ac:dyDescent="0.3">
      <c r="M1411" s="14" t="str">
        <f t="shared" si="2"/>
        <v/>
      </c>
    </row>
    <row r="1412" spans="13:13" x14ac:dyDescent="0.3">
      <c r="M1412" s="14" t="str">
        <f t="shared" ref="M1412:M1475" si="3">IF($A1412="","",$A1412&amp;" — "&amp;$B1412)</f>
        <v/>
      </c>
    </row>
    <row r="1413" spans="13:13" x14ac:dyDescent="0.3">
      <c r="M1413" s="14" t="str">
        <f t="shared" si="3"/>
        <v/>
      </c>
    </row>
    <row r="1414" spans="13:13" x14ac:dyDescent="0.3">
      <c r="M1414" s="14" t="str">
        <f t="shared" si="3"/>
        <v/>
      </c>
    </row>
    <row r="1415" spans="13:13" x14ac:dyDescent="0.3">
      <c r="M1415" s="14" t="str">
        <f t="shared" si="3"/>
        <v/>
      </c>
    </row>
    <row r="1416" spans="13:13" x14ac:dyDescent="0.3">
      <c r="M1416" s="14" t="str">
        <f t="shared" si="3"/>
        <v/>
      </c>
    </row>
    <row r="1417" spans="13:13" x14ac:dyDescent="0.3">
      <c r="M1417" s="14" t="str">
        <f t="shared" si="3"/>
        <v/>
      </c>
    </row>
    <row r="1418" spans="13:13" x14ac:dyDescent="0.3">
      <c r="M1418" s="14" t="str">
        <f t="shared" si="3"/>
        <v/>
      </c>
    </row>
    <row r="1419" spans="13:13" x14ac:dyDescent="0.3">
      <c r="M1419" s="14" t="str">
        <f t="shared" si="3"/>
        <v/>
      </c>
    </row>
    <row r="1420" spans="13:13" x14ac:dyDescent="0.3">
      <c r="M1420" s="14" t="str">
        <f t="shared" si="3"/>
        <v/>
      </c>
    </row>
    <row r="1421" spans="13:13" x14ac:dyDescent="0.3">
      <c r="M1421" s="14" t="str">
        <f t="shared" si="3"/>
        <v/>
      </c>
    </row>
    <row r="1422" spans="13:13" x14ac:dyDescent="0.3">
      <c r="M1422" s="14" t="str">
        <f t="shared" si="3"/>
        <v/>
      </c>
    </row>
    <row r="1423" spans="13:13" x14ac:dyDescent="0.3">
      <c r="M1423" s="14" t="str">
        <f t="shared" si="3"/>
        <v/>
      </c>
    </row>
    <row r="1424" spans="13:13" x14ac:dyDescent="0.3">
      <c r="M1424" s="14" t="str">
        <f t="shared" si="3"/>
        <v/>
      </c>
    </row>
    <row r="1425" spans="13:13" x14ac:dyDescent="0.3">
      <c r="M1425" s="14" t="str">
        <f t="shared" si="3"/>
        <v/>
      </c>
    </row>
    <row r="1426" spans="13:13" x14ac:dyDescent="0.3">
      <c r="M1426" s="14" t="str">
        <f t="shared" si="3"/>
        <v/>
      </c>
    </row>
    <row r="1427" spans="13:13" x14ac:dyDescent="0.3">
      <c r="M1427" s="14" t="str">
        <f t="shared" si="3"/>
        <v/>
      </c>
    </row>
    <row r="1428" spans="13:13" x14ac:dyDescent="0.3">
      <c r="M1428" s="14" t="str">
        <f t="shared" si="3"/>
        <v/>
      </c>
    </row>
    <row r="1429" spans="13:13" x14ac:dyDescent="0.3">
      <c r="M1429" s="14" t="str">
        <f t="shared" si="3"/>
        <v/>
      </c>
    </row>
    <row r="1430" spans="13:13" x14ac:dyDescent="0.3">
      <c r="M1430" s="14" t="str">
        <f t="shared" si="3"/>
        <v/>
      </c>
    </row>
    <row r="1431" spans="13:13" x14ac:dyDescent="0.3">
      <c r="M1431" s="14" t="str">
        <f t="shared" si="3"/>
        <v/>
      </c>
    </row>
    <row r="1432" spans="13:13" x14ac:dyDescent="0.3">
      <c r="M1432" s="14" t="str">
        <f t="shared" si="3"/>
        <v/>
      </c>
    </row>
    <row r="1433" spans="13:13" x14ac:dyDescent="0.3">
      <c r="M1433" s="14" t="str">
        <f t="shared" si="3"/>
        <v/>
      </c>
    </row>
    <row r="1434" spans="13:13" x14ac:dyDescent="0.3">
      <c r="M1434" s="14" t="str">
        <f t="shared" si="3"/>
        <v/>
      </c>
    </row>
    <row r="1435" spans="13:13" x14ac:dyDescent="0.3">
      <c r="M1435" s="14" t="str">
        <f t="shared" si="3"/>
        <v/>
      </c>
    </row>
    <row r="1436" spans="13:13" x14ac:dyDescent="0.3">
      <c r="M1436" s="14" t="str">
        <f t="shared" si="3"/>
        <v/>
      </c>
    </row>
    <row r="1437" spans="13:13" x14ac:dyDescent="0.3">
      <c r="M1437" s="14" t="str">
        <f t="shared" si="3"/>
        <v/>
      </c>
    </row>
    <row r="1438" spans="13:13" x14ac:dyDescent="0.3">
      <c r="M1438" s="14" t="str">
        <f t="shared" si="3"/>
        <v/>
      </c>
    </row>
    <row r="1439" spans="13:13" x14ac:dyDescent="0.3">
      <c r="M1439" s="14" t="str">
        <f t="shared" si="3"/>
        <v/>
      </c>
    </row>
    <row r="1440" spans="13:13" x14ac:dyDescent="0.3">
      <c r="M1440" s="14" t="str">
        <f t="shared" si="3"/>
        <v/>
      </c>
    </row>
    <row r="1441" spans="13:13" x14ac:dyDescent="0.3">
      <c r="M1441" s="14" t="str">
        <f t="shared" si="3"/>
        <v/>
      </c>
    </row>
    <row r="1442" spans="13:13" x14ac:dyDescent="0.3">
      <c r="M1442" s="14" t="str">
        <f t="shared" si="3"/>
        <v/>
      </c>
    </row>
    <row r="1443" spans="13:13" x14ac:dyDescent="0.3">
      <c r="M1443" s="14" t="str">
        <f t="shared" si="3"/>
        <v/>
      </c>
    </row>
    <row r="1444" spans="13:13" x14ac:dyDescent="0.3">
      <c r="M1444" s="14" t="str">
        <f t="shared" si="3"/>
        <v/>
      </c>
    </row>
    <row r="1445" spans="13:13" x14ac:dyDescent="0.3">
      <c r="M1445" s="14" t="str">
        <f t="shared" si="3"/>
        <v/>
      </c>
    </row>
    <row r="1446" spans="13:13" x14ac:dyDescent="0.3">
      <c r="M1446" s="14" t="str">
        <f t="shared" si="3"/>
        <v/>
      </c>
    </row>
    <row r="1447" spans="13:13" x14ac:dyDescent="0.3">
      <c r="M1447" s="14" t="str">
        <f t="shared" si="3"/>
        <v/>
      </c>
    </row>
    <row r="1448" spans="13:13" x14ac:dyDescent="0.3">
      <c r="M1448" s="14" t="str">
        <f t="shared" si="3"/>
        <v/>
      </c>
    </row>
    <row r="1449" spans="13:13" x14ac:dyDescent="0.3">
      <c r="M1449" s="14" t="str">
        <f t="shared" si="3"/>
        <v/>
      </c>
    </row>
    <row r="1450" spans="13:13" x14ac:dyDescent="0.3">
      <c r="M1450" s="14" t="str">
        <f t="shared" si="3"/>
        <v/>
      </c>
    </row>
    <row r="1451" spans="13:13" x14ac:dyDescent="0.3">
      <c r="M1451" s="14" t="str">
        <f t="shared" si="3"/>
        <v/>
      </c>
    </row>
    <row r="1452" spans="13:13" x14ac:dyDescent="0.3">
      <c r="M1452" s="14" t="str">
        <f t="shared" si="3"/>
        <v/>
      </c>
    </row>
    <row r="1453" spans="13:13" x14ac:dyDescent="0.3">
      <c r="M1453" s="14" t="str">
        <f t="shared" si="3"/>
        <v/>
      </c>
    </row>
    <row r="1454" spans="13:13" x14ac:dyDescent="0.3">
      <c r="M1454" s="14" t="str">
        <f t="shared" si="3"/>
        <v/>
      </c>
    </row>
    <row r="1455" spans="13:13" x14ac:dyDescent="0.3">
      <c r="M1455" s="14" t="str">
        <f t="shared" si="3"/>
        <v/>
      </c>
    </row>
    <row r="1456" spans="13:13" x14ac:dyDescent="0.3">
      <c r="M1456" s="14" t="str">
        <f t="shared" si="3"/>
        <v/>
      </c>
    </row>
    <row r="1457" spans="13:13" x14ac:dyDescent="0.3">
      <c r="M1457" s="14" t="str">
        <f t="shared" si="3"/>
        <v/>
      </c>
    </row>
    <row r="1458" spans="13:13" x14ac:dyDescent="0.3">
      <c r="M1458" s="14" t="str">
        <f t="shared" si="3"/>
        <v/>
      </c>
    </row>
    <row r="1459" spans="13:13" x14ac:dyDescent="0.3">
      <c r="M1459" s="14" t="str">
        <f t="shared" si="3"/>
        <v/>
      </c>
    </row>
    <row r="1460" spans="13:13" x14ac:dyDescent="0.3">
      <c r="M1460" s="14" t="str">
        <f t="shared" si="3"/>
        <v/>
      </c>
    </row>
    <row r="1461" spans="13:13" x14ac:dyDescent="0.3">
      <c r="M1461" s="14" t="str">
        <f t="shared" si="3"/>
        <v/>
      </c>
    </row>
    <row r="1462" spans="13:13" x14ac:dyDescent="0.3">
      <c r="M1462" s="14" t="str">
        <f t="shared" si="3"/>
        <v/>
      </c>
    </row>
    <row r="1463" spans="13:13" x14ac:dyDescent="0.3">
      <c r="M1463" s="14" t="str">
        <f t="shared" si="3"/>
        <v/>
      </c>
    </row>
    <row r="1464" spans="13:13" x14ac:dyDescent="0.3">
      <c r="M1464" s="14" t="str">
        <f t="shared" si="3"/>
        <v/>
      </c>
    </row>
    <row r="1465" spans="13:13" x14ac:dyDescent="0.3">
      <c r="M1465" s="14" t="str">
        <f t="shared" si="3"/>
        <v/>
      </c>
    </row>
    <row r="1466" spans="13:13" x14ac:dyDescent="0.3">
      <c r="M1466" s="14" t="str">
        <f t="shared" si="3"/>
        <v/>
      </c>
    </row>
    <row r="1467" spans="13:13" x14ac:dyDescent="0.3">
      <c r="M1467" s="14" t="str">
        <f t="shared" si="3"/>
        <v/>
      </c>
    </row>
    <row r="1468" spans="13:13" x14ac:dyDescent="0.3">
      <c r="M1468" s="14" t="str">
        <f t="shared" si="3"/>
        <v/>
      </c>
    </row>
    <row r="1469" spans="13:13" x14ac:dyDescent="0.3">
      <c r="M1469" s="14" t="str">
        <f t="shared" si="3"/>
        <v/>
      </c>
    </row>
    <row r="1470" spans="13:13" x14ac:dyDescent="0.3">
      <c r="M1470" s="14" t="str">
        <f t="shared" si="3"/>
        <v/>
      </c>
    </row>
    <row r="1471" spans="13:13" x14ac:dyDescent="0.3">
      <c r="M1471" s="14" t="str">
        <f t="shared" si="3"/>
        <v/>
      </c>
    </row>
    <row r="1472" spans="13:13" x14ac:dyDescent="0.3">
      <c r="M1472" s="14" t="str">
        <f t="shared" si="3"/>
        <v/>
      </c>
    </row>
    <row r="1473" spans="13:13" x14ac:dyDescent="0.3">
      <c r="M1473" s="14" t="str">
        <f t="shared" si="3"/>
        <v/>
      </c>
    </row>
    <row r="1474" spans="13:13" x14ac:dyDescent="0.3">
      <c r="M1474" s="14" t="str">
        <f t="shared" si="3"/>
        <v/>
      </c>
    </row>
    <row r="1475" spans="13:13" x14ac:dyDescent="0.3">
      <c r="M1475" s="14" t="str">
        <f t="shared" si="3"/>
        <v/>
      </c>
    </row>
    <row r="1476" spans="13:13" x14ac:dyDescent="0.3">
      <c r="M1476" s="14" t="str">
        <f t="shared" ref="M1476:M1539" si="4">IF($A1476="","",$A1476&amp;" — "&amp;$B1476)</f>
        <v/>
      </c>
    </row>
    <row r="1477" spans="13:13" x14ac:dyDescent="0.3">
      <c r="M1477" s="14" t="str">
        <f t="shared" si="4"/>
        <v/>
      </c>
    </row>
    <row r="1478" spans="13:13" x14ac:dyDescent="0.3">
      <c r="M1478" s="14" t="str">
        <f t="shared" si="4"/>
        <v/>
      </c>
    </row>
    <row r="1479" spans="13:13" x14ac:dyDescent="0.3">
      <c r="M1479" s="14" t="str">
        <f t="shared" si="4"/>
        <v/>
      </c>
    </row>
    <row r="1480" spans="13:13" x14ac:dyDescent="0.3">
      <c r="M1480" s="14" t="str">
        <f t="shared" si="4"/>
        <v/>
      </c>
    </row>
    <row r="1481" spans="13:13" x14ac:dyDescent="0.3">
      <c r="M1481" s="14" t="str">
        <f t="shared" si="4"/>
        <v/>
      </c>
    </row>
    <row r="1482" spans="13:13" x14ac:dyDescent="0.3">
      <c r="M1482" s="14" t="str">
        <f t="shared" si="4"/>
        <v/>
      </c>
    </row>
    <row r="1483" spans="13:13" x14ac:dyDescent="0.3">
      <c r="M1483" s="14" t="str">
        <f t="shared" si="4"/>
        <v/>
      </c>
    </row>
    <row r="1484" spans="13:13" x14ac:dyDescent="0.3">
      <c r="M1484" s="14" t="str">
        <f t="shared" si="4"/>
        <v/>
      </c>
    </row>
    <row r="1485" spans="13:13" x14ac:dyDescent="0.3">
      <c r="M1485" s="14" t="str">
        <f t="shared" si="4"/>
        <v/>
      </c>
    </row>
    <row r="1486" spans="13:13" x14ac:dyDescent="0.3">
      <c r="M1486" s="14" t="str">
        <f t="shared" si="4"/>
        <v/>
      </c>
    </row>
    <row r="1487" spans="13:13" x14ac:dyDescent="0.3">
      <c r="M1487" s="14" t="str">
        <f t="shared" si="4"/>
        <v/>
      </c>
    </row>
    <row r="1488" spans="13:13" x14ac:dyDescent="0.3">
      <c r="M1488" s="14" t="str">
        <f t="shared" si="4"/>
        <v/>
      </c>
    </row>
    <row r="1489" spans="13:13" x14ac:dyDescent="0.3">
      <c r="M1489" s="14" t="str">
        <f t="shared" si="4"/>
        <v/>
      </c>
    </row>
    <row r="1490" spans="13:13" x14ac:dyDescent="0.3">
      <c r="M1490" s="14" t="str">
        <f t="shared" si="4"/>
        <v/>
      </c>
    </row>
    <row r="1491" spans="13:13" x14ac:dyDescent="0.3">
      <c r="M1491" s="14" t="str">
        <f t="shared" si="4"/>
        <v/>
      </c>
    </row>
    <row r="1492" spans="13:13" x14ac:dyDescent="0.3">
      <c r="M1492" s="14" t="str">
        <f t="shared" si="4"/>
        <v/>
      </c>
    </row>
    <row r="1493" spans="13:13" x14ac:dyDescent="0.3">
      <c r="M1493" s="14" t="str">
        <f t="shared" si="4"/>
        <v/>
      </c>
    </row>
    <row r="1494" spans="13:13" x14ac:dyDescent="0.3">
      <c r="M1494" s="14" t="str">
        <f t="shared" si="4"/>
        <v/>
      </c>
    </row>
    <row r="1495" spans="13:13" x14ac:dyDescent="0.3">
      <c r="M1495" s="14" t="str">
        <f t="shared" si="4"/>
        <v/>
      </c>
    </row>
    <row r="1496" spans="13:13" x14ac:dyDescent="0.3">
      <c r="M1496" s="14" t="str">
        <f t="shared" si="4"/>
        <v/>
      </c>
    </row>
    <row r="1497" spans="13:13" x14ac:dyDescent="0.3">
      <c r="M1497" s="14" t="str">
        <f t="shared" si="4"/>
        <v/>
      </c>
    </row>
    <row r="1498" spans="13:13" x14ac:dyDescent="0.3">
      <c r="M1498" s="14" t="str">
        <f t="shared" si="4"/>
        <v/>
      </c>
    </row>
    <row r="1499" spans="13:13" x14ac:dyDescent="0.3">
      <c r="M1499" s="14" t="str">
        <f t="shared" si="4"/>
        <v/>
      </c>
    </row>
    <row r="1500" spans="13:13" x14ac:dyDescent="0.3">
      <c r="M1500" s="14" t="str">
        <f t="shared" si="4"/>
        <v/>
      </c>
    </row>
    <row r="1501" spans="13:13" x14ac:dyDescent="0.3">
      <c r="M1501" s="14" t="str">
        <f t="shared" si="4"/>
        <v/>
      </c>
    </row>
    <row r="1502" spans="13:13" x14ac:dyDescent="0.3">
      <c r="M1502" s="14" t="str">
        <f t="shared" si="4"/>
        <v/>
      </c>
    </row>
    <row r="1503" spans="13:13" x14ac:dyDescent="0.3">
      <c r="M1503" s="14" t="str">
        <f t="shared" si="4"/>
        <v/>
      </c>
    </row>
    <row r="1504" spans="13:13" x14ac:dyDescent="0.3">
      <c r="M1504" s="14" t="str">
        <f t="shared" si="4"/>
        <v/>
      </c>
    </row>
    <row r="1505" spans="13:13" x14ac:dyDescent="0.3">
      <c r="M1505" s="14" t="str">
        <f t="shared" si="4"/>
        <v/>
      </c>
    </row>
    <row r="1506" spans="13:13" x14ac:dyDescent="0.3">
      <c r="M1506" s="14" t="str">
        <f t="shared" si="4"/>
        <v/>
      </c>
    </row>
    <row r="1507" spans="13:13" x14ac:dyDescent="0.3">
      <c r="M1507" s="14" t="str">
        <f t="shared" si="4"/>
        <v/>
      </c>
    </row>
    <row r="1508" spans="13:13" x14ac:dyDescent="0.3">
      <c r="M1508" s="14" t="str">
        <f t="shared" si="4"/>
        <v/>
      </c>
    </row>
    <row r="1509" spans="13:13" x14ac:dyDescent="0.3">
      <c r="M1509" s="14" t="str">
        <f t="shared" si="4"/>
        <v/>
      </c>
    </row>
    <row r="1510" spans="13:13" x14ac:dyDescent="0.3">
      <c r="M1510" s="14" t="str">
        <f t="shared" si="4"/>
        <v/>
      </c>
    </row>
    <row r="1511" spans="13:13" x14ac:dyDescent="0.3">
      <c r="M1511" s="14" t="str">
        <f t="shared" si="4"/>
        <v/>
      </c>
    </row>
    <row r="1512" spans="13:13" x14ac:dyDescent="0.3">
      <c r="M1512" s="14" t="str">
        <f t="shared" si="4"/>
        <v/>
      </c>
    </row>
    <row r="1513" spans="13:13" x14ac:dyDescent="0.3">
      <c r="M1513" s="14" t="str">
        <f t="shared" si="4"/>
        <v/>
      </c>
    </row>
    <row r="1514" spans="13:13" x14ac:dyDescent="0.3">
      <c r="M1514" s="14" t="str">
        <f t="shared" si="4"/>
        <v/>
      </c>
    </row>
    <row r="1515" spans="13:13" x14ac:dyDescent="0.3">
      <c r="M1515" s="14" t="str">
        <f t="shared" si="4"/>
        <v/>
      </c>
    </row>
    <row r="1516" spans="13:13" x14ac:dyDescent="0.3">
      <c r="M1516" s="14" t="str">
        <f t="shared" si="4"/>
        <v/>
      </c>
    </row>
    <row r="1517" spans="13:13" x14ac:dyDescent="0.3">
      <c r="M1517" s="14" t="str">
        <f t="shared" si="4"/>
        <v/>
      </c>
    </row>
    <row r="1518" spans="13:13" x14ac:dyDescent="0.3">
      <c r="M1518" s="14" t="str">
        <f t="shared" si="4"/>
        <v/>
      </c>
    </row>
    <row r="1519" spans="13:13" x14ac:dyDescent="0.3">
      <c r="M1519" s="14" t="str">
        <f t="shared" si="4"/>
        <v/>
      </c>
    </row>
    <row r="1520" spans="13:13" x14ac:dyDescent="0.3">
      <c r="M1520" s="14" t="str">
        <f t="shared" si="4"/>
        <v/>
      </c>
    </row>
    <row r="1521" spans="13:13" x14ac:dyDescent="0.3">
      <c r="M1521" s="14" t="str">
        <f t="shared" si="4"/>
        <v/>
      </c>
    </row>
    <row r="1522" spans="13:13" x14ac:dyDescent="0.3">
      <c r="M1522" s="14" t="str">
        <f t="shared" si="4"/>
        <v/>
      </c>
    </row>
    <row r="1523" spans="13:13" x14ac:dyDescent="0.3">
      <c r="M1523" s="14" t="str">
        <f t="shared" si="4"/>
        <v/>
      </c>
    </row>
    <row r="1524" spans="13:13" x14ac:dyDescent="0.3">
      <c r="M1524" s="14" t="str">
        <f t="shared" si="4"/>
        <v/>
      </c>
    </row>
    <row r="1525" spans="13:13" x14ac:dyDescent="0.3">
      <c r="M1525" s="14" t="str">
        <f t="shared" si="4"/>
        <v/>
      </c>
    </row>
    <row r="1526" spans="13:13" x14ac:dyDescent="0.3">
      <c r="M1526" s="14" t="str">
        <f t="shared" si="4"/>
        <v/>
      </c>
    </row>
    <row r="1527" spans="13:13" x14ac:dyDescent="0.3">
      <c r="M1527" s="14" t="str">
        <f t="shared" si="4"/>
        <v/>
      </c>
    </row>
    <row r="1528" spans="13:13" x14ac:dyDescent="0.3">
      <c r="M1528" s="14" t="str">
        <f t="shared" si="4"/>
        <v/>
      </c>
    </row>
    <row r="1529" spans="13:13" x14ac:dyDescent="0.3">
      <c r="M1529" s="14" t="str">
        <f t="shared" si="4"/>
        <v/>
      </c>
    </row>
    <row r="1530" spans="13:13" x14ac:dyDescent="0.3">
      <c r="M1530" s="14" t="str">
        <f t="shared" si="4"/>
        <v/>
      </c>
    </row>
    <row r="1531" spans="13:13" x14ac:dyDescent="0.3">
      <c r="M1531" s="14" t="str">
        <f t="shared" si="4"/>
        <v/>
      </c>
    </row>
    <row r="1532" spans="13:13" x14ac:dyDescent="0.3">
      <c r="M1532" s="14" t="str">
        <f t="shared" si="4"/>
        <v/>
      </c>
    </row>
    <row r="1533" spans="13:13" x14ac:dyDescent="0.3">
      <c r="M1533" s="14" t="str">
        <f t="shared" si="4"/>
        <v/>
      </c>
    </row>
    <row r="1534" spans="13:13" x14ac:dyDescent="0.3">
      <c r="M1534" s="14" t="str">
        <f t="shared" si="4"/>
        <v/>
      </c>
    </row>
    <row r="1535" spans="13:13" x14ac:dyDescent="0.3">
      <c r="M1535" s="14" t="str">
        <f t="shared" si="4"/>
        <v/>
      </c>
    </row>
    <row r="1536" spans="13:13" x14ac:dyDescent="0.3">
      <c r="M1536" s="14" t="str">
        <f t="shared" si="4"/>
        <v/>
      </c>
    </row>
    <row r="1537" spans="13:13" x14ac:dyDescent="0.3">
      <c r="M1537" s="14" t="str">
        <f t="shared" si="4"/>
        <v/>
      </c>
    </row>
    <row r="1538" spans="13:13" x14ac:dyDescent="0.3">
      <c r="M1538" s="14" t="str">
        <f t="shared" si="4"/>
        <v/>
      </c>
    </row>
    <row r="1539" spans="13:13" x14ac:dyDescent="0.3">
      <c r="M1539" s="14" t="str">
        <f t="shared" si="4"/>
        <v/>
      </c>
    </row>
    <row r="1540" spans="13:13" x14ac:dyDescent="0.3">
      <c r="M1540" s="14" t="str">
        <f t="shared" ref="M1540:M1603" si="5">IF($A1540="","",$A1540&amp;" — "&amp;$B1540)</f>
        <v/>
      </c>
    </row>
    <row r="1541" spans="13:13" x14ac:dyDescent="0.3">
      <c r="M1541" s="14" t="str">
        <f t="shared" si="5"/>
        <v/>
      </c>
    </row>
    <row r="1542" spans="13:13" x14ac:dyDescent="0.3">
      <c r="M1542" s="14" t="str">
        <f t="shared" si="5"/>
        <v/>
      </c>
    </row>
    <row r="1543" spans="13:13" x14ac:dyDescent="0.3">
      <c r="M1543" s="14" t="str">
        <f t="shared" si="5"/>
        <v/>
      </c>
    </row>
    <row r="1544" spans="13:13" x14ac:dyDescent="0.3">
      <c r="M1544" s="14" t="str">
        <f t="shared" si="5"/>
        <v/>
      </c>
    </row>
    <row r="1545" spans="13:13" x14ac:dyDescent="0.3">
      <c r="M1545" s="14" t="str">
        <f t="shared" si="5"/>
        <v/>
      </c>
    </row>
    <row r="1546" spans="13:13" x14ac:dyDescent="0.3">
      <c r="M1546" s="14" t="str">
        <f t="shared" si="5"/>
        <v/>
      </c>
    </row>
    <row r="1547" spans="13:13" x14ac:dyDescent="0.3">
      <c r="M1547" s="14" t="str">
        <f t="shared" si="5"/>
        <v/>
      </c>
    </row>
    <row r="1548" spans="13:13" x14ac:dyDescent="0.3">
      <c r="M1548" s="14" t="str">
        <f t="shared" si="5"/>
        <v/>
      </c>
    </row>
    <row r="1549" spans="13:13" x14ac:dyDescent="0.3">
      <c r="M1549" s="14" t="str">
        <f t="shared" si="5"/>
        <v/>
      </c>
    </row>
    <row r="1550" spans="13:13" x14ac:dyDescent="0.3">
      <c r="M1550" s="14" t="str">
        <f t="shared" si="5"/>
        <v/>
      </c>
    </row>
    <row r="1551" spans="13:13" x14ac:dyDescent="0.3">
      <c r="M1551" s="14" t="str">
        <f t="shared" si="5"/>
        <v/>
      </c>
    </row>
    <row r="1552" spans="13:13" x14ac:dyDescent="0.3">
      <c r="M1552" s="14" t="str">
        <f t="shared" si="5"/>
        <v/>
      </c>
    </row>
    <row r="1553" spans="13:13" x14ac:dyDescent="0.3">
      <c r="M1553" s="14" t="str">
        <f t="shared" si="5"/>
        <v/>
      </c>
    </row>
    <row r="1554" spans="13:13" x14ac:dyDescent="0.3">
      <c r="M1554" s="14" t="str">
        <f t="shared" si="5"/>
        <v/>
      </c>
    </row>
    <row r="1555" spans="13:13" x14ac:dyDescent="0.3">
      <c r="M1555" s="14" t="str">
        <f t="shared" si="5"/>
        <v/>
      </c>
    </row>
    <row r="1556" spans="13:13" x14ac:dyDescent="0.3">
      <c r="M1556" s="14" t="str">
        <f t="shared" si="5"/>
        <v/>
      </c>
    </row>
    <row r="1557" spans="13:13" x14ac:dyDescent="0.3">
      <c r="M1557" s="14" t="str">
        <f t="shared" si="5"/>
        <v/>
      </c>
    </row>
    <row r="1558" spans="13:13" x14ac:dyDescent="0.3">
      <c r="M1558" s="14" t="str">
        <f t="shared" si="5"/>
        <v/>
      </c>
    </row>
    <row r="1559" spans="13:13" x14ac:dyDescent="0.3">
      <c r="M1559" s="14" t="str">
        <f t="shared" si="5"/>
        <v/>
      </c>
    </row>
    <row r="1560" spans="13:13" x14ac:dyDescent="0.3">
      <c r="M1560" s="14" t="str">
        <f t="shared" si="5"/>
        <v/>
      </c>
    </row>
    <row r="1561" spans="13:13" x14ac:dyDescent="0.3">
      <c r="M1561" s="14" t="str">
        <f t="shared" si="5"/>
        <v/>
      </c>
    </row>
    <row r="1562" spans="13:13" x14ac:dyDescent="0.3">
      <c r="M1562" s="14" t="str">
        <f t="shared" si="5"/>
        <v/>
      </c>
    </row>
    <row r="1563" spans="13:13" x14ac:dyDescent="0.3">
      <c r="M1563" s="14" t="str">
        <f t="shared" si="5"/>
        <v/>
      </c>
    </row>
    <row r="1564" spans="13:13" x14ac:dyDescent="0.3">
      <c r="M1564" s="14" t="str">
        <f t="shared" si="5"/>
        <v/>
      </c>
    </row>
    <row r="1565" spans="13:13" x14ac:dyDescent="0.3">
      <c r="M1565" s="14" t="str">
        <f t="shared" si="5"/>
        <v/>
      </c>
    </row>
    <row r="1566" spans="13:13" x14ac:dyDescent="0.3">
      <c r="M1566" s="14" t="str">
        <f t="shared" si="5"/>
        <v/>
      </c>
    </row>
    <row r="1567" spans="13:13" x14ac:dyDescent="0.3">
      <c r="M1567" s="14" t="str">
        <f t="shared" si="5"/>
        <v/>
      </c>
    </row>
    <row r="1568" spans="13:13" x14ac:dyDescent="0.3">
      <c r="M1568" s="14" t="str">
        <f t="shared" si="5"/>
        <v/>
      </c>
    </row>
    <row r="1569" spans="13:13" x14ac:dyDescent="0.3">
      <c r="M1569" s="14" t="str">
        <f t="shared" si="5"/>
        <v/>
      </c>
    </row>
    <row r="1570" spans="13:13" x14ac:dyDescent="0.3">
      <c r="M1570" s="14" t="str">
        <f t="shared" si="5"/>
        <v/>
      </c>
    </row>
    <row r="1571" spans="13:13" x14ac:dyDescent="0.3">
      <c r="M1571" s="14" t="str">
        <f t="shared" si="5"/>
        <v/>
      </c>
    </row>
    <row r="1572" spans="13:13" x14ac:dyDescent="0.3">
      <c r="M1572" s="14" t="str">
        <f t="shared" si="5"/>
        <v/>
      </c>
    </row>
    <row r="1573" spans="13:13" x14ac:dyDescent="0.3">
      <c r="M1573" s="14" t="str">
        <f t="shared" si="5"/>
        <v/>
      </c>
    </row>
    <row r="1574" spans="13:13" x14ac:dyDescent="0.3">
      <c r="M1574" s="14" t="str">
        <f t="shared" si="5"/>
        <v/>
      </c>
    </row>
    <row r="1575" spans="13:13" x14ac:dyDescent="0.3">
      <c r="M1575" s="14" t="str">
        <f t="shared" si="5"/>
        <v/>
      </c>
    </row>
    <row r="1576" spans="13:13" x14ac:dyDescent="0.3">
      <c r="M1576" s="14" t="str">
        <f t="shared" si="5"/>
        <v/>
      </c>
    </row>
    <row r="1577" spans="13:13" x14ac:dyDescent="0.3">
      <c r="M1577" s="14" t="str">
        <f t="shared" si="5"/>
        <v/>
      </c>
    </row>
    <row r="1578" spans="13:13" x14ac:dyDescent="0.3">
      <c r="M1578" s="14" t="str">
        <f t="shared" si="5"/>
        <v/>
      </c>
    </row>
    <row r="1579" spans="13:13" x14ac:dyDescent="0.3">
      <c r="M1579" s="14" t="str">
        <f t="shared" si="5"/>
        <v/>
      </c>
    </row>
    <row r="1580" spans="13:13" x14ac:dyDescent="0.3">
      <c r="M1580" s="14" t="str">
        <f t="shared" si="5"/>
        <v/>
      </c>
    </row>
    <row r="1581" spans="13:13" x14ac:dyDescent="0.3">
      <c r="M1581" s="14" t="str">
        <f t="shared" si="5"/>
        <v/>
      </c>
    </row>
    <row r="1582" spans="13:13" x14ac:dyDescent="0.3">
      <c r="M1582" s="14" t="str">
        <f t="shared" si="5"/>
        <v/>
      </c>
    </row>
    <row r="1583" spans="13:13" x14ac:dyDescent="0.3">
      <c r="M1583" s="14" t="str">
        <f t="shared" si="5"/>
        <v/>
      </c>
    </row>
    <row r="1584" spans="13:13" x14ac:dyDescent="0.3">
      <c r="M1584" s="14" t="str">
        <f t="shared" si="5"/>
        <v/>
      </c>
    </row>
    <row r="1585" spans="13:13" x14ac:dyDescent="0.3">
      <c r="M1585" s="14" t="str">
        <f t="shared" si="5"/>
        <v/>
      </c>
    </row>
    <row r="1586" spans="13:13" x14ac:dyDescent="0.3">
      <c r="M1586" s="14" t="str">
        <f t="shared" si="5"/>
        <v/>
      </c>
    </row>
    <row r="1587" spans="13:13" x14ac:dyDescent="0.3">
      <c r="M1587" s="14" t="str">
        <f t="shared" si="5"/>
        <v/>
      </c>
    </row>
    <row r="1588" spans="13:13" x14ac:dyDescent="0.3">
      <c r="M1588" s="14" t="str">
        <f t="shared" si="5"/>
        <v/>
      </c>
    </row>
    <row r="1589" spans="13:13" x14ac:dyDescent="0.3">
      <c r="M1589" s="14" t="str">
        <f t="shared" si="5"/>
        <v/>
      </c>
    </row>
    <row r="1590" spans="13:13" x14ac:dyDescent="0.3">
      <c r="M1590" s="14" t="str">
        <f t="shared" si="5"/>
        <v/>
      </c>
    </row>
    <row r="1591" spans="13:13" x14ac:dyDescent="0.3">
      <c r="M1591" s="14" t="str">
        <f t="shared" si="5"/>
        <v/>
      </c>
    </row>
    <row r="1592" spans="13:13" x14ac:dyDescent="0.3">
      <c r="M1592" s="14" t="str">
        <f t="shared" si="5"/>
        <v/>
      </c>
    </row>
    <row r="1593" spans="13:13" x14ac:dyDescent="0.3">
      <c r="M1593" s="14" t="str">
        <f t="shared" si="5"/>
        <v/>
      </c>
    </row>
    <row r="1594" spans="13:13" x14ac:dyDescent="0.3">
      <c r="M1594" s="14" t="str">
        <f t="shared" si="5"/>
        <v/>
      </c>
    </row>
    <row r="1595" spans="13:13" x14ac:dyDescent="0.3">
      <c r="M1595" s="14" t="str">
        <f t="shared" si="5"/>
        <v/>
      </c>
    </row>
    <row r="1596" spans="13:13" x14ac:dyDescent="0.3">
      <c r="M1596" s="14" t="str">
        <f t="shared" si="5"/>
        <v/>
      </c>
    </row>
    <row r="1597" spans="13:13" x14ac:dyDescent="0.3">
      <c r="M1597" s="14" t="str">
        <f t="shared" si="5"/>
        <v/>
      </c>
    </row>
    <row r="1598" spans="13:13" x14ac:dyDescent="0.3">
      <c r="M1598" s="14" t="str">
        <f t="shared" si="5"/>
        <v/>
      </c>
    </row>
    <row r="1599" spans="13:13" x14ac:dyDescent="0.3">
      <c r="M1599" s="14" t="str">
        <f t="shared" si="5"/>
        <v/>
      </c>
    </row>
    <row r="1600" spans="13:13" x14ac:dyDescent="0.3">
      <c r="M1600" s="14" t="str">
        <f t="shared" si="5"/>
        <v/>
      </c>
    </row>
    <row r="1601" spans="13:13" x14ac:dyDescent="0.3">
      <c r="M1601" s="14" t="str">
        <f t="shared" si="5"/>
        <v/>
      </c>
    </row>
    <row r="1602" spans="13:13" x14ac:dyDescent="0.3">
      <c r="M1602" s="14" t="str">
        <f t="shared" si="5"/>
        <v/>
      </c>
    </row>
    <row r="1603" spans="13:13" x14ac:dyDescent="0.3">
      <c r="M1603" s="14" t="str">
        <f t="shared" si="5"/>
        <v/>
      </c>
    </row>
    <row r="1604" spans="13:13" x14ac:dyDescent="0.3">
      <c r="M1604" s="14" t="str">
        <f t="shared" ref="M1604:M1667" si="6">IF($A1604="","",$A1604&amp;" — "&amp;$B1604)</f>
        <v/>
      </c>
    </row>
    <row r="1605" spans="13:13" x14ac:dyDescent="0.3">
      <c r="M1605" s="14" t="str">
        <f t="shared" si="6"/>
        <v/>
      </c>
    </row>
    <row r="1606" spans="13:13" x14ac:dyDescent="0.3">
      <c r="M1606" s="14" t="str">
        <f t="shared" si="6"/>
        <v/>
      </c>
    </row>
    <row r="1607" spans="13:13" x14ac:dyDescent="0.3">
      <c r="M1607" s="14" t="str">
        <f t="shared" si="6"/>
        <v/>
      </c>
    </row>
    <row r="1608" spans="13:13" x14ac:dyDescent="0.3">
      <c r="M1608" s="14" t="str">
        <f t="shared" si="6"/>
        <v/>
      </c>
    </row>
    <row r="1609" spans="13:13" x14ac:dyDescent="0.3">
      <c r="M1609" s="14" t="str">
        <f t="shared" si="6"/>
        <v/>
      </c>
    </row>
    <row r="1610" spans="13:13" x14ac:dyDescent="0.3">
      <c r="M1610" s="14" t="str">
        <f t="shared" si="6"/>
        <v/>
      </c>
    </row>
    <row r="1611" spans="13:13" x14ac:dyDescent="0.3">
      <c r="M1611" s="14" t="str">
        <f t="shared" si="6"/>
        <v/>
      </c>
    </row>
    <row r="1612" spans="13:13" x14ac:dyDescent="0.3">
      <c r="M1612" s="14" t="str">
        <f t="shared" si="6"/>
        <v/>
      </c>
    </row>
    <row r="1613" spans="13:13" x14ac:dyDescent="0.3">
      <c r="M1613" s="14" t="str">
        <f t="shared" si="6"/>
        <v/>
      </c>
    </row>
    <row r="1614" spans="13:13" x14ac:dyDescent="0.3">
      <c r="M1614" s="14" t="str">
        <f t="shared" si="6"/>
        <v/>
      </c>
    </row>
    <row r="1615" spans="13:13" x14ac:dyDescent="0.3">
      <c r="M1615" s="14" t="str">
        <f t="shared" si="6"/>
        <v/>
      </c>
    </row>
    <row r="1616" spans="13:13" x14ac:dyDescent="0.3">
      <c r="M1616" s="14" t="str">
        <f t="shared" si="6"/>
        <v/>
      </c>
    </row>
    <row r="1617" spans="13:13" x14ac:dyDescent="0.3">
      <c r="M1617" s="14" t="str">
        <f t="shared" si="6"/>
        <v/>
      </c>
    </row>
    <row r="1618" spans="13:13" x14ac:dyDescent="0.3">
      <c r="M1618" s="14" t="str">
        <f t="shared" si="6"/>
        <v/>
      </c>
    </row>
    <row r="1619" spans="13:13" x14ac:dyDescent="0.3">
      <c r="M1619" s="14" t="str">
        <f t="shared" si="6"/>
        <v/>
      </c>
    </row>
    <row r="1620" spans="13:13" x14ac:dyDescent="0.3">
      <c r="M1620" s="14" t="str">
        <f t="shared" si="6"/>
        <v/>
      </c>
    </row>
    <row r="1621" spans="13:13" x14ac:dyDescent="0.3">
      <c r="M1621" s="14" t="str">
        <f t="shared" si="6"/>
        <v/>
      </c>
    </row>
    <row r="1622" spans="13:13" x14ac:dyDescent="0.3">
      <c r="M1622" s="14" t="str">
        <f t="shared" si="6"/>
        <v/>
      </c>
    </row>
    <row r="1623" spans="13:13" x14ac:dyDescent="0.3">
      <c r="M1623" s="14" t="str">
        <f t="shared" si="6"/>
        <v/>
      </c>
    </row>
    <row r="1624" spans="13:13" x14ac:dyDescent="0.3">
      <c r="M1624" s="14" t="str">
        <f t="shared" si="6"/>
        <v/>
      </c>
    </row>
    <row r="1625" spans="13:13" x14ac:dyDescent="0.3">
      <c r="M1625" s="14" t="str">
        <f t="shared" si="6"/>
        <v/>
      </c>
    </row>
    <row r="1626" spans="13:13" x14ac:dyDescent="0.3">
      <c r="M1626" s="14" t="str">
        <f t="shared" si="6"/>
        <v/>
      </c>
    </row>
    <row r="1627" spans="13:13" x14ac:dyDescent="0.3">
      <c r="M1627" s="14" t="str">
        <f t="shared" si="6"/>
        <v/>
      </c>
    </row>
    <row r="1628" spans="13:13" x14ac:dyDescent="0.3">
      <c r="M1628" s="14" t="str">
        <f t="shared" si="6"/>
        <v/>
      </c>
    </row>
    <row r="1629" spans="13:13" x14ac:dyDescent="0.3">
      <c r="M1629" s="14" t="str">
        <f t="shared" si="6"/>
        <v/>
      </c>
    </row>
    <row r="1630" spans="13:13" x14ac:dyDescent="0.3">
      <c r="M1630" s="14" t="str">
        <f t="shared" si="6"/>
        <v/>
      </c>
    </row>
    <row r="1631" spans="13:13" x14ac:dyDescent="0.3">
      <c r="M1631" s="14" t="str">
        <f t="shared" si="6"/>
        <v/>
      </c>
    </row>
    <row r="1632" spans="13:13" x14ac:dyDescent="0.3">
      <c r="M1632" s="14" t="str">
        <f t="shared" si="6"/>
        <v/>
      </c>
    </row>
    <row r="1633" spans="13:13" x14ac:dyDescent="0.3">
      <c r="M1633" s="14" t="str">
        <f t="shared" si="6"/>
        <v/>
      </c>
    </row>
    <row r="1634" spans="13:13" x14ac:dyDescent="0.3">
      <c r="M1634" s="14" t="str">
        <f t="shared" si="6"/>
        <v/>
      </c>
    </row>
    <row r="1635" spans="13:13" x14ac:dyDescent="0.3">
      <c r="M1635" s="14" t="str">
        <f t="shared" si="6"/>
        <v/>
      </c>
    </row>
    <row r="1636" spans="13:13" x14ac:dyDescent="0.3">
      <c r="M1636" s="14" t="str">
        <f t="shared" si="6"/>
        <v/>
      </c>
    </row>
    <row r="1637" spans="13:13" x14ac:dyDescent="0.3">
      <c r="M1637" s="14" t="str">
        <f t="shared" si="6"/>
        <v/>
      </c>
    </row>
    <row r="1638" spans="13:13" x14ac:dyDescent="0.3">
      <c r="M1638" s="14" t="str">
        <f t="shared" si="6"/>
        <v/>
      </c>
    </row>
    <row r="1639" spans="13:13" x14ac:dyDescent="0.3">
      <c r="M1639" s="14" t="str">
        <f t="shared" si="6"/>
        <v/>
      </c>
    </row>
    <row r="1640" spans="13:13" x14ac:dyDescent="0.3">
      <c r="M1640" s="14" t="str">
        <f t="shared" si="6"/>
        <v/>
      </c>
    </row>
    <row r="1641" spans="13:13" x14ac:dyDescent="0.3">
      <c r="M1641" s="14" t="str">
        <f t="shared" si="6"/>
        <v/>
      </c>
    </row>
    <row r="1642" spans="13:13" x14ac:dyDescent="0.3">
      <c r="M1642" s="14" t="str">
        <f t="shared" si="6"/>
        <v/>
      </c>
    </row>
    <row r="1643" spans="13:13" x14ac:dyDescent="0.3">
      <c r="M1643" s="14" t="str">
        <f t="shared" si="6"/>
        <v/>
      </c>
    </row>
    <row r="1644" spans="13:13" x14ac:dyDescent="0.3">
      <c r="M1644" s="14" t="str">
        <f t="shared" si="6"/>
        <v/>
      </c>
    </row>
    <row r="1645" spans="13:13" x14ac:dyDescent="0.3">
      <c r="M1645" s="14" t="str">
        <f t="shared" si="6"/>
        <v/>
      </c>
    </row>
    <row r="1646" spans="13:13" x14ac:dyDescent="0.3">
      <c r="M1646" s="14" t="str">
        <f t="shared" si="6"/>
        <v/>
      </c>
    </row>
    <row r="1647" spans="13:13" x14ac:dyDescent="0.3">
      <c r="M1647" s="14" t="str">
        <f t="shared" si="6"/>
        <v/>
      </c>
    </row>
    <row r="1648" spans="13:13" x14ac:dyDescent="0.3">
      <c r="M1648" s="14" t="str">
        <f t="shared" si="6"/>
        <v/>
      </c>
    </row>
    <row r="1649" spans="13:13" x14ac:dyDescent="0.3">
      <c r="M1649" s="14" t="str">
        <f t="shared" si="6"/>
        <v/>
      </c>
    </row>
    <row r="1650" spans="13:13" x14ac:dyDescent="0.3">
      <c r="M1650" s="14" t="str">
        <f t="shared" si="6"/>
        <v/>
      </c>
    </row>
    <row r="1651" spans="13:13" x14ac:dyDescent="0.3">
      <c r="M1651" s="14" t="str">
        <f t="shared" si="6"/>
        <v/>
      </c>
    </row>
    <row r="1652" spans="13:13" x14ac:dyDescent="0.3">
      <c r="M1652" s="14" t="str">
        <f t="shared" si="6"/>
        <v/>
      </c>
    </row>
    <row r="1653" spans="13:13" x14ac:dyDescent="0.3">
      <c r="M1653" s="14" t="str">
        <f t="shared" si="6"/>
        <v/>
      </c>
    </row>
    <row r="1654" spans="13:13" x14ac:dyDescent="0.3">
      <c r="M1654" s="14" t="str">
        <f t="shared" si="6"/>
        <v/>
      </c>
    </row>
    <row r="1655" spans="13:13" x14ac:dyDescent="0.3">
      <c r="M1655" s="14" t="str">
        <f t="shared" si="6"/>
        <v/>
      </c>
    </row>
    <row r="1656" spans="13:13" x14ac:dyDescent="0.3">
      <c r="M1656" s="14" t="str">
        <f t="shared" si="6"/>
        <v/>
      </c>
    </row>
    <row r="1657" spans="13:13" x14ac:dyDescent="0.3">
      <c r="M1657" s="14" t="str">
        <f t="shared" si="6"/>
        <v/>
      </c>
    </row>
    <row r="1658" spans="13:13" x14ac:dyDescent="0.3">
      <c r="M1658" s="14" t="str">
        <f t="shared" si="6"/>
        <v/>
      </c>
    </row>
    <row r="1659" spans="13:13" x14ac:dyDescent="0.3">
      <c r="M1659" s="14" t="str">
        <f t="shared" si="6"/>
        <v/>
      </c>
    </row>
    <row r="1660" spans="13:13" x14ac:dyDescent="0.3">
      <c r="M1660" s="14" t="str">
        <f t="shared" si="6"/>
        <v/>
      </c>
    </row>
    <row r="1661" spans="13:13" x14ac:dyDescent="0.3">
      <c r="M1661" s="14" t="str">
        <f t="shared" si="6"/>
        <v/>
      </c>
    </row>
    <row r="1662" spans="13:13" x14ac:dyDescent="0.3">
      <c r="M1662" s="14" t="str">
        <f t="shared" si="6"/>
        <v/>
      </c>
    </row>
    <row r="1663" spans="13:13" x14ac:dyDescent="0.3">
      <c r="M1663" s="14" t="str">
        <f t="shared" si="6"/>
        <v/>
      </c>
    </row>
    <row r="1664" spans="13:13" x14ac:dyDescent="0.3">
      <c r="M1664" s="14" t="str">
        <f t="shared" si="6"/>
        <v/>
      </c>
    </row>
    <row r="1665" spans="13:13" x14ac:dyDescent="0.3">
      <c r="M1665" s="14" t="str">
        <f t="shared" si="6"/>
        <v/>
      </c>
    </row>
    <row r="1666" spans="13:13" x14ac:dyDescent="0.3">
      <c r="M1666" s="14" t="str">
        <f t="shared" si="6"/>
        <v/>
      </c>
    </row>
    <row r="1667" spans="13:13" x14ac:dyDescent="0.3">
      <c r="M1667" s="14" t="str">
        <f t="shared" si="6"/>
        <v/>
      </c>
    </row>
    <row r="1668" spans="13:13" x14ac:dyDescent="0.3">
      <c r="M1668" s="14" t="str">
        <f t="shared" ref="M1668:M1731" si="7">IF($A1668="","",$A1668&amp;" — "&amp;$B1668)</f>
        <v/>
      </c>
    </row>
    <row r="1669" spans="13:13" x14ac:dyDescent="0.3">
      <c r="M1669" s="14" t="str">
        <f t="shared" si="7"/>
        <v/>
      </c>
    </row>
    <row r="1670" spans="13:13" x14ac:dyDescent="0.3">
      <c r="M1670" s="14" t="str">
        <f t="shared" si="7"/>
        <v/>
      </c>
    </row>
    <row r="1671" spans="13:13" x14ac:dyDescent="0.3">
      <c r="M1671" s="14" t="str">
        <f t="shared" si="7"/>
        <v/>
      </c>
    </row>
    <row r="1672" spans="13:13" x14ac:dyDescent="0.3">
      <c r="M1672" s="14" t="str">
        <f t="shared" si="7"/>
        <v/>
      </c>
    </row>
    <row r="1673" spans="13:13" x14ac:dyDescent="0.3">
      <c r="M1673" s="14" t="str">
        <f t="shared" si="7"/>
        <v/>
      </c>
    </row>
    <row r="1674" spans="13:13" x14ac:dyDescent="0.3">
      <c r="M1674" s="14" t="str">
        <f t="shared" si="7"/>
        <v/>
      </c>
    </row>
    <row r="1675" spans="13:13" x14ac:dyDescent="0.3">
      <c r="M1675" s="14" t="str">
        <f t="shared" si="7"/>
        <v/>
      </c>
    </row>
    <row r="1676" spans="13:13" x14ac:dyDescent="0.3">
      <c r="M1676" s="14" t="str">
        <f t="shared" si="7"/>
        <v/>
      </c>
    </row>
    <row r="1677" spans="13:13" x14ac:dyDescent="0.3">
      <c r="M1677" s="14" t="str">
        <f t="shared" si="7"/>
        <v/>
      </c>
    </row>
    <row r="1678" spans="13:13" x14ac:dyDescent="0.3">
      <c r="M1678" s="14" t="str">
        <f t="shared" si="7"/>
        <v/>
      </c>
    </row>
    <row r="1679" spans="13:13" x14ac:dyDescent="0.3">
      <c r="M1679" s="14" t="str">
        <f t="shared" si="7"/>
        <v/>
      </c>
    </row>
    <row r="1680" spans="13:13" x14ac:dyDescent="0.3">
      <c r="M1680" s="14" t="str">
        <f t="shared" si="7"/>
        <v/>
      </c>
    </row>
    <row r="1681" spans="13:13" x14ac:dyDescent="0.3">
      <c r="M1681" s="14" t="str">
        <f t="shared" si="7"/>
        <v/>
      </c>
    </row>
    <row r="1682" spans="13:13" x14ac:dyDescent="0.3">
      <c r="M1682" s="14" t="str">
        <f t="shared" si="7"/>
        <v/>
      </c>
    </row>
    <row r="1683" spans="13:13" x14ac:dyDescent="0.3">
      <c r="M1683" s="14" t="str">
        <f t="shared" si="7"/>
        <v/>
      </c>
    </row>
    <row r="1684" spans="13:13" x14ac:dyDescent="0.3">
      <c r="M1684" s="14" t="str">
        <f t="shared" si="7"/>
        <v/>
      </c>
    </row>
    <row r="1685" spans="13:13" x14ac:dyDescent="0.3">
      <c r="M1685" s="14" t="str">
        <f t="shared" si="7"/>
        <v/>
      </c>
    </row>
    <row r="1686" spans="13:13" x14ac:dyDescent="0.3">
      <c r="M1686" s="14" t="str">
        <f t="shared" si="7"/>
        <v/>
      </c>
    </row>
    <row r="1687" spans="13:13" x14ac:dyDescent="0.3">
      <c r="M1687" s="14" t="str">
        <f t="shared" si="7"/>
        <v/>
      </c>
    </row>
    <row r="1688" spans="13:13" x14ac:dyDescent="0.3">
      <c r="M1688" s="14" t="str">
        <f t="shared" si="7"/>
        <v/>
      </c>
    </row>
    <row r="1689" spans="13:13" x14ac:dyDescent="0.3">
      <c r="M1689" s="14" t="str">
        <f t="shared" si="7"/>
        <v/>
      </c>
    </row>
    <row r="1690" spans="13:13" x14ac:dyDescent="0.3">
      <c r="M1690" s="14" t="str">
        <f t="shared" si="7"/>
        <v/>
      </c>
    </row>
    <row r="1691" spans="13:13" x14ac:dyDescent="0.3">
      <c r="M1691" s="14" t="str">
        <f t="shared" si="7"/>
        <v/>
      </c>
    </row>
    <row r="1692" spans="13:13" x14ac:dyDescent="0.3">
      <c r="M1692" s="14" t="str">
        <f t="shared" si="7"/>
        <v/>
      </c>
    </row>
    <row r="1693" spans="13:13" x14ac:dyDescent="0.3">
      <c r="M1693" s="14" t="str">
        <f t="shared" si="7"/>
        <v/>
      </c>
    </row>
    <row r="1694" spans="13:13" x14ac:dyDescent="0.3">
      <c r="M1694" s="14" t="str">
        <f t="shared" si="7"/>
        <v/>
      </c>
    </row>
    <row r="1695" spans="13:13" x14ac:dyDescent="0.3">
      <c r="M1695" s="14" t="str">
        <f t="shared" si="7"/>
        <v/>
      </c>
    </row>
    <row r="1696" spans="13:13" x14ac:dyDescent="0.3">
      <c r="M1696" s="14" t="str">
        <f t="shared" si="7"/>
        <v/>
      </c>
    </row>
    <row r="1697" spans="13:13" x14ac:dyDescent="0.3">
      <c r="M1697" s="14" t="str">
        <f t="shared" si="7"/>
        <v/>
      </c>
    </row>
    <row r="1698" spans="13:13" x14ac:dyDescent="0.3">
      <c r="M1698" s="14" t="str">
        <f t="shared" si="7"/>
        <v/>
      </c>
    </row>
    <row r="1699" spans="13:13" x14ac:dyDescent="0.3">
      <c r="M1699" s="14" t="str">
        <f t="shared" si="7"/>
        <v/>
      </c>
    </row>
    <row r="1700" spans="13:13" x14ac:dyDescent="0.3">
      <c r="M1700" s="14" t="str">
        <f t="shared" si="7"/>
        <v/>
      </c>
    </row>
    <row r="1701" spans="13:13" x14ac:dyDescent="0.3">
      <c r="M1701" s="14" t="str">
        <f t="shared" si="7"/>
        <v/>
      </c>
    </row>
    <row r="1702" spans="13:13" x14ac:dyDescent="0.3">
      <c r="M1702" s="14" t="str">
        <f t="shared" si="7"/>
        <v/>
      </c>
    </row>
    <row r="1703" spans="13:13" x14ac:dyDescent="0.3">
      <c r="M1703" s="14" t="str">
        <f t="shared" si="7"/>
        <v/>
      </c>
    </row>
    <row r="1704" spans="13:13" x14ac:dyDescent="0.3">
      <c r="M1704" s="14" t="str">
        <f t="shared" si="7"/>
        <v/>
      </c>
    </row>
    <row r="1705" spans="13:13" x14ac:dyDescent="0.3">
      <c r="M1705" s="14" t="str">
        <f t="shared" si="7"/>
        <v/>
      </c>
    </row>
    <row r="1706" spans="13:13" x14ac:dyDescent="0.3">
      <c r="M1706" s="14" t="str">
        <f t="shared" si="7"/>
        <v/>
      </c>
    </row>
    <row r="1707" spans="13:13" x14ac:dyDescent="0.3">
      <c r="M1707" s="14" t="str">
        <f t="shared" si="7"/>
        <v/>
      </c>
    </row>
    <row r="1708" spans="13:13" x14ac:dyDescent="0.3">
      <c r="M1708" s="14" t="str">
        <f t="shared" si="7"/>
        <v/>
      </c>
    </row>
    <row r="1709" spans="13:13" x14ac:dyDescent="0.3">
      <c r="M1709" s="14" t="str">
        <f t="shared" si="7"/>
        <v/>
      </c>
    </row>
    <row r="1710" spans="13:13" x14ac:dyDescent="0.3">
      <c r="M1710" s="14" t="str">
        <f t="shared" si="7"/>
        <v/>
      </c>
    </row>
    <row r="1711" spans="13:13" x14ac:dyDescent="0.3">
      <c r="M1711" s="14" t="str">
        <f t="shared" si="7"/>
        <v/>
      </c>
    </row>
    <row r="1712" spans="13:13" x14ac:dyDescent="0.3">
      <c r="M1712" s="14" t="str">
        <f t="shared" si="7"/>
        <v/>
      </c>
    </row>
    <row r="1713" spans="13:13" x14ac:dyDescent="0.3">
      <c r="M1713" s="14" t="str">
        <f t="shared" si="7"/>
        <v/>
      </c>
    </row>
    <row r="1714" spans="13:13" x14ac:dyDescent="0.3">
      <c r="M1714" s="14" t="str">
        <f t="shared" si="7"/>
        <v/>
      </c>
    </row>
    <row r="1715" spans="13:13" x14ac:dyDescent="0.3">
      <c r="M1715" s="14" t="str">
        <f t="shared" si="7"/>
        <v/>
      </c>
    </row>
    <row r="1716" spans="13:13" x14ac:dyDescent="0.3">
      <c r="M1716" s="14" t="str">
        <f t="shared" si="7"/>
        <v/>
      </c>
    </row>
    <row r="1717" spans="13:13" x14ac:dyDescent="0.3">
      <c r="M1717" s="14" t="str">
        <f t="shared" si="7"/>
        <v/>
      </c>
    </row>
    <row r="1718" spans="13:13" x14ac:dyDescent="0.3">
      <c r="M1718" s="14" t="str">
        <f t="shared" si="7"/>
        <v/>
      </c>
    </row>
    <row r="1719" spans="13:13" x14ac:dyDescent="0.3">
      <c r="M1719" s="14" t="str">
        <f t="shared" si="7"/>
        <v/>
      </c>
    </row>
    <row r="1720" spans="13:13" x14ac:dyDescent="0.3">
      <c r="M1720" s="14" t="str">
        <f t="shared" si="7"/>
        <v/>
      </c>
    </row>
    <row r="1721" spans="13:13" x14ac:dyDescent="0.3">
      <c r="M1721" s="14" t="str">
        <f t="shared" si="7"/>
        <v/>
      </c>
    </row>
    <row r="1722" spans="13:13" x14ac:dyDescent="0.3">
      <c r="M1722" s="14" t="str">
        <f t="shared" si="7"/>
        <v/>
      </c>
    </row>
    <row r="1723" spans="13:13" x14ac:dyDescent="0.3">
      <c r="M1723" s="14" t="str">
        <f t="shared" si="7"/>
        <v/>
      </c>
    </row>
    <row r="1724" spans="13:13" x14ac:dyDescent="0.3">
      <c r="M1724" s="14" t="str">
        <f t="shared" si="7"/>
        <v/>
      </c>
    </row>
    <row r="1725" spans="13:13" x14ac:dyDescent="0.3">
      <c r="M1725" s="14" t="str">
        <f t="shared" si="7"/>
        <v/>
      </c>
    </row>
    <row r="1726" spans="13:13" x14ac:dyDescent="0.3">
      <c r="M1726" s="14" t="str">
        <f t="shared" si="7"/>
        <v/>
      </c>
    </row>
    <row r="1727" spans="13:13" x14ac:dyDescent="0.3">
      <c r="M1727" s="14" t="str">
        <f t="shared" si="7"/>
        <v/>
      </c>
    </row>
    <row r="1728" spans="13:13" x14ac:dyDescent="0.3">
      <c r="M1728" s="14" t="str">
        <f t="shared" si="7"/>
        <v/>
      </c>
    </row>
    <row r="1729" spans="13:13" x14ac:dyDescent="0.3">
      <c r="M1729" s="14" t="str">
        <f t="shared" si="7"/>
        <v/>
      </c>
    </row>
    <row r="1730" spans="13:13" x14ac:dyDescent="0.3">
      <c r="M1730" s="14" t="str">
        <f t="shared" si="7"/>
        <v/>
      </c>
    </row>
    <row r="1731" spans="13:13" x14ac:dyDescent="0.3">
      <c r="M1731" s="14" t="str">
        <f t="shared" si="7"/>
        <v/>
      </c>
    </row>
    <row r="1732" spans="13:13" x14ac:dyDescent="0.3">
      <c r="M1732" s="14" t="str">
        <f t="shared" ref="M1732:M1795" si="8">IF($A1732="","",$A1732&amp;" — "&amp;$B1732)</f>
        <v/>
      </c>
    </row>
    <row r="1733" spans="13:13" x14ac:dyDescent="0.3">
      <c r="M1733" s="14" t="str">
        <f t="shared" si="8"/>
        <v/>
      </c>
    </row>
    <row r="1734" spans="13:13" x14ac:dyDescent="0.3">
      <c r="M1734" s="14" t="str">
        <f t="shared" si="8"/>
        <v/>
      </c>
    </row>
    <row r="1735" spans="13:13" x14ac:dyDescent="0.3">
      <c r="M1735" s="14" t="str">
        <f t="shared" si="8"/>
        <v/>
      </c>
    </row>
    <row r="1736" spans="13:13" x14ac:dyDescent="0.3">
      <c r="M1736" s="14" t="str">
        <f t="shared" si="8"/>
        <v/>
      </c>
    </row>
    <row r="1737" spans="13:13" x14ac:dyDescent="0.3">
      <c r="M1737" s="14" t="str">
        <f t="shared" si="8"/>
        <v/>
      </c>
    </row>
    <row r="1738" spans="13:13" x14ac:dyDescent="0.3">
      <c r="M1738" s="14" t="str">
        <f t="shared" si="8"/>
        <v/>
      </c>
    </row>
    <row r="1739" spans="13:13" x14ac:dyDescent="0.3">
      <c r="M1739" s="14" t="str">
        <f t="shared" si="8"/>
        <v/>
      </c>
    </row>
    <row r="1740" spans="13:13" x14ac:dyDescent="0.3">
      <c r="M1740" s="14" t="str">
        <f t="shared" si="8"/>
        <v/>
      </c>
    </row>
    <row r="1741" spans="13:13" x14ac:dyDescent="0.3">
      <c r="M1741" s="14" t="str">
        <f t="shared" si="8"/>
        <v/>
      </c>
    </row>
    <row r="1742" spans="13:13" x14ac:dyDescent="0.3">
      <c r="M1742" s="14" t="str">
        <f t="shared" si="8"/>
        <v/>
      </c>
    </row>
    <row r="1743" spans="13:13" x14ac:dyDescent="0.3">
      <c r="M1743" s="14" t="str">
        <f t="shared" si="8"/>
        <v/>
      </c>
    </row>
    <row r="1744" spans="13:13" x14ac:dyDescent="0.3">
      <c r="M1744" s="14" t="str">
        <f t="shared" si="8"/>
        <v/>
      </c>
    </row>
    <row r="1745" spans="13:13" x14ac:dyDescent="0.3">
      <c r="M1745" s="14" t="str">
        <f t="shared" si="8"/>
        <v/>
      </c>
    </row>
    <row r="1746" spans="13:13" x14ac:dyDescent="0.3">
      <c r="M1746" s="14" t="str">
        <f t="shared" si="8"/>
        <v/>
      </c>
    </row>
    <row r="1747" spans="13:13" x14ac:dyDescent="0.3">
      <c r="M1747" s="14" t="str">
        <f t="shared" si="8"/>
        <v/>
      </c>
    </row>
    <row r="1748" spans="13:13" x14ac:dyDescent="0.3">
      <c r="M1748" s="14" t="str">
        <f t="shared" si="8"/>
        <v/>
      </c>
    </row>
    <row r="1749" spans="13:13" x14ac:dyDescent="0.3">
      <c r="M1749" s="14" t="str">
        <f t="shared" si="8"/>
        <v/>
      </c>
    </row>
    <row r="1750" spans="13:13" x14ac:dyDescent="0.3">
      <c r="M1750" s="14" t="str">
        <f t="shared" si="8"/>
        <v/>
      </c>
    </row>
    <row r="1751" spans="13:13" x14ac:dyDescent="0.3">
      <c r="M1751" s="14" t="str">
        <f t="shared" si="8"/>
        <v/>
      </c>
    </row>
    <row r="1752" spans="13:13" x14ac:dyDescent="0.3">
      <c r="M1752" s="14" t="str">
        <f t="shared" si="8"/>
        <v/>
      </c>
    </row>
    <row r="1753" spans="13:13" x14ac:dyDescent="0.3">
      <c r="M1753" s="14" t="str">
        <f t="shared" si="8"/>
        <v/>
      </c>
    </row>
    <row r="1754" spans="13:13" x14ac:dyDescent="0.3">
      <c r="M1754" s="14" t="str">
        <f t="shared" si="8"/>
        <v/>
      </c>
    </row>
    <row r="1755" spans="13:13" x14ac:dyDescent="0.3">
      <c r="M1755" s="14" t="str">
        <f t="shared" si="8"/>
        <v/>
      </c>
    </row>
    <row r="1756" spans="13:13" x14ac:dyDescent="0.3">
      <c r="M1756" s="14" t="str">
        <f t="shared" si="8"/>
        <v/>
      </c>
    </row>
    <row r="1757" spans="13:13" x14ac:dyDescent="0.3">
      <c r="M1757" s="14" t="str">
        <f t="shared" si="8"/>
        <v/>
      </c>
    </row>
    <row r="1758" spans="13:13" x14ac:dyDescent="0.3">
      <c r="M1758" s="14" t="str">
        <f t="shared" si="8"/>
        <v/>
      </c>
    </row>
    <row r="1759" spans="13:13" x14ac:dyDescent="0.3">
      <c r="M1759" s="14" t="str">
        <f t="shared" si="8"/>
        <v/>
      </c>
    </row>
    <row r="1760" spans="13:13" x14ac:dyDescent="0.3">
      <c r="M1760" s="14" t="str">
        <f t="shared" si="8"/>
        <v/>
      </c>
    </row>
    <row r="1761" spans="13:13" x14ac:dyDescent="0.3">
      <c r="M1761" s="14" t="str">
        <f t="shared" si="8"/>
        <v/>
      </c>
    </row>
    <row r="1762" spans="13:13" x14ac:dyDescent="0.3">
      <c r="M1762" s="14" t="str">
        <f t="shared" si="8"/>
        <v/>
      </c>
    </row>
    <row r="1763" spans="13:13" x14ac:dyDescent="0.3">
      <c r="M1763" s="14" t="str">
        <f t="shared" si="8"/>
        <v/>
      </c>
    </row>
    <row r="1764" spans="13:13" x14ac:dyDescent="0.3">
      <c r="M1764" s="14" t="str">
        <f t="shared" si="8"/>
        <v/>
      </c>
    </row>
    <row r="1765" spans="13:13" x14ac:dyDescent="0.3">
      <c r="M1765" s="14" t="str">
        <f t="shared" si="8"/>
        <v/>
      </c>
    </row>
    <row r="1766" spans="13:13" x14ac:dyDescent="0.3">
      <c r="M1766" s="14" t="str">
        <f t="shared" si="8"/>
        <v/>
      </c>
    </row>
    <row r="1767" spans="13:13" x14ac:dyDescent="0.3">
      <c r="M1767" s="14" t="str">
        <f t="shared" si="8"/>
        <v/>
      </c>
    </row>
    <row r="1768" spans="13:13" x14ac:dyDescent="0.3">
      <c r="M1768" s="14" t="str">
        <f t="shared" si="8"/>
        <v/>
      </c>
    </row>
    <row r="1769" spans="13:13" x14ac:dyDescent="0.3">
      <c r="M1769" s="14" t="str">
        <f t="shared" si="8"/>
        <v/>
      </c>
    </row>
    <row r="1770" spans="13:13" x14ac:dyDescent="0.3">
      <c r="M1770" s="14" t="str">
        <f t="shared" si="8"/>
        <v/>
      </c>
    </row>
    <row r="1771" spans="13:13" x14ac:dyDescent="0.3">
      <c r="M1771" s="14" t="str">
        <f t="shared" si="8"/>
        <v/>
      </c>
    </row>
    <row r="1772" spans="13:13" x14ac:dyDescent="0.3">
      <c r="M1772" s="14" t="str">
        <f t="shared" si="8"/>
        <v/>
      </c>
    </row>
    <row r="1773" spans="13:13" x14ac:dyDescent="0.3">
      <c r="M1773" s="14" t="str">
        <f t="shared" si="8"/>
        <v/>
      </c>
    </row>
    <row r="1774" spans="13:13" x14ac:dyDescent="0.3">
      <c r="M1774" s="14" t="str">
        <f t="shared" si="8"/>
        <v/>
      </c>
    </row>
    <row r="1775" spans="13:13" x14ac:dyDescent="0.3">
      <c r="M1775" s="14" t="str">
        <f t="shared" si="8"/>
        <v/>
      </c>
    </row>
    <row r="1776" spans="13:13" x14ac:dyDescent="0.3">
      <c r="M1776" s="14" t="str">
        <f t="shared" si="8"/>
        <v/>
      </c>
    </row>
    <row r="1777" spans="13:13" x14ac:dyDescent="0.3">
      <c r="M1777" s="14" t="str">
        <f t="shared" si="8"/>
        <v/>
      </c>
    </row>
    <row r="1778" spans="13:13" x14ac:dyDescent="0.3">
      <c r="M1778" s="14" t="str">
        <f t="shared" si="8"/>
        <v/>
      </c>
    </row>
    <row r="1779" spans="13:13" x14ac:dyDescent="0.3">
      <c r="M1779" s="14" t="str">
        <f t="shared" si="8"/>
        <v/>
      </c>
    </row>
    <row r="1780" spans="13:13" x14ac:dyDescent="0.3">
      <c r="M1780" s="14" t="str">
        <f t="shared" si="8"/>
        <v/>
      </c>
    </row>
    <row r="1781" spans="13:13" x14ac:dyDescent="0.3">
      <c r="M1781" s="14" t="str">
        <f t="shared" si="8"/>
        <v/>
      </c>
    </row>
    <row r="1782" spans="13:13" x14ac:dyDescent="0.3">
      <c r="M1782" s="14" t="str">
        <f t="shared" si="8"/>
        <v/>
      </c>
    </row>
    <row r="1783" spans="13:13" x14ac:dyDescent="0.3">
      <c r="M1783" s="14" t="str">
        <f t="shared" si="8"/>
        <v/>
      </c>
    </row>
    <row r="1784" spans="13:13" x14ac:dyDescent="0.3">
      <c r="M1784" s="14" t="str">
        <f t="shared" si="8"/>
        <v/>
      </c>
    </row>
    <row r="1785" spans="13:13" x14ac:dyDescent="0.3">
      <c r="M1785" s="14" t="str">
        <f t="shared" si="8"/>
        <v/>
      </c>
    </row>
    <row r="1786" spans="13:13" x14ac:dyDescent="0.3">
      <c r="M1786" s="14" t="str">
        <f t="shared" si="8"/>
        <v/>
      </c>
    </row>
    <row r="1787" spans="13:13" x14ac:dyDescent="0.3">
      <c r="M1787" s="14" t="str">
        <f t="shared" si="8"/>
        <v/>
      </c>
    </row>
    <row r="1788" spans="13:13" x14ac:dyDescent="0.3">
      <c r="M1788" s="14" t="str">
        <f t="shared" si="8"/>
        <v/>
      </c>
    </row>
    <row r="1789" spans="13:13" x14ac:dyDescent="0.3">
      <c r="M1789" s="14" t="str">
        <f t="shared" si="8"/>
        <v/>
      </c>
    </row>
    <row r="1790" spans="13:13" x14ac:dyDescent="0.3">
      <c r="M1790" s="14" t="str">
        <f t="shared" si="8"/>
        <v/>
      </c>
    </row>
    <row r="1791" spans="13:13" x14ac:dyDescent="0.3">
      <c r="M1791" s="14" t="str">
        <f t="shared" si="8"/>
        <v/>
      </c>
    </row>
    <row r="1792" spans="13:13" x14ac:dyDescent="0.3">
      <c r="M1792" s="14" t="str">
        <f t="shared" si="8"/>
        <v/>
      </c>
    </row>
    <row r="1793" spans="13:13" x14ac:dyDescent="0.3">
      <c r="M1793" s="14" t="str">
        <f t="shared" si="8"/>
        <v/>
      </c>
    </row>
    <row r="1794" spans="13:13" x14ac:dyDescent="0.3">
      <c r="M1794" s="14" t="str">
        <f t="shared" si="8"/>
        <v/>
      </c>
    </row>
    <row r="1795" spans="13:13" x14ac:dyDescent="0.3">
      <c r="M1795" s="14" t="str">
        <f t="shared" si="8"/>
        <v/>
      </c>
    </row>
    <row r="1796" spans="13:13" x14ac:dyDescent="0.3">
      <c r="M1796" s="14" t="str">
        <f t="shared" ref="M1796:M1859" si="9">IF($A1796="","",$A1796&amp;" — "&amp;$B1796)</f>
        <v/>
      </c>
    </row>
    <row r="1797" spans="13:13" x14ac:dyDescent="0.3">
      <c r="M1797" s="14" t="str">
        <f t="shared" si="9"/>
        <v/>
      </c>
    </row>
    <row r="1798" spans="13:13" x14ac:dyDescent="0.3">
      <c r="M1798" s="14" t="str">
        <f t="shared" si="9"/>
        <v/>
      </c>
    </row>
    <row r="1799" spans="13:13" x14ac:dyDescent="0.3">
      <c r="M1799" s="14" t="str">
        <f t="shared" si="9"/>
        <v/>
      </c>
    </row>
    <row r="1800" spans="13:13" x14ac:dyDescent="0.3">
      <c r="M1800" s="14" t="str">
        <f t="shared" si="9"/>
        <v/>
      </c>
    </row>
    <row r="1801" spans="13:13" x14ac:dyDescent="0.3">
      <c r="M1801" s="14" t="str">
        <f t="shared" si="9"/>
        <v/>
      </c>
    </row>
    <row r="1802" spans="13:13" x14ac:dyDescent="0.3">
      <c r="M1802" s="14" t="str">
        <f t="shared" si="9"/>
        <v/>
      </c>
    </row>
    <row r="1803" spans="13:13" x14ac:dyDescent="0.3">
      <c r="M1803" s="14" t="str">
        <f t="shared" si="9"/>
        <v/>
      </c>
    </row>
    <row r="1804" spans="13:13" x14ac:dyDescent="0.3">
      <c r="M1804" s="14" t="str">
        <f t="shared" si="9"/>
        <v/>
      </c>
    </row>
    <row r="1805" spans="13:13" x14ac:dyDescent="0.3">
      <c r="M1805" s="14" t="str">
        <f t="shared" si="9"/>
        <v/>
      </c>
    </row>
    <row r="1806" spans="13:13" x14ac:dyDescent="0.3">
      <c r="M1806" s="14" t="str">
        <f t="shared" si="9"/>
        <v/>
      </c>
    </row>
    <row r="1807" spans="13:13" x14ac:dyDescent="0.3">
      <c r="M1807" s="14" t="str">
        <f t="shared" si="9"/>
        <v/>
      </c>
    </row>
    <row r="1808" spans="13:13" x14ac:dyDescent="0.3">
      <c r="M1808" s="14" t="str">
        <f t="shared" si="9"/>
        <v/>
      </c>
    </row>
    <row r="1809" spans="13:13" x14ac:dyDescent="0.3">
      <c r="M1809" s="14" t="str">
        <f t="shared" si="9"/>
        <v/>
      </c>
    </row>
    <row r="1810" spans="13:13" x14ac:dyDescent="0.3">
      <c r="M1810" s="14" t="str">
        <f t="shared" si="9"/>
        <v/>
      </c>
    </row>
    <row r="1811" spans="13:13" x14ac:dyDescent="0.3">
      <c r="M1811" s="14" t="str">
        <f t="shared" si="9"/>
        <v/>
      </c>
    </row>
    <row r="1812" spans="13:13" x14ac:dyDescent="0.3">
      <c r="M1812" s="14" t="str">
        <f t="shared" si="9"/>
        <v/>
      </c>
    </row>
    <row r="1813" spans="13:13" x14ac:dyDescent="0.3">
      <c r="M1813" s="14" t="str">
        <f t="shared" si="9"/>
        <v/>
      </c>
    </row>
    <row r="1814" spans="13:13" x14ac:dyDescent="0.3">
      <c r="M1814" s="14" t="str">
        <f t="shared" si="9"/>
        <v/>
      </c>
    </row>
    <row r="1815" spans="13:13" x14ac:dyDescent="0.3">
      <c r="M1815" s="14" t="str">
        <f t="shared" si="9"/>
        <v/>
      </c>
    </row>
    <row r="1816" spans="13:13" x14ac:dyDescent="0.3">
      <c r="M1816" s="14" t="str">
        <f t="shared" si="9"/>
        <v/>
      </c>
    </row>
    <row r="1817" spans="13:13" x14ac:dyDescent="0.3">
      <c r="M1817" s="14" t="str">
        <f t="shared" si="9"/>
        <v/>
      </c>
    </row>
    <row r="1818" spans="13:13" x14ac:dyDescent="0.3">
      <c r="M1818" s="14" t="str">
        <f t="shared" si="9"/>
        <v/>
      </c>
    </row>
    <row r="1819" spans="13:13" x14ac:dyDescent="0.3">
      <c r="M1819" s="14" t="str">
        <f t="shared" si="9"/>
        <v/>
      </c>
    </row>
    <row r="1820" spans="13:13" x14ac:dyDescent="0.3">
      <c r="M1820" s="14" t="str">
        <f t="shared" si="9"/>
        <v/>
      </c>
    </row>
    <row r="1821" spans="13:13" x14ac:dyDescent="0.3">
      <c r="M1821" s="14" t="str">
        <f t="shared" si="9"/>
        <v/>
      </c>
    </row>
    <row r="1822" spans="13:13" x14ac:dyDescent="0.3">
      <c r="M1822" s="14" t="str">
        <f t="shared" si="9"/>
        <v/>
      </c>
    </row>
    <row r="1823" spans="13:13" x14ac:dyDescent="0.3">
      <c r="M1823" s="14" t="str">
        <f t="shared" si="9"/>
        <v/>
      </c>
    </row>
    <row r="1824" spans="13:13" x14ac:dyDescent="0.3">
      <c r="M1824" s="14" t="str">
        <f t="shared" si="9"/>
        <v/>
      </c>
    </row>
    <row r="1825" spans="13:13" x14ac:dyDescent="0.3">
      <c r="M1825" s="14" t="str">
        <f t="shared" si="9"/>
        <v/>
      </c>
    </row>
    <row r="1826" spans="13:13" x14ac:dyDescent="0.3">
      <c r="M1826" s="14" t="str">
        <f t="shared" si="9"/>
        <v/>
      </c>
    </row>
    <row r="1827" spans="13:13" x14ac:dyDescent="0.3">
      <c r="M1827" s="14" t="str">
        <f t="shared" si="9"/>
        <v/>
      </c>
    </row>
    <row r="1828" spans="13:13" x14ac:dyDescent="0.3">
      <c r="M1828" s="14" t="str">
        <f t="shared" si="9"/>
        <v/>
      </c>
    </row>
    <row r="1829" spans="13:13" x14ac:dyDescent="0.3">
      <c r="M1829" s="14" t="str">
        <f t="shared" si="9"/>
        <v/>
      </c>
    </row>
    <row r="1830" spans="13:13" x14ac:dyDescent="0.3">
      <c r="M1830" s="14" t="str">
        <f t="shared" si="9"/>
        <v/>
      </c>
    </row>
    <row r="1831" spans="13:13" x14ac:dyDescent="0.3">
      <c r="M1831" s="14" t="str">
        <f t="shared" si="9"/>
        <v/>
      </c>
    </row>
    <row r="1832" spans="13:13" x14ac:dyDescent="0.3">
      <c r="M1832" s="14" t="str">
        <f t="shared" si="9"/>
        <v/>
      </c>
    </row>
    <row r="1833" spans="13:13" x14ac:dyDescent="0.3">
      <c r="M1833" s="14" t="str">
        <f t="shared" si="9"/>
        <v/>
      </c>
    </row>
    <row r="1834" spans="13:13" x14ac:dyDescent="0.3">
      <c r="M1834" s="14" t="str">
        <f t="shared" si="9"/>
        <v/>
      </c>
    </row>
    <row r="1835" spans="13:13" x14ac:dyDescent="0.3">
      <c r="M1835" s="14" t="str">
        <f t="shared" si="9"/>
        <v/>
      </c>
    </row>
    <row r="1836" spans="13:13" x14ac:dyDescent="0.3">
      <c r="M1836" s="14" t="str">
        <f t="shared" si="9"/>
        <v/>
      </c>
    </row>
    <row r="1837" spans="13:13" x14ac:dyDescent="0.3">
      <c r="M1837" s="14" t="str">
        <f t="shared" si="9"/>
        <v/>
      </c>
    </row>
    <row r="1838" spans="13:13" x14ac:dyDescent="0.3">
      <c r="M1838" s="14" t="str">
        <f t="shared" si="9"/>
        <v/>
      </c>
    </row>
    <row r="1839" spans="13:13" x14ac:dyDescent="0.3">
      <c r="M1839" s="14" t="str">
        <f t="shared" si="9"/>
        <v/>
      </c>
    </row>
    <row r="1840" spans="13:13" x14ac:dyDescent="0.3">
      <c r="M1840" s="14" t="str">
        <f t="shared" si="9"/>
        <v/>
      </c>
    </row>
    <row r="1841" spans="13:13" x14ac:dyDescent="0.3">
      <c r="M1841" s="14" t="str">
        <f t="shared" si="9"/>
        <v/>
      </c>
    </row>
    <row r="1842" spans="13:13" x14ac:dyDescent="0.3">
      <c r="M1842" s="14" t="str">
        <f t="shared" si="9"/>
        <v/>
      </c>
    </row>
    <row r="1843" spans="13:13" x14ac:dyDescent="0.3">
      <c r="M1843" s="14" t="str">
        <f t="shared" si="9"/>
        <v/>
      </c>
    </row>
    <row r="1844" spans="13:13" x14ac:dyDescent="0.3">
      <c r="M1844" s="14" t="str">
        <f t="shared" si="9"/>
        <v/>
      </c>
    </row>
    <row r="1845" spans="13:13" x14ac:dyDescent="0.3">
      <c r="M1845" s="14" t="str">
        <f t="shared" si="9"/>
        <v/>
      </c>
    </row>
    <row r="1846" spans="13:13" x14ac:dyDescent="0.3">
      <c r="M1846" s="14" t="str">
        <f t="shared" si="9"/>
        <v/>
      </c>
    </row>
    <row r="1847" spans="13:13" x14ac:dyDescent="0.3">
      <c r="M1847" s="14" t="str">
        <f t="shared" si="9"/>
        <v/>
      </c>
    </row>
    <row r="1848" spans="13:13" x14ac:dyDescent="0.3">
      <c r="M1848" s="14" t="str">
        <f t="shared" si="9"/>
        <v/>
      </c>
    </row>
    <row r="1849" spans="13:13" x14ac:dyDescent="0.3">
      <c r="M1849" s="14" t="str">
        <f t="shared" si="9"/>
        <v/>
      </c>
    </row>
    <row r="1850" spans="13:13" x14ac:dyDescent="0.3">
      <c r="M1850" s="14" t="str">
        <f t="shared" si="9"/>
        <v/>
      </c>
    </row>
    <row r="1851" spans="13:13" x14ac:dyDescent="0.3">
      <c r="M1851" s="14" t="str">
        <f t="shared" si="9"/>
        <v/>
      </c>
    </row>
    <row r="1852" spans="13:13" x14ac:dyDescent="0.3">
      <c r="M1852" s="14" t="str">
        <f t="shared" si="9"/>
        <v/>
      </c>
    </row>
    <row r="1853" spans="13:13" x14ac:dyDescent="0.3">
      <c r="M1853" s="14" t="str">
        <f t="shared" si="9"/>
        <v/>
      </c>
    </row>
    <row r="1854" spans="13:13" x14ac:dyDescent="0.3">
      <c r="M1854" s="14" t="str">
        <f t="shared" si="9"/>
        <v/>
      </c>
    </row>
    <row r="1855" spans="13:13" x14ac:dyDescent="0.3">
      <c r="M1855" s="14" t="str">
        <f t="shared" si="9"/>
        <v/>
      </c>
    </row>
    <row r="1856" spans="13:13" x14ac:dyDescent="0.3">
      <c r="M1856" s="14" t="str">
        <f t="shared" si="9"/>
        <v/>
      </c>
    </row>
    <row r="1857" spans="13:13" x14ac:dyDescent="0.3">
      <c r="M1857" s="14" t="str">
        <f t="shared" si="9"/>
        <v/>
      </c>
    </row>
    <row r="1858" spans="13:13" x14ac:dyDescent="0.3">
      <c r="M1858" s="14" t="str">
        <f t="shared" si="9"/>
        <v/>
      </c>
    </row>
    <row r="1859" spans="13:13" x14ac:dyDescent="0.3">
      <c r="M1859" s="14" t="str">
        <f t="shared" si="9"/>
        <v/>
      </c>
    </row>
    <row r="1860" spans="13:13" x14ac:dyDescent="0.3">
      <c r="M1860" s="14" t="str">
        <f t="shared" ref="M1860:M1923" si="10">IF($A1860="","",$A1860&amp;" — "&amp;$B1860)</f>
        <v/>
      </c>
    </row>
    <row r="1861" spans="13:13" x14ac:dyDescent="0.3">
      <c r="M1861" s="14" t="str">
        <f t="shared" si="10"/>
        <v/>
      </c>
    </row>
    <row r="1862" spans="13:13" x14ac:dyDescent="0.3">
      <c r="M1862" s="14" t="str">
        <f t="shared" si="10"/>
        <v/>
      </c>
    </row>
    <row r="1863" spans="13:13" x14ac:dyDescent="0.3">
      <c r="M1863" s="14" t="str">
        <f t="shared" si="10"/>
        <v/>
      </c>
    </row>
    <row r="1864" spans="13:13" x14ac:dyDescent="0.3">
      <c r="M1864" s="14" t="str">
        <f t="shared" si="10"/>
        <v/>
      </c>
    </row>
    <row r="1865" spans="13:13" x14ac:dyDescent="0.3">
      <c r="M1865" s="14" t="str">
        <f t="shared" si="10"/>
        <v/>
      </c>
    </row>
    <row r="1866" spans="13:13" x14ac:dyDescent="0.3">
      <c r="M1866" s="14" t="str">
        <f t="shared" si="10"/>
        <v/>
      </c>
    </row>
    <row r="1867" spans="13:13" x14ac:dyDescent="0.3">
      <c r="M1867" s="14" t="str">
        <f t="shared" si="10"/>
        <v/>
      </c>
    </row>
    <row r="1868" spans="13:13" x14ac:dyDescent="0.3">
      <c r="M1868" s="14" t="str">
        <f t="shared" si="10"/>
        <v/>
      </c>
    </row>
    <row r="1869" spans="13:13" x14ac:dyDescent="0.3">
      <c r="M1869" s="14" t="str">
        <f t="shared" si="10"/>
        <v/>
      </c>
    </row>
    <row r="1870" spans="13:13" x14ac:dyDescent="0.3">
      <c r="M1870" s="14" t="str">
        <f t="shared" si="10"/>
        <v/>
      </c>
    </row>
    <row r="1871" spans="13:13" x14ac:dyDescent="0.3">
      <c r="M1871" s="14" t="str">
        <f t="shared" si="10"/>
        <v/>
      </c>
    </row>
    <row r="1872" spans="13:13" x14ac:dyDescent="0.3">
      <c r="M1872" s="14" t="str">
        <f t="shared" si="10"/>
        <v/>
      </c>
    </row>
    <row r="1873" spans="13:13" x14ac:dyDescent="0.3">
      <c r="M1873" s="14" t="str">
        <f t="shared" si="10"/>
        <v/>
      </c>
    </row>
    <row r="1874" spans="13:13" x14ac:dyDescent="0.3">
      <c r="M1874" s="14" t="str">
        <f t="shared" si="10"/>
        <v/>
      </c>
    </row>
    <row r="1875" spans="13:13" x14ac:dyDescent="0.3">
      <c r="M1875" s="14" t="str">
        <f t="shared" si="10"/>
        <v/>
      </c>
    </row>
    <row r="1876" spans="13:13" x14ac:dyDescent="0.3">
      <c r="M1876" s="14" t="str">
        <f t="shared" si="10"/>
        <v/>
      </c>
    </row>
    <row r="1877" spans="13:13" x14ac:dyDescent="0.3">
      <c r="M1877" s="14" t="str">
        <f t="shared" si="10"/>
        <v/>
      </c>
    </row>
    <row r="1878" spans="13:13" x14ac:dyDescent="0.3">
      <c r="M1878" s="14" t="str">
        <f t="shared" si="10"/>
        <v/>
      </c>
    </row>
    <row r="1879" spans="13:13" x14ac:dyDescent="0.3">
      <c r="M1879" s="14" t="str">
        <f t="shared" si="10"/>
        <v/>
      </c>
    </row>
    <row r="1880" spans="13:13" x14ac:dyDescent="0.3">
      <c r="M1880" s="14" t="str">
        <f t="shared" si="10"/>
        <v/>
      </c>
    </row>
    <row r="1881" spans="13:13" x14ac:dyDescent="0.3">
      <c r="M1881" s="14" t="str">
        <f t="shared" si="10"/>
        <v/>
      </c>
    </row>
    <row r="1882" spans="13:13" x14ac:dyDescent="0.3">
      <c r="M1882" s="14" t="str">
        <f t="shared" si="10"/>
        <v/>
      </c>
    </row>
    <row r="1883" spans="13:13" x14ac:dyDescent="0.3">
      <c r="M1883" s="14" t="str">
        <f t="shared" si="10"/>
        <v/>
      </c>
    </row>
    <row r="1884" spans="13:13" x14ac:dyDescent="0.3">
      <c r="M1884" s="14" t="str">
        <f t="shared" si="10"/>
        <v/>
      </c>
    </row>
    <row r="1885" spans="13:13" x14ac:dyDescent="0.3">
      <c r="M1885" s="14" t="str">
        <f t="shared" si="10"/>
        <v/>
      </c>
    </row>
    <row r="1886" spans="13:13" x14ac:dyDescent="0.3">
      <c r="M1886" s="14" t="str">
        <f t="shared" si="10"/>
        <v/>
      </c>
    </row>
    <row r="1887" spans="13:13" x14ac:dyDescent="0.3">
      <c r="M1887" s="14" t="str">
        <f t="shared" si="10"/>
        <v/>
      </c>
    </row>
    <row r="1888" spans="13:13" x14ac:dyDescent="0.3">
      <c r="M1888" s="14" t="str">
        <f t="shared" si="10"/>
        <v/>
      </c>
    </row>
    <row r="1889" spans="13:13" x14ac:dyDescent="0.3">
      <c r="M1889" s="14" t="str">
        <f t="shared" si="10"/>
        <v/>
      </c>
    </row>
    <row r="1890" spans="13:13" x14ac:dyDescent="0.3">
      <c r="M1890" s="14" t="str">
        <f t="shared" si="10"/>
        <v/>
      </c>
    </row>
    <row r="1891" spans="13:13" x14ac:dyDescent="0.3">
      <c r="M1891" s="14" t="str">
        <f t="shared" si="10"/>
        <v/>
      </c>
    </row>
    <row r="1892" spans="13:13" x14ac:dyDescent="0.3">
      <c r="M1892" s="14" t="str">
        <f t="shared" si="10"/>
        <v/>
      </c>
    </row>
    <row r="1893" spans="13:13" x14ac:dyDescent="0.3">
      <c r="M1893" s="14" t="str">
        <f t="shared" si="10"/>
        <v/>
      </c>
    </row>
    <row r="1894" spans="13:13" x14ac:dyDescent="0.3">
      <c r="M1894" s="14" t="str">
        <f t="shared" si="10"/>
        <v/>
      </c>
    </row>
    <row r="1895" spans="13:13" x14ac:dyDescent="0.3">
      <c r="M1895" s="14" t="str">
        <f t="shared" si="10"/>
        <v/>
      </c>
    </row>
    <row r="1896" spans="13:13" x14ac:dyDescent="0.3">
      <c r="M1896" s="14" t="str">
        <f t="shared" si="10"/>
        <v/>
      </c>
    </row>
    <row r="1897" spans="13:13" x14ac:dyDescent="0.3">
      <c r="M1897" s="14" t="str">
        <f t="shared" si="10"/>
        <v/>
      </c>
    </row>
    <row r="1898" spans="13:13" x14ac:dyDescent="0.3">
      <c r="M1898" s="14" t="str">
        <f t="shared" si="10"/>
        <v/>
      </c>
    </row>
    <row r="1899" spans="13:13" x14ac:dyDescent="0.3">
      <c r="M1899" s="14" t="str">
        <f t="shared" si="10"/>
        <v/>
      </c>
    </row>
    <row r="1900" spans="13:13" x14ac:dyDescent="0.3">
      <c r="M1900" s="14" t="str">
        <f t="shared" si="10"/>
        <v/>
      </c>
    </row>
    <row r="1901" spans="13:13" x14ac:dyDescent="0.3">
      <c r="M1901" s="14" t="str">
        <f t="shared" si="10"/>
        <v/>
      </c>
    </row>
    <row r="1902" spans="13:13" x14ac:dyDescent="0.3">
      <c r="M1902" s="14" t="str">
        <f t="shared" si="10"/>
        <v/>
      </c>
    </row>
    <row r="1903" spans="13:13" x14ac:dyDescent="0.3">
      <c r="M1903" s="14" t="str">
        <f t="shared" si="10"/>
        <v/>
      </c>
    </row>
    <row r="1904" spans="13:13" x14ac:dyDescent="0.3">
      <c r="M1904" s="14" t="str">
        <f t="shared" si="10"/>
        <v/>
      </c>
    </row>
    <row r="1905" spans="13:13" x14ac:dyDescent="0.3">
      <c r="M1905" s="14" t="str">
        <f t="shared" si="10"/>
        <v/>
      </c>
    </row>
    <row r="1906" spans="13:13" x14ac:dyDescent="0.3">
      <c r="M1906" s="14" t="str">
        <f t="shared" si="10"/>
        <v/>
      </c>
    </row>
    <row r="1907" spans="13:13" x14ac:dyDescent="0.3">
      <c r="M1907" s="14" t="str">
        <f t="shared" si="10"/>
        <v/>
      </c>
    </row>
    <row r="1908" spans="13:13" x14ac:dyDescent="0.3">
      <c r="M1908" s="14" t="str">
        <f t="shared" si="10"/>
        <v/>
      </c>
    </row>
    <row r="1909" spans="13:13" x14ac:dyDescent="0.3">
      <c r="M1909" s="14" t="str">
        <f t="shared" si="10"/>
        <v/>
      </c>
    </row>
    <row r="1910" spans="13:13" x14ac:dyDescent="0.3">
      <c r="M1910" s="14" t="str">
        <f t="shared" si="10"/>
        <v/>
      </c>
    </row>
    <row r="1911" spans="13:13" x14ac:dyDescent="0.3">
      <c r="M1911" s="14" t="str">
        <f t="shared" si="10"/>
        <v/>
      </c>
    </row>
    <row r="1912" spans="13:13" x14ac:dyDescent="0.3">
      <c r="M1912" s="14" t="str">
        <f t="shared" si="10"/>
        <v/>
      </c>
    </row>
    <row r="1913" spans="13:13" x14ac:dyDescent="0.3">
      <c r="M1913" s="14" t="str">
        <f t="shared" si="10"/>
        <v/>
      </c>
    </row>
    <row r="1914" spans="13:13" x14ac:dyDescent="0.3">
      <c r="M1914" s="14" t="str">
        <f t="shared" si="10"/>
        <v/>
      </c>
    </row>
    <row r="1915" spans="13:13" x14ac:dyDescent="0.3">
      <c r="M1915" s="14" t="str">
        <f t="shared" si="10"/>
        <v/>
      </c>
    </row>
    <row r="1916" spans="13:13" x14ac:dyDescent="0.3">
      <c r="M1916" s="14" t="str">
        <f t="shared" si="10"/>
        <v/>
      </c>
    </row>
    <row r="1917" spans="13:13" x14ac:dyDescent="0.3">
      <c r="M1917" s="14" t="str">
        <f t="shared" si="10"/>
        <v/>
      </c>
    </row>
    <row r="1918" spans="13:13" x14ac:dyDescent="0.3">
      <c r="M1918" s="14" t="str">
        <f t="shared" si="10"/>
        <v/>
      </c>
    </row>
    <row r="1919" spans="13:13" x14ac:dyDescent="0.3">
      <c r="M1919" s="14" t="str">
        <f t="shared" si="10"/>
        <v/>
      </c>
    </row>
    <row r="1920" spans="13:13" x14ac:dyDescent="0.3">
      <c r="M1920" s="14" t="str">
        <f t="shared" si="10"/>
        <v/>
      </c>
    </row>
    <row r="1921" spans="13:13" x14ac:dyDescent="0.3">
      <c r="M1921" s="14" t="str">
        <f t="shared" si="10"/>
        <v/>
      </c>
    </row>
    <row r="1922" spans="13:13" x14ac:dyDescent="0.3">
      <c r="M1922" s="14" t="str">
        <f t="shared" si="10"/>
        <v/>
      </c>
    </row>
    <row r="1923" spans="13:13" x14ac:dyDescent="0.3">
      <c r="M1923" s="14" t="str">
        <f t="shared" si="10"/>
        <v/>
      </c>
    </row>
    <row r="1924" spans="13:13" x14ac:dyDescent="0.3">
      <c r="M1924" s="14" t="str">
        <f t="shared" ref="M1924:M1987" si="11">IF($A1924="","",$A1924&amp;" — "&amp;$B1924)</f>
        <v/>
      </c>
    </row>
    <row r="1925" spans="13:13" x14ac:dyDescent="0.3">
      <c r="M1925" s="14" t="str">
        <f t="shared" si="11"/>
        <v/>
      </c>
    </row>
    <row r="1926" spans="13:13" x14ac:dyDescent="0.3">
      <c r="M1926" s="14" t="str">
        <f t="shared" si="11"/>
        <v/>
      </c>
    </row>
    <row r="1927" spans="13:13" x14ac:dyDescent="0.3">
      <c r="M1927" s="14" t="str">
        <f t="shared" si="11"/>
        <v/>
      </c>
    </row>
    <row r="1928" spans="13:13" x14ac:dyDescent="0.3">
      <c r="M1928" s="14" t="str">
        <f t="shared" si="11"/>
        <v/>
      </c>
    </row>
    <row r="1929" spans="13:13" x14ac:dyDescent="0.3">
      <c r="M1929" s="14" t="str">
        <f t="shared" si="11"/>
        <v/>
      </c>
    </row>
    <row r="1930" spans="13:13" x14ac:dyDescent="0.3">
      <c r="M1930" s="14" t="str">
        <f t="shared" si="11"/>
        <v/>
      </c>
    </row>
    <row r="1931" spans="13:13" x14ac:dyDescent="0.3">
      <c r="M1931" s="14" t="str">
        <f t="shared" si="11"/>
        <v/>
      </c>
    </row>
    <row r="1932" spans="13:13" x14ac:dyDescent="0.3">
      <c r="M1932" s="14" t="str">
        <f t="shared" si="11"/>
        <v/>
      </c>
    </row>
    <row r="1933" spans="13:13" x14ac:dyDescent="0.3">
      <c r="M1933" s="14" t="str">
        <f t="shared" si="11"/>
        <v/>
      </c>
    </row>
    <row r="1934" spans="13:13" x14ac:dyDescent="0.3">
      <c r="M1934" s="14" t="str">
        <f t="shared" si="11"/>
        <v/>
      </c>
    </row>
    <row r="1935" spans="13:13" x14ac:dyDescent="0.3">
      <c r="M1935" s="14" t="str">
        <f t="shared" si="11"/>
        <v/>
      </c>
    </row>
    <row r="1936" spans="13:13" x14ac:dyDescent="0.3">
      <c r="M1936" s="14" t="str">
        <f t="shared" si="11"/>
        <v/>
      </c>
    </row>
    <row r="1937" spans="13:13" x14ac:dyDescent="0.3">
      <c r="M1937" s="14" t="str">
        <f t="shared" si="11"/>
        <v/>
      </c>
    </row>
    <row r="1938" spans="13:13" x14ac:dyDescent="0.3">
      <c r="M1938" s="14" t="str">
        <f t="shared" si="11"/>
        <v/>
      </c>
    </row>
    <row r="1939" spans="13:13" x14ac:dyDescent="0.3">
      <c r="M1939" s="14" t="str">
        <f t="shared" si="11"/>
        <v/>
      </c>
    </row>
    <row r="1940" spans="13:13" x14ac:dyDescent="0.3">
      <c r="M1940" s="14" t="str">
        <f t="shared" si="11"/>
        <v/>
      </c>
    </row>
    <row r="1941" spans="13:13" x14ac:dyDescent="0.3">
      <c r="M1941" s="14" t="str">
        <f t="shared" si="11"/>
        <v/>
      </c>
    </row>
    <row r="1942" spans="13:13" x14ac:dyDescent="0.3">
      <c r="M1942" s="14" t="str">
        <f t="shared" si="11"/>
        <v/>
      </c>
    </row>
    <row r="1943" spans="13:13" x14ac:dyDescent="0.3">
      <c r="M1943" s="14" t="str">
        <f t="shared" si="11"/>
        <v/>
      </c>
    </row>
    <row r="1944" spans="13:13" x14ac:dyDescent="0.3">
      <c r="M1944" s="14" t="str">
        <f t="shared" si="11"/>
        <v/>
      </c>
    </row>
    <row r="1945" spans="13:13" x14ac:dyDescent="0.3">
      <c r="M1945" s="14" t="str">
        <f t="shared" si="11"/>
        <v/>
      </c>
    </row>
    <row r="1946" spans="13:13" x14ac:dyDescent="0.3">
      <c r="M1946" s="14" t="str">
        <f t="shared" si="11"/>
        <v/>
      </c>
    </row>
    <row r="1947" spans="13:13" x14ac:dyDescent="0.3">
      <c r="M1947" s="14" t="str">
        <f t="shared" si="11"/>
        <v/>
      </c>
    </row>
    <row r="1948" spans="13:13" x14ac:dyDescent="0.3">
      <c r="M1948" s="14" t="str">
        <f t="shared" si="11"/>
        <v/>
      </c>
    </row>
    <row r="1949" spans="13:13" x14ac:dyDescent="0.3">
      <c r="M1949" s="14" t="str">
        <f t="shared" si="11"/>
        <v/>
      </c>
    </row>
    <row r="1950" spans="13:13" x14ac:dyDescent="0.3">
      <c r="M1950" s="14" t="str">
        <f t="shared" si="11"/>
        <v/>
      </c>
    </row>
    <row r="1951" spans="13:13" x14ac:dyDescent="0.3">
      <c r="M1951" s="14" t="str">
        <f t="shared" si="11"/>
        <v/>
      </c>
    </row>
    <row r="1952" spans="13:13" x14ac:dyDescent="0.3">
      <c r="M1952" s="14" t="str">
        <f t="shared" si="11"/>
        <v/>
      </c>
    </row>
    <row r="1953" spans="13:13" x14ac:dyDescent="0.3">
      <c r="M1953" s="14" t="str">
        <f t="shared" si="11"/>
        <v/>
      </c>
    </row>
    <row r="1954" spans="13:13" x14ac:dyDescent="0.3">
      <c r="M1954" s="14" t="str">
        <f t="shared" si="11"/>
        <v/>
      </c>
    </row>
    <row r="1955" spans="13:13" x14ac:dyDescent="0.3">
      <c r="M1955" s="14" t="str">
        <f t="shared" si="11"/>
        <v/>
      </c>
    </row>
    <row r="1956" spans="13:13" x14ac:dyDescent="0.3">
      <c r="M1956" s="14" t="str">
        <f t="shared" si="11"/>
        <v/>
      </c>
    </row>
    <row r="1957" spans="13:13" x14ac:dyDescent="0.3">
      <c r="M1957" s="14" t="str">
        <f t="shared" si="11"/>
        <v/>
      </c>
    </row>
    <row r="1958" spans="13:13" x14ac:dyDescent="0.3">
      <c r="M1958" s="14" t="str">
        <f t="shared" si="11"/>
        <v/>
      </c>
    </row>
    <row r="1959" spans="13:13" x14ac:dyDescent="0.3">
      <c r="M1959" s="14" t="str">
        <f t="shared" si="11"/>
        <v/>
      </c>
    </row>
    <row r="1960" spans="13:13" x14ac:dyDescent="0.3">
      <c r="M1960" s="14" t="str">
        <f t="shared" si="11"/>
        <v/>
      </c>
    </row>
    <row r="1961" spans="13:13" x14ac:dyDescent="0.3">
      <c r="M1961" s="14" t="str">
        <f t="shared" si="11"/>
        <v/>
      </c>
    </row>
    <row r="1962" spans="13:13" x14ac:dyDescent="0.3">
      <c r="M1962" s="14" t="str">
        <f t="shared" si="11"/>
        <v/>
      </c>
    </row>
    <row r="1963" spans="13:13" x14ac:dyDescent="0.3">
      <c r="M1963" s="14" t="str">
        <f t="shared" si="11"/>
        <v/>
      </c>
    </row>
    <row r="1964" spans="13:13" x14ac:dyDescent="0.3">
      <c r="M1964" s="14" t="str">
        <f t="shared" si="11"/>
        <v/>
      </c>
    </row>
    <row r="1965" spans="13:13" x14ac:dyDescent="0.3">
      <c r="M1965" s="14" t="str">
        <f t="shared" si="11"/>
        <v/>
      </c>
    </row>
    <row r="1966" spans="13:13" x14ac:dyDescent="0.3">
      <c r="M1966" s="14" t="str">
        <f t="shared" si="11"/>
        <v/>
      </c>
    </row>
    <row r="1967" spans="13:13" x14ac:dyDescent="0.3">
      <c r="M1967" s="14" t="str">
        <f t="shared" si="11"/>
        <v/>
      </c>
    </row>
    <row r="1968" spans="13:13" x14ac:dyDescent="0.3">
      <c r="M1968" s="14" t="str">
        <f t="shared" si="11"/>
        <v/>
      </c>
    </row>
    <row r="1969" spans="13:13" x14ac:dyDescent="0.3">
      <c r="M1969" s="14" t="str">
        <f t="shared" si="11"/>
        <v/>
      </c>
    </row>
    <row r="1970" spans="13:13" x14ac:dyDescent="0.3">
      <c r="M1970" s="14" t="str">
        <f t="shared" si="11"/>
        <v/>
      </c>
    </row>
    <row r="1971" spans="13:13" x14ac:dyDescent="0.3">
      <c r="M1971" s="14" t="str">
        <f t="shared" si="11"/>
        <v/>
      </c>
    </row>
    <row r="1972" spans="13:13" x14ac:dyDescent="0.3">
      <c r="M1972" s="14" t="str">
        <f t="shared" si="11"/>
        <v/>
      </c>
    </row>
    <row r="1973" spans="13:13" x14ac:dyDescent="0.3">
      <c r="M1973" s="14" t="str">
        <f t="shared" si="11"/>
        <v/>
      </c>
    </row>
    <row r="1974" spans="13:13" x14ac:dyDescent="0.3">
      <c r="M1974" s="14" t="str">
        <f t="shared" si="11"/>
        <v/>
      </c>
    </row>
    <row r="1975" spans="13:13" x14ac:dyDescent="0.3">
      <c r="M1975" s="14" t="str">
        <f t="shared" si="11"/>
        <v/>
      </c>
    </row>
    <row r="1976" spans="13:13" x14ac:dyDescent="0.3">
      <c r="M1976" s="14" t="str">
        <f t="shared" si="11"/>
        <v/>
      </c>
    </row>
    <row r="1977" spans="13:13" x14ac:dyDescent="0.3">
      <c r="M1977" s="14" t="str">
        <f t="shared" si="11"/>
        <v/>
      </c>
    </row>
    <row r="1978" spans="13:13" x14ac:dyDescent="0.3">
      <c r="M1978" s="14" t="str">
        <f t="shared" si="11"/>
        <v/>
      </c>
    </row>
    <row r="1979" spans="13:13" x14ac:dyDescent="0.3">
      <c r="M1979" s="14" t="str">
        <f t="shared" si="11"/>
        <v/>
      </c>
    </row>
    <row r="1980" spans="13:13" x14ac:dyDescent="0.3">
      <c r="M1980" s="14" t="str">
        <f t="shared" si="11"/>
        <v/>
      </c>
    </row>
    <row r="1981" spans="13:13" x14ac:dyDescent="0.3">
      <c r="M1981" s="14" t="str">
        <f t="shared" si="11"/>
        <v/>
      </c>
    </row>
    <row r="1982" spans="13:13" x14ac:dyDescent="0.3">
      <c r="M1982" s="14" t="str">
        <f t="shared" si="11"/>
        <v/>
      </c>
    </row>
    <row r="1983" spans="13:13" x14ac:dyDescent="0.3">
      <c r="M1983" s="14" t="str">
        <f t="shared" si="11"/>
        <v/>
      </c>
    </row>
    <row r="1984" spans="13:13" x14ac:dyDescent="0.3">
      <c r="M1984" s="14" t="str">
        <f t="shared" si="11"/>
        <v/>
      </c>
    </row>
    <row r="1985" spans="13:13" x14ac:dyDescent="0.3">
      <c r="M1985" s="14" t="str">
        <f t="shared" si="11"/>
        <v/>
      </c>
    </row>
    <row r="1986" spans="13:13" x14ac:dyDescent="0.3">
      <c r="M1986" s="14" t="str">
        <f t="shared" si="11"/>
        <v/>
      </c>
    </row>
    <row r="1987" spans="13:13" x14ac:dyDescent="0.3">
      <c r="M1987" s="14" t="str">
        <f t="shared" si="11"/>
        <v/>
      </c>
    </row>
    <row r="1988" spans="13:13" x14ac:dyDescent="0.3">
      <c r="M1988" s="14" t="str">
        <f t="shared" ref="M1988:M2019" si="12">IF($A1988="","",$A1988&amp;" — "&amp;$B1988)</f>
        <v/>
      </c>
    </row>
    <row r="1989" spans="13:13" x14ac:dyDescent="0.3">
      <c r="M1989" s="14" t="str">
        <f t="shared" si="12"/>
        <v/>
      </c>
    </row>
    <row r="1990" spans="13:13" x14ac:dyDescent="0.3">
      <c r="M1990" s="14" t="str">
        <f t="shared" si="12"/>
        <v/>
      </c>
    </row>
    <row r="1991" spans="13:13" x14ac:dyDescent="0.3">
      <c r="M1991" s="14" t="str">
        <f t="shared" si="12"/>
        <v/>
      </c>
    </row>
    <row r="1992" spans="13:13" x14ac:dyDescent="0.3">
      <c r="M1992" s="14" t="str">
        <f t="shared" si="12"/>
        <v/>
      </c>
    </row>
    <row r="1993" spans="13:13" x14ac:dyDescent="0.3">
      <c r="M1993" s="14" t="str">
        <f t="shared" si="12"/>
        <v/>
      </c>
    </row>
    <row r="1994" spans="13:13" x14ac:dyDescent="0.3">
      <c r="M1994" s="14" t="str">
        <f t="shared" si="12"/>
        <v/>
      </c>
    </row>
    <row r="1995" spans="13:13" x14ac:dyDescent="0.3">
      <c r="M1995" s="14" t="str">
        <f t="shared" si="12"/>
        <v/>
      </c>
    </row>
    <row r="1996" spans="13:13" x14ac:dyDescent="0.3">
      <c r="M1996" s="14" t="str">
        <f t="shared" si="12"/>
        <v/>
      </c>
    </row>
    <row r="1997" spans="13:13" x14ac:dyDescent="0.3">
      <c r="M1997" s="14" t="str">
        <f t="shared" si="12"/>
        <v/>
      </c>
    </row>
    <row r="1998" spans="13:13" x14ac:dyDescent="0.3">
      <c r="M1998" s="14" t="str">
        <f t="shared" si="12"/>
        <v/>
      </c>
    </row>
    <row r="1999" spans="13:13" x14ac:dyDescent="0.3">
      <c r="M1999" s="14" t="str">
        <f t="shared" si="12"/>
        <v/>
      </c>
    </row>
    <row r="2000" spans="13:13" x14ac:dyDescent="0.3">
      <c r="M2000" s="14" t="str">
        <f t="shared" si="12"/>
        <v/>
      </c>
    </row>
    <row r="2001" spans="13:13" x14ac:dyDescent="0.3">
      <c r="M2001" s="14" t="str">
        <f t="shared" si="12"/>
        <v/>
      </c>
    </row>
    <row r="2002" spans="13:13" x14ac:dyDescent="0.3">
      <c r="M2002" s="14" t="str">
        <f t="shared" si="12"/>
        <v/>
      </c>
    </row>
    <row r="2003" spans="13:13" x14ac:dyDescent="0.3">
      <c r="M2003" s="14" t="str">
        <f t="shared" si="12"/>
        <v/>
      </c>
    </row>
    <row r="2004" spans="13:13" x14ac:dyDescent="0.3">
      <c r="M2004" s="14" t="str">
        <f t="shared" si="12"/>
        <v/>
      </c>
    </row>
    <row r="2005" spans="13:13" x14ac:dyDescent="0.3">
      <c r="M2005" s="14" t="str">
        <f t="shared" si="12"/>
        <v/>
      </c>
    </row>
    <row r="2006" spans="13:13" x14ac:dyDescent="0.3">
      <c r="M2006" s="14" t="str">
        <f t="shared" si="12"/>
        <v/>
      </c>
    </row>
    <row r="2007" spans="13:13" x14ac:dyDescent="0.3">
      <c r="M2007" s="14" t="str">
        <f t="shared" si="12"/>
        <v/>
      </c>
    </row>
    <row r="2008" spans="13:13" x14ac:dyDescent="0.3">
      <c r="M2008" s="14" t="str">
        <f t="shared" si="12"/>
        <v/>
      </c>
    </row>
    <row r="2009" spans="13:13" x14ac:dyDescent="0.3">
      <c r="M2009" s="14" t="str">
        <f t="shared" si="12"/>
        <v/>
      </c>
    </row>
    <row r="2010" spans="13:13" x14ac:dyDescent="0.3">
      <c r="M2010" s="14" t="str">
        <f t="shared" si="12"/>
        <v/>
      </c>
    </row>
    <row r="2011" spans="13:13" x14ac:dyDescent="0.3">
      <c r="M2011" s="14" t="str">
        <f t="shared" si="12"/>
        <v/>
      </c>
    </row>
    <row r="2012" spans="13:13" x14ac:dyDescent="0.3">
      <c r="M2012" s="14" t="str">
        <f t="shared" si="12"/>
        <v/>
      </c>
    </row>
    <row r="2013" spans="13:13" x14ac:dyDescent="0.3">
      <c r="M2013" s="14" t="str">
        <f t="shared" si="12"/>
        <v/>
      </c>
    </row>
    <row r="2014" spans="13:13" x14ac:dyDescent="0.3">
      <c r="M2014" s="14" t="str">
        <f t="shared" si="12"/>
        <v/>
      </c>
    </row>
    <row r="2015" spans="13:13" x14ac:dyDescent="0.3">
      <c r="M2015" s="14" t="str">
        <f t="shared" si="12"/>
        <v/>
      </c>
    </row>
    <row r="2016" spans="13:13" x14ac:dyDescent="0.3">
      <c r="M2016" s="14" t="str">
        <f t="shared" si="12"/>
        <v/>
      </c>
    </row>
    <row r="2017" spans="13:13" x14ac:dyDescent="0.3">
      <c r="M2017" s="14" t="str">
        <f t="shared" si="12"/>
        <v/>
      </c>
    </row>
    <row r="2018" spans="13:13" x14ac:dyDescent="0.3">
      <c r="M2018" s="14" t="str">
        <f t="shared" si="12"/>
        <v/>
      </c>
    </row>
    <row r="2019" spans="13:13" x14ac:dyDescent="0.3">
      <c r="M2019" s="14" t="str">
        <f t="shared" si="12"/>
        <v/>
      </c>
    </row>
  </sheetData>
  <autoFilter ref="A1:L121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E64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14" customWidth="1"/>
    <col min="2" max="2" width="40" customWidth="1"/>
    <col min="3" max="3" width="22" customWidth="1"/>
    <col min="4" max="4" width="60" customWidth="1"/>
    <col min="5" max="5" width="40" customWidth="1"/>
  </cols>
  <sheetData>
    <row r="1" spans="1:5" ht="15.6" x14ac:dyDescent="0.3">
      <c r="A1" s="15" t="s">
        <v>7135</v>
      </c>
    </row>
    <row r="2" spans="1:5" ht="244.8" x14ac:dyDescent="0.3">
      <c r="A2" s="5" t="s">
        <v>7136</v>
      </c>
    </row>
    <row r="4" spans="1:5" x14ac:dyDescent="0.3">
      <c r="A4" s="3" t="s">
        <v>7137</v>
      </c>
      <c r="B4" s="3" t="s">
        <v>2696</v>
      </c>
      <c r="C4" s="3" t="s">
        <v>7138</v>
      </c>
      <c r="D4" s="3" t="s">
        <v>7139</v>
      </c>
      <c r="E4" s="3" t="s">
        <v>7140</v>
      </c>
    </row>
    <row r="5" spans="1:5" x14ac:dyDescent="0.3">
      <c r="A5" t="s">
        <v>1832</v>
      </c>
      <c r="B5" t="s">
        <v>7141</v>
      </c>
      <c r="C5" t="s">
        <v>1808</v>
      </c>
      <c r="D5" t="s">
        <v>7142</v>
      </c>
      <c r="E5" t="s">
        <v>1831</v>
      </c>
    </row>
    <row r="6" spans="1:5" x14ac:dyDescent="0.3">
      <c r="A6" t="s">
        <v>1877</v>
      </c>
      <c r="B6" t="s">
        <v>7143</v>
      </c>
      <c r="C6" t="s">
        <v>1808</v>
      </c>
      <c r="D6" t="s">
        <v>7144</v>
      </c>
      <c r="E6" t="s">
        <v>7145</v>
      </c>
    </row>
    <row r="7" spans="1:5" x14ac:dyDescent="0.3">
      <c r="A7" t="s">
        <v>1437</v>
      </c>
      <c r="B7" t="s">
        <v>7146</v>
      </c>
      <c r="C7" t="s">
        <v>7147</v>
      </c>
      <c r="D7" t="s">
        <v>7148</v>
      </c>
      <c r="E7" t="s">
        <v>1488</v>
      </c>
    </row>
    <row r="8" spans="1:5" x14ac:dyDescent="0.3">
      <c r="A8" t="s">
        <v>1021</v>
      </c>
      <c r="B8" t="s">
        <v>7149</v>
      </c>
      <c r="C8" t="s">
        <v>7150</v>
      </c>
      <c r="D8" t="s">
        <v>7151</v>
      </c>
      <c r="E8" t="s">
        <v>7152</v>
      </c>
    </row>
    <row r="9" spans="1:5" x14ac:dyDescent="0.3">
      <c r="A9" t="s">
        <v>1132</v>
      </c>
      <c r="B9" t="s">
        <v>7153</v>
      </c>
      <c r="C9" t="s">
        <v>7150</v>
      </c>
      <c r="D9" t="s">
        <v>7154</v>
      </c>
      <c r="E9" t="s">
        <v>7155</v>
      </c>
    </row>
    <row r="10" spans="1:5" x14ac:dyDescent="0.3">
      <c r="A10" t="s">
        <v>1743</v>
      </c>
      <c r="B10" t="s">
        <v>7156</v>
      </c>
      <c r="C10" t="s">
        <v>1698</v>
      </c>
      <c r="D10" t="s">
        <v>7157</v>
      </c>
      <c r="E10" t="s">
        <v>1742</v>
      </c>
    </row>
    <row r="11" spans="1:5" x14ac:dyDescent="0.3">
      <c r="A11" t="s">
        <v>1756</v>
      </c>
      <c r="B11" t="s">
        <v>7158</v>
      </c>
      <c r="C11" t="s">
        <v>1698</v>
      </c>
      <c r="D11" t="s">
        <v>7159</v>
      </c>
      <c r="E11" t="s">
        <v>7160</v>
      </c>
    </row>
    <row r="12" spans="1:5" x14ac:dyDescent="0.3">
      <c r="A12" t="s">
        <v>1770</v>
      </c>
      <c r="B12" t="s">
        <v>7161</v>
      </c>
      <c r="C12" t="s">
        <v>1698</v>
      </c>
      <c r="D12" t="s">
        <v>7162</v>
      </c>
      <c r="E12" t="s">
        <v>1769</v>
      </c>
    </row>
    <row r="13" spans="1:5" x14ac:dyDescent="0.3">
      <c r="A13" t="s">
        <v>618</v>
      </c>
      <c r="B13" t="s">
        <v>7163</v>
      </c>
      <c r="C13" t="s">
        <v>7164</v>
      </c>
      <c r="D13" t="s">
        <v>7165</v>
      </c>
      <c r="E13" t="s">
        <v>624</v>
      </c>
    </row>
    <row r="14" spans="1:5" x14ac:dyDescent="0.3">
      <c r="A14" t="s">
        <v>804</v>
      </c>
      <c r="B14" t="s">
        <v>7166</v>
      </c>
      <c r="C14" t="s">
        <v>7167</v>
      </c>
      <c r="D14" t="s">
        <v>7168</v>
      </c>
      <c r="E14" t="s">
        <v>803</v>
      </c>
    </row>
    <row r="15" spans="1:5" x14ac:dyDescent="0.3">
      <c r="A15" t="s">
        <v>794</v>
      </c>
      <c r="B15" t="s">
        <v>7169</v>
      </c>
      <c r="C15" t="s">
        <v>7167</v>
      </c>
      <c r="D15" t="s">
        <v>7170</v>
      </c>
      <c r="E15" t="s">
        <v>7171</v>
      </c>
    </row>
    <row r="16" spans="1:5" x14ac:dyDescent="0.3">
      <c r="A16" t="s">
        <v>816</v>
      </c>
      <c r="B16" t="s">
        <v>7172</v>
      </c>
      <c r="C16" t="s">
        <v>7173</v>
      </c>
      <c r="D16" t="s">
        <v>7174</v>
      </c>
      <c r="E16" t="s">
        <v>1108</v>
      </c>
    </row>
    <row r="17" spans="1:5" x14ac:dyDescent="0.3">
      <c r="A17" t="s">
        <v>842</v>
      </c>
      <c r="B17" t="s">
        <v>7175</v>
      </c>
      <c r="C17" t="s">
        <v>7167</v>
      </c>
      <c r="D17" t="s">
        <v>7176</v>
      </c>
      <c r="E17" t="s">
        <v>841</v>
      </c>
    </row>
    <row r="18" spans="1:5" x14ac:dyDescent="0.3">
      <c r="A18" t="s">
        <v>830</v>
      </c>
      <c r="B18" t="s">
        <v>7177</v>
      </c>
      <c r="C18" t="s">
        <v>7167</v>
      </c>
      <c r="D18" t="s">
        <v>7178</v>
      </c>
      <c r="E18" t="s">
        <v>829</v>
      </c>
    </row>
    <row r="19" spans="1:5" x14ac:dyDescent="0.3">
      <c r="A19" t="s">
        <v>820</v>
      </c>
      <c r="B19" t="s">
        <v>7179</v>
      </c>
      <c r="C19" t="s">
        <v>7167</v>
      </c>
      <c r="D19" t="s">
        <v>7180</v>
      </c>
      <c r="E19" t="s">
        <v>819</v>
      </c>
    </row>
    <row r="20" spans="1:5" x14ac:dyDescent="0.3">
      <c r="A20" t="s">
        <v>856</v>
      </c>
      <c r="B20" t="s">
        <v>7181</v>
      </c>
      <c r="C20" t="s">
        <v>7182</v>
      </c>
      <c r="D20" t="s">
        <v>7183</v>
      </c>
      <c r="E20" t="s">
        <v>7184</v>
      </c>
    </row>
    <row r="21" spans="1:5" x14ac:dyDescent="0.3">
      <c r="A21" t="s">
        <v>1715</v>
      </c>
      <c r="B21" t="s">
        <v>7185</v>
      </c>
      <c r="C21" t="s">
        <v>7186</v>
      </c>
      <c r="D21" t="s">
        <v>7187</v>
      </c>
      <c r="E21" t="s">
        <v>1718</v>
      </c>
    </row>
    <row r="22" spans="1:5" x14ac:dyDescent="0.3">
      <c r="A22" t="s">
        <v>636</v>
      </c>
      <c r="B22" t="s">
        <v>7188</v>
      </c>
      <c r="C22" t="s">
        <v>7189</v>
      </c>
      <c r="D22" t="s">
        <v>7190</v>
      </c>
      <c r="E22" t="s">
        <v>7191</v>
      </c>
    </row>
    <row r="23" spans="1:5" x14ac:dyDescent="0.3">
      <c r="A23" t="s">
        <v>2144</v>
      </c>
      <c r="B23" t="s">
        <v>7192</v>
      </c>
      <c r="C23" t="s">
        <v>7193</v>
      </c>
      <c r="D23" t="s">
        <v>7194</v>
      </c>
      <c r="E23" t="s">
        <v>2437</v>
      </c>
    </row>
    <row r="24" spans="1:5" x14ac:dyDescent="0.3">
      <c r="A24" t="s">
        <v>1800</v>
      </c>
      <c r="B24" t="s">
        <v>7195</v>
      </c>
      <c r="C24" t="s">
        <v>1698</v>
      </c>
      <c r="D24" t="s">
        <v>7196</v>
      </c>
      <c r="E24" t="s">
        <v>7197</v>
      </c>
    </row>
    <row r="25" spans="1:5" x14ac:dyDescent="0.3">
      <c r="A25" t="s">
        <v>599</v>
      </c>
      <c r="B25" t="s">
        <v>7198</v>
      </c>
      <c r="C25" t="s">
        <v>7164</v>
      </c>
      <c r="D25" t="s">
        <v>7199</v>
      </c>
      <c r="E25" t="s">
        <v>7200</v>
      </c>
    </row>
    <row r="26" spans="1:5" x14ac:dyDescent="0.3">
      <c r="A26" t="s">
        <v>2104</v>
      </c>
      <c r="B26" t="s">
        <v>7201</v>
      </c>
      <c r="C26" t="s">
        <v>7193</v>
      </c>
      <c r="D26" t="s">
        <v>7202</v>
      </c>
      <c r="E26" t="s">
        <v>2103</v>
      </c>
    </row>
    <row r="27" spans="1:5" x14ac:dyDescent="0.3">
      <c r="A27" t="s">
        <v>749</v>
      </c>
      <c r="B27" t="s">
        <v>7203</v>
      </c>
      <c r="C27" t="s">
        <v>7204</v>
      </c>
      <c r="D27" t="s">
        <v>7205</v>
      </c>
      <c r="E27" t="s">
        <v>852</v>
      </c>
    </row>
    <row r="28" spans="1:5" x14ac:dyDescent="0.3">
      <c r="A28" t="s">
        <v>2111</v>
      </c>
      <c r="B28" t="s">
        <v>7206</v>
      </c>
      <c r="C28" t="s">
        <v>7193</v>
      </c>
      <c r="D28" t="s">
        <v>7207</v>
      </c>
      <c r="E28" t="s">
        <v>2110</v>
      </c>
    </row>
    <row r="29" spans="1:5" x14ac:dyDescent="0.3">
      <c r="A29" t="s">
        <v>2473</v>
      </c>
      <c r="B29" t="s">
        <v>7208</v>
      </c>
      <c r="C29" t="s">
        <v>7193</v>
      </c>
      <c r="D29" t="s">
        <v>7209</v>
      </c>
      <c r="E29" t="s">
        <v>7210</v>
      </c>
    </row>
    <row r="30" spans="1:5" x14ac:dyDescent="0.3">
      <c r="A30" t="s">
        <v>2571</v>
      </c>
      <c r="B30" t="s">
        <v>7211</v>
      </c>
      <c r="C30" t="s">
        <v>7212</v>
      </c>
      <c r="D30" t="s">
        <v>7213</v>
      </c>
      <c r="E30" t="s">
        <v>2570</v>
      </c>
    </row>
    <row r="31" spans="1:5" x14ac:dyDescent="0.3">
      <c r="A31" t="s">
        <v>2526</v>
      </c>
      <c r="B31" t="s">
        <v>7214</v>
      </c>
      <c r="C31" t="s">
        <v>7193</v>
      </c>
      <c r="D31" t="s">
        <v>7215</v>
      </c>
      <c r="E31" t="s">
        <v>7216</v>
      </c>
    </row>
    <row r="32" spans="1:5" x14ac:dyDescent="0.3">
      <c r="A32" t="s">
        <v>753</v>
      </c>
      <c r="B32" t="s">
        <v>7217</v>
      </c>
      <c r="C32" t="s">
        <v>7164</v>
      </c>
      <c r="D32" t="s">
        <v>7218</v>
      </c>
      <c r="E32" t="s">
        <v>784</v>
      </c>
    </row>
    <row r="33" spans="1:5" x14ac:dyDescent="0.3">
      <c r="A33" t="s">
        <v>7219</v>
      </c>
      <c r="B33" t="s">
        <v>7220</v>
      </c>
      <c r="C33" t="s">
        <v>7221</v>
      </c>
      <c r="D33" t="s">
        <v>7222</v>
      </c>
      <c r="E33" t="s">
        <v>1796</v>
      </c>
    </row>
    <row r="34" spans="1:5" x14ac:dyDescent="0.3">
      <c r="A34" t="s">
        <v>849</v>
      </c>
      <c r="B34" t="s">
        <v>7223</v>
      </c>
      <c r="C34" t="s">
        <v>7182</v>
      </c>
      <c r="D34" t="s">
        <v>7224</v>
      </c>
      <c r="E34" t="s">
        <v>848</v>
      </c>
    </row>
    <row r="35" spans="1:5" x14ac:dyDescent="0.3">
      <c r="A35" t="s">
        <v>1699</v>
      </c>
      <c r="B35" t="s">
        <v>7225</v>
      </c>
      <c r="C35" t="s">
        <v>7226</v>
      </c>
      <c r="D35" t="s">
        <v>7227</v>
      </c>
      <c r="E35" t="s">
        <v>1817</v>
      </c>
    </row>
    <row r="36" spans="1:5" x14ac:dyDescent="0.3">
      <c r="A36" t="s">
        <v>707</v>
      </c>
      <c r="B36" t="s">
        <v>7228</v>
      </c>
      <c r="C36" t="s">
        <v>7164</v>
      </c>
      <c r="D36" t="s">
        <v>7229</v>
      </c>
      <c r="E36" t="s">
        <v>716</v>
      </c>
    </row>
    <row r="37" spans="1:5" x14ac:dyDescent="0.3">
      <c r="A37" t="s">
        <v>724</v>
      </c>
      <c r="B37" t="s">
        <v>7230</v>
      </c>
      <c r="C37" t="s">
        <v>7164</v>
      </c>
      <c r="D37" t="s">
        <v>7231</v>
      </c>
      <c r="E37" t="s">
        <v>7232</v>
      </c>
    </row>
    <row r="38" spans="1:5" x14ac:dyDescent="0.3">
      <c r="A38" t="s">
        <v>870</v>
      </c>
      <c r="B38" t="s">
        <v>7233</v>
      </c>
      <c r="C38" t="s">
        <v>7234</v>
      </c>
      <c r="D38" t="s">
        <v>7235</v>
      </c>
      <c r="E38" t="s">
        <v>7236</v>
      </c>
    </row>
    <row r="39" spans="1:5" x14ac:dyDescent="0.3">
      <c r="A39" t="s">
        <v>1032</v>
      </c>
      <c r="B39" t="s">
        <v>7237</v>
      </c>
      <c r="C39" t="s">
        <v>7238</v>
      </c>
      <c r="D39" t="s">
        <v>7239</v>
      </c>
      <c r="E39" t="s">
        <v>1031</v>
      </c>
    </row>
    <row r="40" spans="1:5" x14ac:dyDescent="0.3">
      <c r="A40" t="s">
        <v>863</v>
      </c>
      <c r="B40" t="s">
        <v>7240</v>
      </c>
      <c r="C40" t="s">
        <v>7182</v>
      </c>
      <c r="D40" t="s">
        <v>7241</v>
      </c>
      <c r="E40" t="s">
        <v>862</v>
      </c>
    </row>
    <row r="41" spans="1:5" x14ac:dyDescent="0.3">
      <c r="A41" t="s">
        <v>1093</v>
      </c>
      <c r="B41" t="s">
        <v>7242</v>
      </c>
      <c r="C41" t="s">
        <v>7238</v>
      </c>
      <c r="D41" t="s">
        <v>7243</v>
      </c>
      <c r="E41" t="s">
        <v>7244</v>
      </c>
    </row>
    <row r="42" spans="1:5" x14ac:dyDescent="0.3">
      <c r="A42" t="s">
        <v>1028</v>
      </c>
      <c r="B42" t="s">
        <v>7245</v>
      </c>
      <c r="C42" t="s">
        <v>7238</v>
      </c>
      <c r="D42" t="s">
        <v>7246</v>
      </c>
      <c r="E42" t="s">
        <v>1027</v>
      </c>
    </row>
    <row r="43" spans="1:5" x14ac:dyDescent="0.3">
      <c r="A43" t="s">
        <v>1039</v>
      </c>
      <c r="B43" t="s">
        <v>7247</v>
      </c>
      <c r="C43" t="s">
        <v>7238</v>
      </c>
      <c r="D43" t="s">
        <v>7248</v>
      </c>
      <c r="E43" t="s">
        <v>1038</v>
      </c>
    </row>
    <row r="44" spans="1:5" x14ac:dyDescent="0.3">
      <c r="A44" t="s">
        <v>993</v>
      </c>
      <c r="B44" t="s">
        <v>7249</v>
      </c>
      <c r="C44" t="s">
        <v>7238</v>
      </c>
      <c r="D44" t="s">
        <v>7250</v>
      </c>
      <c r="E44" t="s">
        <v>7251</v>
      </c>
    </row>
    <row r="45" spans="1:5" x14ac:dyDescent="0.3">
      <c r="A45" t="s">
        <v>882</v>
      </c>
      <c r="B45" t="s">
        <v>7252</v>
      </c>
      <c r="C45" t="s">
        <v>7253</v>
      </c>
      <c r="D45" t="s">
        <v>7254</v>
      </c>
      <c r="E45" t="s">
        <v>897</v>
      </c>
    </row>
    <row r="46" spans="1:5" x14ac:dyDescent="0.3">
      <c r="A46" t="s">
        <v>1576</v>
      </c>
      <c r="B46" t="s">
        <v>7255</v>
      </c>
      <c r="C46" t="s">
        <v>1568</v>
      </c>
      <c r="D46" t="s">
        <v>7256</v>
      </c>
      <c r="E46" t="s">
        <v>1574</v>
      </c>
    </row>
    <row r="47" spans="1:5" x14ac:dyDescent="0.3">
      <c r="A47" t="s">
        <v>1582</v>
      </c>
      <c r="B47" t="s">
        <v>7257</v>
      </c>
      <c r="C47" t="s">
        <v>1568</v>
      </c>
      <c r="D47" t="s">
        <v>7258</v>
      </c>
      <c r="E47" t="s">
        <v>1581</v>
      </c>
    </row>
    <row r="48" spans="1:5" x14ac:dyDescent="0.3">
      <c r="A48" t="s">
        <v>2081</v>
      </c>
      <c r="B48" t="s">
        <v>7259</v>
      </c>
      <c r="C48" t="s">
        <v>7193</v>
      </c>
      <c r="D48" t="s">
        <v>7260</v>
      </c>
      <c r="E48" t="s">
        <v>2192</v>
      </c>
    </row>
    <row r="49" spans="1:5" x14ac:dyDescent="0.3">
      <c r="A49" t="s">
        <v>2077</v>
      </c>
      <c r="B49" t="s">
        <v>7261</v>
      </c>
      <c r="C49" t="s">
        <v>7193</v>
      </c>
      <c r="D49" t="s">
        <v>7262</v>
      </c>
      <c r="E49" t="s">
        <v>2076</v>
      </c>
    </row>
    <row r="50" spans="1:5" x14ac:dyDescent="0.3">
      <c r="A50" t="s">
        <v>1809</v>
      </c>
      <c r="B50" t="s">
        <v>7263</v>
      </c>
      <c r="C50" t="s">
        <v>1808</v>
      </c>
      <c r="D50" t="s">
        <v>7264</v>
      </c>
      <c r="E50" t="s">
        <v>1806</v>
      </c>
    </row>
    <row r="51" spans="1:5" x14ac:dyDescent="0.3">
      <c r="A51" t="s">
        <v>760</v>
      </c>
      <c r="B51" t="s">
        <v>7265</v>
      </c>
      <c r="C51" t="s">
        <v>7164</v>
      </c>
      <c r="D51" t="s">
        <v>7266</v>
      </c>
      <c r="E51" t="s">
        <v>763</v>
      </c>
    </row>
    <row r="52" spans="1:5" x14ac:dyDescent="0.3">
      <c r="A52" t="s">
        <v>1525</v>
      </c>
      <c r="B52" t="s">
        <v>7267</v>
      </c>
      <c r="C52" t="s">
        <v>7268</v>
      </c>
      <c r="D52" t="s">
        <v>7269</v>
      </c>
      <c r="E52" t="s">
        <v>1524</v>
      </c>
    </row>
    <row r="53" spans="1:5" x14ac:dyDescent="0.3">
      <c r="A53" t="s">
        <v>1461</v>
      </c>
      <c r="B53" t="s">
        <v>7270</v>
      </c>
      <c r="C53" t="s">
        <v>7268</v>
      </c>
      <c r="D53" t="s">
        <v>7271</v>
      </c>
      <c r="E53" t="s">
        <v>1460</v>
      </c>
    </row>
    <row r="54" spans="1:5" x14ac:dyDescent="0.3">
      <c r="A54" t="s">
        <v>1472</v>
      </c>
      <c r="B54" t="s">
        <v>7272</v>
      </c>
      <c r="C54" t="s">
        <v>7268</v>
      </c>
      <c r="D54" t="s">
        <v>7273</v>
      </c>
      <c r="E54" t="s">
        <v>1471</v>
      </c>
    </row>
    <row r="55" spans="1:5" x14ac:dyDescent="0.3">
      <c r="A55" t="s">
        <v>1457</v>
      </c>
      <c r="B55" t="s">
        <v>7274</v>
      </c>
      <c r="C55" t="s">
        <v>7268</v>
      </c>
      <c r="D55" t="s">
        <v>7275</v>
      </c>
      <c r="E55" t="s">
        <v>1456</v>
      </c>
    </row>
    <row r="56" spans="1:5" x14ac:dyDescent="0.3">
      <c r="A56" t="s">
        <v>1441</v>
      </c>
      <c r="B56" t="s">
        <v>7276</v>
      </c>
      <c r="C56" t="s">
        <v>7147</v>
      </c>
      <c r="D56" t="s">
        <v>7277</v>
      </c>
      <c r="E56" t="s">
        <v>1485</v>
      </c>
    </row>
    <row r="57" spans="1:5" x14ac:dyDescent="0.3">
      <c r="A57" t="s">
        <v>2085</v>
      </c>
      <c r="B57" t="s">
        <v>7278</v>
      </c>
      <c r="C57" t="s">
        <v>7193</v>
      </c>
      <c r="D57" t="s">
        <v>7279</v>
      </c>
      <c r="E57" t="s">
        <v>2084</v>
      </c>
    </row>
    <row r="58" spans="1:5" x14ac:dyDescent="0.3">
      <c r="A58" t="s">
        <v>720</v>
      </c>
      <c r="B58" t="s">
        <v>7280</v>
      </c>
      <c r="C58" t="s">
        <v>7238</v>
      </c>
      <c r="D58" t="s">
        <v>7281</v>
      </c>
      <c r="E58" t="s">
        <v>719</v>
      </c>
    </row>
    <row r="59" spans="1:5" x14ac:dyDescent="0.3">
      <c r="A59" t="s">
        <v>7282</v>
      </c>
      <c r="B59" t="s">
        <v>7283</v>
      </c>
      <c r="C59" t="s">
        <v>1808</v>
      </c>
      <c r="D59" t="s">
        <v>7284</v>
      </c>
      <c r="E59" t="s">
        <v>7285</v>
      </c>
    </row>
    <row r="60" spans="1:5" x14ac:dyDescent="0.3">
      <c r="A60" t="s">
        <v>1776</v>
      </c>
      <c r="B60" t="s">
        <v>7286</v>
      </c>
      <c r="C60" t="s">
        <v>1698</v>
      </c>
      <c r="D60" t="s">
        <v>7287</v>
      </c>
      <c r="E60" t="s">
        <v>1775</v>
      </c>
    </row>
    <row r="61" spans="1:5" x14ac:dyDescent="0.3">
      <c r="A61" t="s">
        <v>1926</v>
      </c>
      <c r="B61" t="s">
        <v>7288</v>
      </c>
      <c r="C61" t="s">
        <v>7193</v>
      </c>
      <c r="D61" t="s">
        <v>7289</v>
      </c>
      <c r="E61" t="s">
        <v>1925</v>
      </c>
    </row>
    <row r="62" spans="1:5" x14ac:dyDescent="0.3">
      <c r="A62" t="s">
        <v>2129</v>
      </c>
      <c r="B62" t="s">
        <v>7290</v>
      </c>
      <c r="C62" t="s">
        <v>7193</v>
      </c>
      <c r="D62" t="s">
        <v>7291</v>
      </c>
      <c r="E62" t="s">
        <v>2128</v>
      </c>
    </row>
    <row r="63" spans="1:5" x14ac:dyDescent="0.3">
      <c r="A63" t="s">
        <v>2123</v>
      </c>
      <c r="B63" t="s">
        <v>7292</v>
      </c>
      <c r="C63" t="s">
        <v>7193</v>
      </c>
      <c r="D63" t="s">
        <v>7293</v>
      </c>
      <c r="E63" t="s">
        <v>2122</v>
      </c>
    </row>
    <row r="64" spans="1:5" x14ac:dyDescent="0.3">
      <c r="A64" t="s">
        <v>1886</v>
      </c>
      <c r="B64" t="s">
        <v>7294</v>
      </c>
      <c r="C64" t="s">
        <v>7193</v>
      </c>
      <c r="D64" t="s">
        <v>7295</v>
      </c>
      <c r="E64" t="s">
        <v>1895</v>
      </c>
    </row>
  </sheetData>
  <autoFilter ref="A4:E6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G5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" customWidth="1"/>
    <col min="2" max="2" width="46" customWidth="1"/>
    <col min="3" max="3" width="30" customWidth="1"/>
    <col min="4" max="4" width="8" customWidth="1"/>
    <col min="5" max="5" width="14" customWidth="1"/>
    <col min="6" max="6" width="66" customWidth="1"/>
    <col min="7" max="7" width="74" customWidth="1"/>
  </cols>
  <sheetData>
    <row r="1" spans="1:7" x14ac:dyDescent="0.3">
      <c r="A1" s="3" t="s">
        <v>7296</v>
      </c>
      <c r="B1" s="3" t="s">
        <v>7297</v>
      </c>
      <c r="C1" s="3" t="s">
        <v>7298</v>
      </c>
      <c r="D1" s="3" t="s">
        <v>22</v>
      </c>
      <c r="E1" s="3" t="s">
        <v>7299</v>
      </c>
      <c r="F1" s="3" t="s">
        <v>7300</v>
      </c>
      <c r="G1" s="3" t="s">
        <v>7301</v>
      </c>
    </row>
    <row r="2" spans="1:7" x14ac:dyDescent="0.3">
      <c r="A2" t="s">
        <v>7302</v>
      </c>
      <c r="B2" t="s">
        <v>7303</v>
      </c>
      <c r="C2" t="s">
        <v>7304</v>
      </c>
      <c r="D2" t="s">
        <v>88</v>
      </c>
      <c r="E2" s="6">
        <v>135.44999999999999</v>
      </c>
      <c r="F2" t="s">
        <v>7305</v>
      </c>
      <c r="G2" t="s">
        <v>7306</v>
      </c>
    </row>
    <row r="3" spans="1:7" x14ac:dyDescent="0.3">
      <c r="A3" t="s">
        <v>7302</v>
      </c>
      <c r="B3" t="s">
        <v>7303</v>
      </c>
      <c r="C3" t="s">
        <v>7307</v>
      </c>
      <c r="D3" t="s">
        <v>137</v>
      </c>
      <c r="E3" s="6">
        <v>10500</v>
      </c>
      <c r="F3" t="s">
        <v>7308</v>
      </c>
      <c r="G3" t="s">
        <v>7309</v>
      </c>
    </row>
    <row r="4" spans="1:7" x14ac:dyDescent="0.3">
      <c r="A4" t="s">
        <v>7302</v>
      </c>
      <c r="B4" t="s">
        <v>7310</v>
      </c>
      <c r="C4" t="s">
        <v>7304</v>
      </c>
      <c r="D4" t="s">
        <v>88</v>
      </c>
      <c r="E4" s="6">
        <v>389.55</v>
      </c>
      <c r="F4" t="s">
        <v>7311</v>
      </c>
      <c r="G4" t="s">
        <v>7312</v>
      </c>
    </row>
    <row r="5" spans="1:7" x14ac:dyDescent="0.3">
      <c r="A5" t="s">
        <v>7302</v>
      </c>
      <c r="B5" t="s">
        <v>7310</v>
      </c>
      <c r="C5" t="s">
        <v>7307</v>
      </c>
      <c r="D5" t="s">
        <v>137</v>
      </c>
      <c r="E5" s="6">
        <v>20737.5</v>
      </c>
      <c r="F5" t="s">
        <v>7313</v>
      </c>
      <c r="G5" t="s">
        <v>7314</v>
      </c>
    </row>
    <row r="6" spans="1:7" x14ac:dyDescent="0.3">
      <c r="A6" t="s">
        <v>7302</v>
      </c>
      <c r="B6" t="s">
        <v>7315</v>
      </c>
      <c r="C6" t="s">
        <v>7304</v>
      </c>
      <c r="D6" t="s">
        <v>88</v>
      </c>
      <c r="E6" s="6">
        <v>258.3</v>
      </c>
      <c r="F6" t="s">
        <v>7316</v>
      </c>
      <c r="G6" t="s">
        <v>7317</v>
      </c>
    </row>
    <row r="7" spans="1:7" x14ac:dyDescent="0.3">
      <c r="A7" t="s">
        <v>7302</v>
      </c>
      <c r="B7" t="s">
        <v>7315</v>
      </c>
      <c r="C7" t="s">
        <v>7307</v>
      </c>
      <c r="D7" t="s">
        <v>137</v>
      </c>
      <c r="E7" s="6">
        <v>20737.5</v>
      </c>
      <c r="F7" t="s">
        <v>7318</v>
      </c>
      <c r="G7" t="s">
        <v>7319</v>
      </c>
    </row>
    <row r="8" spans="1:7" x14ac:dyDescent="0.3">
      <c r="A8" t="s">
        <v>7302</v>
      </c>
      <c r="B8" t="s">
        <v>7320</v>
      </c>
      <c r="C8" t="s">
        <v>7304</v>
      </c>
      <c r="D8" t="s">
        <v>88</v>
      </c>
      <c r="E8" s="6">
        <v>202.65</v>
      </c>
      <c r="F8" t="s">
        <v>7321</v>
      </c>
      <c r="G8" t="s">
        <v>7322</v>
      </c>
    </row>
    <row r="9" spans="1:7" x14ac:dyDescent="0.3">
      <c r="A9" t="s">
        <v>7302</v>
      </c>
      <c r="B9" t="s">
        <v>7320</v>
      </c>
      <c r="C9" t="s">
        <v>7307</v>
      </c>
      <c r="D9" t="s">
        <v>137</v>
      </c>
      <c r="E9" s="6">
        <v>15592.5</v>
      </c>
      <c r="F9" t="s">
        <v>7323</v>
      </c>
      <c r="G9" t="s">
        <v>7324</v>
      </c>
    </row>
    <row r="10" spans="1:7" x14ac:dyDescent="0.3">
      <c r="A10" t="s">
        <v>7302</v>
      </c>
      <c r="B10" t="s">
        <v>7325</v>
      </c>
      <c r="C10" t="s">
        <v>7304</v>
      </c>
      <c r="D10" t="s">
        <v>88</v>
      </c>
      <c r="E10" s="6">
        <v>159.47999999999999</v>
      </c>
      <c r="F10" t="s">
        <v>7326</v>
      </c>
      <c r="G10" t="s">
        <v>7327</v>
      </c>
    </row>
    <row r="11" spans="1:7" x14ac:dyDescent="0.3">
      <c r="A11" t="s">
        <v>7302</v>
      </c>
      <c r="B11" t="s">
        <v>7325</v>
      </c>
      <c r="C11" t="s">
        <v>7307</v>
      </c>
      <c r="D11" t="s">
        <v>137</v>
      </c>
      <c r="E11" s="6">
        <v>10395</v>
      </c>
      <c r="F11" t="s">
        <v>7328</v>
      </c>
      <c r="G11" t="s">
        <v>7329</v>
      </c>
    </row>
    <row r="12" spans="1:7" x14ac:dyDescent="0.3">
      <c r="A12" t="s">
        <v>7302</v>
      </c>
      <c r="B12" t="s">
        <v>7330</v>
      </c>
      <c r="C12" t="s">
        <v>7304</v>
      </c>
      <c r="D12" t="s">
        <v>88</v>
      </c>
      <c r="E12" s="6">
        <v>123.9</v>
      </c>
      <c r="F12" t="s">
        <v>7331</v>
      </c>
      <c r="G12" t="s">
        <v>7332</v>
      </c>
    </row>
    <row r="13" spans="1:7" x14ac:dyDescent="0.3">
      <c r="A13" t="s">
        <v>7302</v>
      </c>
      <c r="B13" t="s">
        <v>7330</v>
      </c>
      <c r="C13" t="s">
        <v>7307</v>
      </c>
      <c r="D13" t="s">
        <v>137</v>
      </c>
      <c r="E13" s="6">
        <v>10395</v>
      </c>
      <c r="F13" t="s">
        <v>7333</v>
      </c>
      <c r="G13" t="s">
        <v>7334</v>
      </c>
    </row>
    <row r="14" spans="1:7" x14ac:dyDescent="0.3">
      <c r="A14" t="s">
        <v>7302</v>
      </c>
      <c r="B14" t="s">
        <v>7335</v>
      </c>
      <c r="C14" t="s">
        <v>7304</v>
      </c>
      <c r="D14" t="s">
        <v>88</v>
      </c>
      <c r="E14" s="6">
        <v>130.19999999999999</v>
      </c>
      <c r="F14" t="s">
        <v>7336</v>
      </c>
      <c r="G14" t="s">
        <v>7337</v>
      </c>
    </row>
    <row r="15" spans="1:7" x14ac:dyDescent="0.3">
      <c r="A15" t="s">
        <v>7302</v>
      </c>
      <c r="B15" t="s">
        <v>7335</v>
      </c>
      <c r="C15" t="s">
        <v>7307</v>
      </c>
      <c r="D15" t="s">
        <v>137</v>
      </c>
      <c r="E15" s="6">
        <v>10395</v>
      </c>
      <c r="F15" t="s">
        <v>7338</v>
      </c>
      <c r="G15" t="s">
        <v>7339</v>
      </c>
    </row>
    <row r="16" spans="1:7" x14ac:dyDescent="0.3">
      <c r="A16" t="s">
        <v>7302</v>
      </c>
      <c r="B16" t="s">
        <v>7340</v>
      </c>
      <c r="C16" t="s">
        <v>7304</v>
      </c>
      <c r="D16" t="s">
        <v>88</v>
      </c>
      <c r="E16" s="6">
        <v>91.68</v>
      </c>
      <c r="F16" t="s">
        <v>7341</v>
      </c>
      <c r="G16" t="s">
        <v>7342</v>
      </c>
    </row>
    <row r="17" spans="1:7" x14ac:dyDescent="0.3">
      <c r="A17" t="s">
        <v>7302</v>
      </c>
      <c r="B17" t="s">
        <v>7340</v>
      </c>
      <c r="C17" t="s">
        <v>7307</v>
      </c>
      <c r="D17" t="s">
        <v>137</v>
      </c>
      <c r="E17" s="6">
        <v>15592.5</v>
      </c>
      <c r="F17" t="s">
        <v>7343</v>
      </c>
      <c r="G17" t="s">
        <v>7344</v>
      </c>
    </row>
    <row r="18" spans="1:7" x14ac:dyDescent="0.3">
      <c r="A18" t="s">
        <v>7302</v>
      </c>
      <c r="B18" t="s">
        <v>7345</v>
      </c>
      <c r="C18" t="s">
        <v>7304</v>
      </c>
      <c r="D18" t="s">
        <v>88</v>
      </c>
      <c r="E18" s="6">
        <v>91.68</v>
      </c>
      <c r="F18" t="s">
        <v>7346</v>
      </c>
      <c r="G18" t="s">
        <v>7347</v>
      </c>
    </row>
    <row r="19" spans="1:7" x14ac:dyDescent="0.3">
      <c r="A19" t="s">
        <v>7302</v>
      </c>
      <c r="B19" t="s">
        <v>7345</v>
      </c>
      <c r="C19" t="s">
        <v>7307</v>
      </c>
      <c r="D19" t="s">
        <v>137</v>
      </c>
      <c r="E19" s="6">
        <v>10395</v>
      </c>
      <c r="F19" t="s">
        <v>7348</v>
      </c>
      <c r="G19" t="s">
        <v>7349</v>
      </c>
    </row>
    <row r="20" spans="1:7" x14ac:dyDescent="0.3">
      <c r="A20" t="s">
        <v>7302</v>
      </c>
      <c r="B20" t="s">
        <v>7350</v>
      </c>
      <c r="C20" t="s">
        <v>7304</v>
      </c>
      <c r="D20" t="s">
        <v>88</v>
      </c>
      <c r="E20" s="6">
        <v>103.95</v>
      </c>
      <c r="F20" t="s">
        <v>7351</v>
      </c>
      <c r="G20" t="s">
        <v>7352</v>
      </c>
    </row>
    <row r="21" spans="1:7" x14ac:dyDescent="0.3">
      <c r="A21" t="s">
        <v>7302</v>
      </c>
      <c r="B21" t="s">
        <v>7350</v>
      </c>
      <c r="C21" t="s">
        <v>7307</v>
      </c>
      <c r="D21" t="s">
        <v>137</v>
      </c>
      <c r="E21" s="6">
        <v>15592.5</v>
      </c>
      <c r="F21" t="s">
        <v>7353</v>
      </c>
      <c r="G21" t="s">
        <v>7354</v>
      </c>
    </row>
    <row r="22" spans="1:7" x14ac:dyDescent="0.3">
      <c r="A22" t="s">
        <v>7302</v>
      </c>
      <c r="B22" t="s">
        <v>7355</v>
      </c>
      <c r="C22" t="s">
        <v>7356</v>
      </c>
      <c r="D22" t="s">
        <v>88</v>
      </c>
      <c r="E22" s="6">
        <v>7.04</v>
      </c>
      <c r="F22" t="s">
        <v>7357</v>
      </c>
      <c r="G22" t="s">
        <v>7358</v>
      </c>
    </row>
    <row r="23" spans="1:7" x14ac:dyDescent="0.3">
      <c r="A23" t="s">
        <v>7302</v>
      </c>
      <c r="B23" t="s">
        <v>7355</v>
      </c>
      <c r="C23" t="s">
        <v>7359</v>
      </c>
      <c r="D23" t="s">
        <v>88</v>
      </c>
      <c r="E23" s="6">
        <v>70.349999999999994</v>
      </c>
      <c r="F23" t="s">
        <v>7360</v>
      </c>
      <c r="G23" t="s">
        <v>7361</v>
      </c>
    </row>
    <row r="24" spans="1:7" x14ac:dyDescent="0.3">
      <c r="A24" t="s">
        <v>7302</v>
      </c>
      <c r="B24" t="s">
        <v>7362</v>
      </c>
      <c r="C24" t="s">
        <v>7356</v>
      </c>
      <c r="D24" t="s">
        <v>88</v>
      </c>
      <c r="E24" s="6">
        <v>4.0999999999999996</v>
      </c>
      <c r="F24" t="s">
        <v>7363</v>
      </c>
      <c r="G24" t="s">
        <v>7364</v>
      </c>
    </row>
    <row r="25" spans="1:7" x14ac:dyDescent="0.3">
      <c r="A25" t="s">
        <v>7302</v>
      </c>
      <c r="B25" t="s">
        <v>7362</v>
      </c>
      <c r="C25" t="s">
        <v>7359</v>
      </c>
      <c r="D25" t="s">
        <v>88</v>
      </c>
      <c r="E25" s="6">
        <v>40.950000000000003</v>
      </c>
      <c r="F25" t="s">
        <v>7365</v>
      </c>
      <c r="G25" t="s">
        <v>7366</v>
      </c>
    </row>
    <row r="26" spans="1:7" x14ac:dyDescent="0.3">
      <c r="A26" t="s">
        <v>7302</v>
      </c>
      <c r="B26" t="s">
        <v>7367</v>
      </c>
      <c r="C26" t="s">
        <v>7356</v>
      </c>
      <c r="D26" t="s">
        <v>88</v>
      </c>
      <c r="E26" s="6">
        <v>0.84</v>
      </c>
      <c r="F26" t="s">
        <v>7368</v>
      </c>
      <c r="G26" t="s">
        <v>7369</v>
      </c>
    </row>
    <row r="27" spans="1:7" x14ac:dyDescent="0.3">
      <c r="A27" t="s">
        <v>7302</v>
      </c>
      <c r="B27" t="s">
        <v>7367</v>
      </c>
      <c r="C27" t="s">
        <v>7359</v>
      </c>
      <c r="D27" t="s">
        <v>88</v>
      </c>
      <c r="E27" s="6">
        <v>8.4</v>
      </c>
      <c r="F27" t="s">
        <v>7370</v>
      </c>
      <c r="G27" t="s">
        <v>7371</v>
      </c>
    </row>
    <row r="28" spans="1:7" x14ac:dyDescent="0.3">
      <c r="A28" t="s">
        <v>7302</v>
      </c>
      <c r="B28" t="s">
        <v>7372</v>
      </c>
      <c r="C28" t="s">
        <v>7356</v>
      </c>
      <c r="D28" t="s">
        <v>88</v>
      </c>
      <c r="E28" s="6">
        <v>2.62</v>
      </c>
      <c r="F28" t="s">
        <v>7373</v>
      </c>
      <c r="G28" t="s">
        <v>7374</v>
      </c>
    </row>
    <row r="29" spans="1:7" x14ac:dyDescent="0.3">
      <c r="A29" t="s">
        <v>7302</v>
      </c>
      <c r="B29" t="s">
        <v>7372</v>
      </c>
      <c r="C29" t="s">
        <v>7359</v>
      </c>
      <c r="D29" t="s">
        <v>88</v>
      </c>
      <c r="E29" s="6">
        <v>26.25</v>
      </c>
      <c r="F29" t="s">
        <v>7375</v>
      </c>
      <c r="G29" t="s">
        <v>7376</v>
      </c>
    </row>
    <row r="30" spans="1:7" x14ac:dyDescent="0.3">
      <c r="A30" t="s">
        <v>7302</v>
      </c>
      <c r="B30" t="s">
        <v>7377</v>
      </c>
      <c r="C30" t="s">
        <v>7356</v>
      </c>
      <c r="D30" t="s">
        <v>88</v>
      </c>
      <c r="E30" s="6">
        <v>0.32</v>
      </c>
      <c r="F30" t="s">
        <v>7378</v>
      </c>
      <c r="G30" t="s">
        <v>7379</v>
      </c>
    </row>
    <row r="31" spans="1:7" x14ac:dyDescent="0.3">
      <c r="A31" t="s">
        <v>7302</v>
      </c>
      <c r="B31" t="s">
        <v>7377</v>
      </c>
      <c r="C31" t="s">
        <v>7359</v>
      </c>
      <c r="D31" t="s">
        <v>88</v>
      </c>
      <c r="E31" s="6">
        <v>3.15</v>
      </c>
      <c r="F31" t="s">
        <v>7380</v>
      </c>
      <c r="G31" t="s">
        <v>7381</v>
      </c>
    </row>
    <row r="32" spans="1:7" x14ac:dyDescent="0.3">
      <c r="A32" t="s">
        <v>7302</v>
      </c>
      <c r="B32" t="s">
        <v>7382</v>
      </c>
      <c r="C32" t="s">
        <v>7356</v>
      </c>
      <c r="D32" t="s">
        <v>88</v>
      </c>
      <c r="E32" s="6">
        <v>0.11</v>
      </c>
      <c r="F32" t="s">
        <v>7383</v>
      </c>
      <c r="G32" t="s">
        <v>7384</v>
      </c>
    </row>
    <row r="33" spans="1:7" x14ac:dyDescent="0.3">
      <c r="A33" t="s">
        <v>7302</v>
      </c>
      <c r="B33" t="s">
        <v>7382</v>
      </c>
      <c r="C33" t="s">
        <v>7359</v>
      </c>
      <c r="D33" t="s">
        <v>88</v>
      </c>
      <c r="E33" s="6">
        <v>1.05</v>
      </c>
      <c r="F33" t="s">
        <v>7385</v>
      </c>
      <c r="G33" t="s">
        <v>7386</v>
      </c>
    </row>
    <row r="34" spans="1:7" x14ac:dyDescent="0.3">
      <c r="A34" t="s">
        <v>7302</v>
      </c>
      <c r="B34" t="s">
        <v>7387</v>
      </c>
      <c r="C34" t="s">
        <v>7356</v>
      </c>
      <c r="D34" t="s">
        <v>88</v>
      </c>
      <c r="E34" s="6">
        <v>0.11</v>
      </c>
      <c r="F34" t="s">
        <v>7388</v>
      </c>
      <c r="G34" t="s">
        <v>7389</v>
      </c>
    </row>
    <row r="35" spans="1:7" x14ac:dyDescent="0.3">
      <c r="A35" t="s">
        <v>7302</v>
      </c>
      <c r="B35" t="s">
        <v>7387</v>
      </c>
      <c r="C35" t="s">
        <v>7359</v>
      </c>
      <c r="D35" t="s">
        <v>88</v>
      </c>
      <c r="E35" s="6">
        <v>1.05</v>
      </c>
      <c r="F35" t="s">
        <v>7390</v>
      </c>
      <c r="G35" t="s">
        <v>7391</v>
      </c>
    </row>
    <row r="36" spans="1:7" x14ac:dyDescent="0.3">
      <c r="A36" t="s">
        <v>7302</v>
      </c>
      <c r="B36" t="s">
        <v>7392</v>
      </c>
      <c r="C36" t="s">
        <v>7356</v>
      </c>
      <c r="D36" t="s">
        <v>88</v>
      </c>
      <c r="E36" s="6">
        <v>0.11</v>
      </c>
      <c r="F36" t="s">
        <v>7393</v>
      </c>
      <c r="G36" t="s">
        <v>7394</v>
      </c>
    </row>
    <row r="37" spans="1:7" x14ac:dyDescent="0.3">
      <c r="A37" t="s">
        <v>7302</v>
      </c>
      <c r="B37" t="s">
        <v>7392</v>
      </c>
      <c r="C37" t="s">
        <v>7359</v>
      </c>
      <c r="D37" t="s">
        <v>88</v>
      </c>
      <c r="E37" s="6">
        <v>1.05</v>
      </c>
      <c r="F37" t="s">
        <v>7395</v>
      </c>
      <c r="G37" t="s">
        <v>7396</v>
      </c>
    </row>
    <row r="38" spans="1:7" x14ac:dyDescent="0.3">
      <c r="A38" t="s">
        <v>7397</v>
      </c>
      <c r="B38" t="s">
        <v>7303</v>
      </c>
      <c r="C38" t="s">
        <v>7398</v>
      </c>
      <c r="D38" t="s">
        <v>88</v>
      </c>
      <c r="E38" s="6">
        <v>13.55</v>
      </c>
      <c r="F38" t="s">
        <v>7399</v>
      </c>
      <c r="G38" t="s">
        <v>7400</v>
      </c>
    </row>
    <row r="39" spans="1:7" x14ac:dyDescent="0.3">
      <c r="A39" t="s">
        <v>7397</v>
      </c>
      <c r="B39" t="s">
        <v>7303</v>
      </c>
      <c r="C39" t="s">
        <v>7307</v>
      </c>
      <c r="D39" t="s">
        <v>137</v>
      </c>
      <c r="E39" s="6">
        <v>1050</v>
      </c>
      <c r="F39" t="s">
        <v>7401</v>
      </c>
      <c r="G39" t="s">
        <v>7402</v>
      </c>
    </row>
    <row r="40" spans="1:7" x14ac:dyDescent="0.3">
      <c r="A40" t="s">
        <v>7397</v>
      </c>
      <c r="B40" t="s">
        <v>7310</v>
      </c>
      <c r="C40" t="s">
        <v>7398</v>
      </c>
      <c r="D40" t="s">
        <v>88</v>
      </c>
      <c r="E40" s="6">
        <v>38.96</v>
      </c>
      <c r="F40" t="s">
        <v>7403</v>
      </c>
      <c r="G40" t="s">
        <v>7404</v>
      </c>
    </row>
    <row r="41" spans="1:7" x14ac:dyDescent="0.3">
      <c r="A41" t="s">
        <v>7397</v>
      </c>
      <c r="B41" t="s">
        <v>7310</v>
      </c>
      <c r="C41" t="s">
        <v>7307</v>
      </c>
      <c r="D41" t="s">
        <v>137</v>
      </c>
      <c r="E41" s="6">
        <v>2073.75</v>
      </c>
      <c r="F41" t="s">
        <v>7405</v>
      </c>
      <c r="G41" t="s">
        <v>7406</v>
      </c>
    </row>
    <row r="42" spans="1:7" x14ac:dyDescent="0.3">
      <c r="A42" t="s">
        <v>7397</v>
      </c>
      <c r="B42" t="s">
        <v>7315</v>
      </c>
      <c r="C42" t="s">
        <v>7398</v>
      </c>
      <c r="D42" t="s">
        <v>88</v>
      </c>
      <c r="E42" s="6">
        <v>25.83</v>
      </c>
      <c r="F42" t="s">
        <v>7407</v>
      </c>
      <c r="G42" t="s">
        <v>7408</v>
      </c>
    </row>
    <row r="43" spans="1:7" x14ac:dyDescent="0.3">
      <c r="A43" t="s">
        <v>7397</v>
      </c>
      <c r="B43" t="s">
        <v>7315</v>
      </c>
      <c r="C43" t="s">
        <v>7307</v>
      </c>
      <c r="D43" t="s">
        <v>137</v>
      </c>
      <c r="E43" s="6">
        <v>2073.75</v>
      </c>
      <c r="F43" t="s">
        <v>7409</v>
      </c>
      <c r="G43" t="s">
        <v>7410</v>
      </c>
    </row>
    <row r="44" spans="1:7" x14ac:dyDescent="0.3">
      <c r="A44" t="s">
        <v>7397</v>
      </c>
      <c r="B44" t="s">
        <v>7320</v>
      </c>
      <c r="C44" t="s">
        <v>7398</v>
      </c>
      <c r="D44" t="s">
        <v>88</v>
      </c>
      <c r="E44" s="6">
        <v>20.27</v>
      </c>
      <c r="F44" t="s">
        <v>7411</v>
      </c>
      <c r="G44" t="s">
        <v>7412</v>
      </c>
    </row>
    <row r="45" spans="1:7" x14ac:dyDescent="0.3">
      <c r="A45" t="s">
        <v>7397</v>
      </c>
      <c r="B45" t="s">
        <v>7320</v>
      </c>
      <c r="C45" t="s">
        <v>7307</v>
      </c>
      <c r="D45" t="s">
        <v>137</v>
      </c>
      <c r="E45" s="6">
        <v>1559.25</v>
      </c>
      <c r="F45" t="s">
        <v>7413</v>
      </c>
      <c r="G45" t="s">
        <v>7414</v>
      </c>
    </row>
    <row r="46" spans="1:7" x14ac:dyDescent="0.3">
      <c r="A46" t="s">
        <v>7397</v>
      </c>
      <c r="B46" t="s">
        <v>7325</v>
      </c>
      <c r="C46" t="s">
        <v>7398</v>
      </c>
      <c r="D46" t="s">
        <v>88</v>
      </c>
      <c r="E46" s="6">
        <v>15.95</v>
      </c>
      <c r="F46" t="s">
        <v>7415</v>
      </c>
      <c r="G46" t="s">
        <v>7416</v>
      </c>
    </row>
    <row r="47" spans="1:7" x14ac:dyDescent="0.3">
      <c r="A47" t="s">
        <v>7397</v>
      </c>
      <c r="B47" t="s">
        <v>7325</v>
      </c>
      <c r="C47" t="s">
        <v>7307</v>
      </c>
      <c r="D47" t="s">
        <v>137</v>
      </c>
      <c r="E47" s="6">
        <v>1039.5</v>
      </c>
      <c r="F47" t="s">
        <v>7417</v>
      </c>
      <c r="G47" t="s">
        <v>7418</v>
      </c>
    </row>
    <row r="48" spans="1:7" x14ac:dyDescent="0.3">
      <c r="A48" t="s">
        <v>7397</v>
      </c>
      <c r="B48" t="s">
        <v>7330</v>
      </c>
      <c r="C48" t="s">
        <v>7398</v>
      </c>
      <c r="D48" t="s">
        <v>88</v>
      </c>
      <c r="E48" s="6">
        <v>12.39</v>
      </c>
      <c r="F48" t="s">
        <v>7419</v>
      </c>
      <c r="G48" t="s">
        <v>7420</v>
      </c>
    </row>
    <row r="49" spans="1:7" x14ac:dyDescent="0.3">
      <c r="A49" t="s">
        <v>7397</v>
      </c>
      <c r="B49" t="s">
        <v>7330</v>
      </c>
      <c r="C49" t="s">
        <v>7307</v>
      </c>
      <c r="D49" t="s">
        <v>137</v>
      </c>
      <c r="E49" s="6">
        <v>1039.5</v>
      </c>
      <c r="F49" t="s">
        <v>7421</v>
      </c>
      <c r="G49" t="s">
        <v>7422</v>
      </c>
    </row>
    <row r="50" spans="1:7" x14ac:dyDescent="0.3">
      <c r="A50" t="s">
        <v>7397</v>
      </c>
      <c r="B50" t="s">
        <v>7335</v>
      </c>
      <c r="C50" t="s">
        <v>7398</v>
      </c>
      <c r="D50" t="s">
        <v>88</v>
      </c>
      <c r="E50" s="6">
        <v>13.02</v>
      </c>
      <c r="F50" t="s">
        <v>7423</v>
      </c>
      <c r="G50" t="s">
        <v>7424</v>
      </c>
    </row>
    <row r="51" spans="1:7" x14ac:dyDescent="0.3">
      <c r="A51" t="s">
        <v>7397</v>
      </c>
      <c r="B51" t="s">
        <v>7335</v>
      </c>
      <c r="C51" t="s">
        <v>7307</v>
      </c>
      <c r="D51" t="s">
        <v>137</v>
      </c>
      <c r="E51" s="6">
        <v>1039.5</v>
      </c>
      <c r="F51" t="s">
        <v>7425</v>
      </c>
      <c r="G51" t="s">
        <v>7426</v>
      </c>
    </row>
    <row r="52" spans="1:7" x14ac:dyDescent="0.3">
      <c r="A52" t="s">
        <v>7397</v>
      </c>
      <c r="B52" t="s">
        <v>7340</v>
      </c>
      <c r="C52" t="s">
        <v>7398</v>
      </c>
      <c r="D52" t="s">
        <v>88</v>
      </c>
      <c r="E52" s="6">
        <v>9.17</v>
      </c>
      <c r="F52" t="s">
        <v>7427</v>
      </c>
      <c r="G52" t="s">
        <v>7428</v>
      </c>
    </row>
    <row r="53" spans="1:7" x14ac:dyDescent="0.3">
      <c r="A53" t="s">
        <v>7397</v>
      </c>
      <c r="B53" t="s">
        <v>7340</v>
      </c>
      <c r="C53" t="s">
        <v>7307</v>
      </c>
      <c r="D53" t="s">
        <v>137</v>
      </c>
      <c r="E53" s="6">
        <v>1559.25</v>
      </c>
      <c r="F53" t="s">
        <v>7429</v>
      </c>
      <c r="G53" t="s">
        <v>7430</v>
      </c>
    </row>
    <row r="54" spans="1:7" x14ac:dyDescent="0.3">
      <c r="A54" t="s">
        <v>7397</v>
      </c>
      <c r="B54" t="s">
        <v>7345</v>
      </c>
      <c r="C54" t="s">
        <v>7398</v>
      </c>
      <c r="D54" t="s">
        <v>88</v>
      </c>
      <c r="E54" s="6">
        <v>9.17</v>
      </c>
      <c r="F54" t="s">
        <v>7431</v>
      </c>
      <c r="G54" t="s">
        <v>7432</v>
      </c>
    </row>
    <row r="55" spans="1:7" x14ac:dyDescent="0.3">
      <c r="A55" t="s">
        <v>7397</v>
      </c>
      <c r="B55" t="s">
        <v>7345</v>
      </c>
      <c r="C55" t="s">
        <v>7307</v>
      </c>
      <c r="D55" t="s">
        <v>137</v>
      </c>
      <c r="E55" s="6">
        <v>1039.5</v>
      </c>
      <c r="F55" t="s">
        <v>7433</v>
      </c>
      <c r="G55" t="s">
        <v>7434</v>
      </c>
    </row>
    <row r="56" spans="1:7" x14ac:dyDescent="0.3">
      <c r="A56" t="s">
        <v>7397</v>
      </c>
      <c r="B56" t="s">
        <v>7350</v>
      </c>
      <c r="C56" t="s">
        <v>7398</v>
      </c>
      <c r="D56" t="s">
        <v>88</v>
      </c>
      <c r="E56" s="6">
        <v>10.4</v>
      </c>
      <c r="F56" t="s">
        <v>7435</v>
      </c>
      <c r="G56" t="s">
        <v>7436</v>
      </c>
    </row>
    <row r="57" spans="1:7" x14ac:dyDescent="0.3">
      <c r="A57" t="s">
        <v>7397</v>
      </c>
      <c r="B57" t="s">
        <v>7350</v>
      </c>
      <c r="C57" t="s">
        <v>7307</v>
      </c>
      <c r="D57" t="s">
        <v>137</v>
      </c>
      <c r="E57" s="6">
        <v>1559.25</v>
      </c>
      <c r="F57" t="s">
        <v>7437</v>
      </c>
      <c r="G57" t="s">
        <v>7438</v>
      </c>
    </row>
  </sheetData>
  <autoFilter ref="A1:G57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45</vt:i4>
      </vt:variant>
    </vt:vector>
  </HeadingPairs>
  <TitlesOfParts>
    <vt:vector size="52" baseType="lpstr">
      <vt:lpstr>О шаблоне</vt:lpstr>
      <vt:lpstr>Сборка</vt:lpstr>
      <vt:lpstr>Смета</vt:lpstr>
      <vt:lpstr>Работы</vt:lpstr>
      <vt:lpstr>Материалы</vt:lpstr>
      <vt:lpstr>Группы</vt:lpstr>
      <vt:lpstr>Документация</vt:lpstr>
      <vt:lpstr>ДисконтТендер</vt:lpstr>
      <vt:lpstr>КурсEUR</vt:lpstr>
      <vt:lpstr>КурсUSD</vt:lpstr>
      <vt:lpstr>мат_VRF_ВНУТ</vt:lpstr>
      <vt:lpstr>мат_VRF_НАР</vt:lpstr>
      <vt:lpstr>мат_БРОНЯ</vt:lpstr>
      <vt:lpstr>мат_ДВ</vt:lpstr>
      <vt:lpstr>мат_ДВ_АЛ</vt:lpstr>
      <vt:lpstr>мат_ДВ_ДЕР</vt:lpstr>
      <vt:lpstr>мат_ДВ_СТ</vt:lpstr>
      <vt:lpstr>мат_ДОК_ИД</vt:lpstr>
      <vt:lpstr>мат_ДОК_РД</vt:lpstr>
      <vt:lpstr>мат_ЗАВЕСА</vt:lpstr>
      <vt:lpstr>мат_ЛЮЧОК</vt:lpstr>
      <vt:lpstr>мат_ПВУ</vt:lpstr>
      <vt:lpstr>мат_ПЕРЕГ_СТ</vt:lpstr>
      <vt:lpstr>мат_ПЕРЕГ_ТР</vt:lpstr>
      <vt:lpstr>мат_ПОЛ_КГ</vt:lpstr>
      <vt:lpstr>мат_ПОЛ_МОД</vt:lpstr>
      <vt:lpstr>мат_ПОТОЛОК</vt:lpstr>
      <vt:lpstr>мат_РАД</vt:lpstr>
      <vt:lpstr>мат_РАД_КОМПЛ</vt:lpstr>
      <vt:lpstr>мат_СВЕТ</vt:lpstr>
      <vt:lpstr>мат_СВЕТ_АВАР</vt:lpstr>
      <vt:lpstr>мат_СПЛИТ</vt:lpstr>
      <vt:lpstr>мат_СТЕН_ПЛ</vt:lpstr>
      <vt:lpstr>мат_СТП_РАК</vt:lpstr>
      <vt:lpstr>мат_СТП_СМЕС</vt:lpstr>
      <vt:lpstr>мат_СТП_УНИТ</vt:lpstr>
      <vt:lpstr>мат_ФАЛЬШПОЛ</vt:lpstr>
      <vt:lpstr>мат_ЭУИ_ВЫКЛ</vt:lpstr>
      <vt:lpstr>мат_ЭУИ_РОЗ</vt:lpstr>
      <vt:lpstr>мат_ЭЩ</vt:lpstr>
      <vt:lpstr>раб_Р1</vt:lpstr>
      <vt:lpstr>раб_Р10</vt:lpstr>
      <vt:lpstr>раб_Р11</vt:lpstr>
      <vt:lpstr>раб_Р12</vt:lpstr>
      <vt:lpstr>раб_Р2</vt:lpstr>
      <vt:lpstr>раб_Р3</vt:lpstr>
      <vt:lpstr>раб_Р4</vt:lpstr>
      <vt:lpstr>раб_Р5</vt:lpstr>
      <vt:lpstr>раб_Р6</vt:lpstr>
      <vt:lpstr>раб_Р7</vt:lpstr>
      <vt:lpstr>раб_Р8</vt:lpstr>
      <vt:lpstr>раб_Р9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2026-09-01T08:04:51Z</dcterms:created>
  <dcterms:modified xsi:type="dcterms:W3CDTF">2026-09-01T08:04:54Z</dcterms:modified>
</cp:coreProperties>
</file>